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d.docs.live.net/026e309c1bd3649d/Documentos/"/>
    </mc:Choice>
  </mc:AlternateContent>
  <xr:revisionPtr revIDLastSave="0" documentId="8_{1D0BFF9F-9CAB-4417-8C9F-80E5EF78884A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RETENÇÃO ABR 26" sheetId="4" r:id="rId1"/>
    <sheet name="RETENÇÃO MAR 26" sheetId="3" r:id="rId2"/>
    <sheet name="RETENÇÃO FEV 26" sheetId="1" r:id="rId3"/>
  </sheets>
  <definedNames>
    <definedName name="_xlnm._FilterDatabase" localSheetId="2" hidden="1">'RETENÇÃO FEV 26'!$A$4:$O$732</definedName>
    <definedName name="_xlnm._FilterDatabase" localSheetId="1" hidden="1">'RETENÇÃO MAR 26'!$A$4:$T$712</definedName>
    <definedName name="_xlnm._FilterDatabase" localSheetId="0" hidden="1">'RETENÇÃO ABR 26'!$A$4:$T$308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04" i="4" l="1"/>
  <c r="A696" i="4"/>
  <c r="F728" i="3"/>
  <c r="H728" i="3"/>
  <c r="F727" i="3"/>
  <c r="H727" i="3"/>
  <c r="B706" i="4"/>
  <c r="G705" i="4"/>
  <c r="B705" i="4"/>
  <c r="I704" i="4"/>
  <c r="J704" i="4" s="1"/>
  <c r="H704" i="4"/>
  <c r="B704" i="4"/>
  <c r="I703" i="4"/>
  <c r="J703" i="4" s="1"/>
  <c r="H703" i="4"/>
  <c r="F703" i="4"/>
  <c r="B703" i="4"/>
  <c r="I702" i="4"/>
  <c r="J702" i="4" s="1"/>
  <c r="H702" i="4"/>
  <c r="F702" i="4"/>
  <c r="B702" i="4"/>
  <c r="I701" i="4"/>
  <c r="J701" i="4" s="1"/>
  <c r="J705" i="4" s="1"/>
  <c r="H701" i="4"/>
  <c r="F701" i="4"/>
  <c r="B701" i="4"/>
  <c r="B700" i="4"/>
  <c r="G699" i="4"/>
  <c r="D699" i="4"/>
  <c r="J2" i="4"/>
  <c r="B707" i="4" s="1"/>
  <c r="H2" i="4"/>
  <c r="G2" i="4"/>
  <c r="C2" i="4"/>
  <c r="L698" i="4" s="1"/>
  <c r="A718" i="3"/>
  <c r="G721" i="3"/>
  <c r="J2" i="3"/>
  <c r="C2" i="3"/>
  <c r="L720" i="3" s="1"/>
  <c r="B729" i="3"/>
  <c r="C721" i="3"/>
  <c r="D721" i="3"/>
  <c r="B722" i="3"/>
  <c r="C722" i="3"/>
  <c r="B723" i="3"/>
  <c r="C723" i="3"/>
  <c r="F723" i="3"/>
  <c r="H723" i="3"/>
  <c r="B724" i="3"/>
  <c r="C724" i="3"/>
  <c r="F724" i="3"/>
  <c r="H724" i="3"/>
  <c r="B725" i="3"/>
  <c r="C725" i="3"/>
  <c r="F725" i="3"/>
  <c r="H725" i="3"/>
  <c r="B726" i="3"/>
  <c r="C726" i="3"/>
  <c r="F726" i="3"/>
  <c r="H726" i="3"/>
  <c r="B727" i="3"/>
  <c r="C727" i="3"/>
  <c r="G730" i="3"/>
  <c r="B728" i="3"/>
  <c r="C728" i="3"/>
  <c r="B730" i="3"/>
  <c r="D2" i="3"/>
  <c r="G2" i="3"/>
  <c r="H2" i="3"/>
  <c r="I2" i="3"/>
  <c r="K2" i="3"/>
  <c r="L2" i="3"/>
  <c r="G2" i="1"/>
  <c r="F740" i="1"/>
  <c r="J2" i="1"/>
  <c r="H2" i="1"/>
  <c r="C2" i="1"/>
  <c r="G735" i="1"/>
  <c r="H737" i="1"/>
  <c r="H738" i="1"/>
  <c r="F739" i="1"/>
  <c r="F738" i="1"/>
  <c r="F737" i="1"/>
  <c r="A732" i="1"/>
  <c r="D735" i="1"/>
  <c r="B708" i="4" l="1"/>
  <c r="I727" i="3"/>
  <c r="J727" i="3" s="1"/>
  <c r="I728" i="3"/>
  <c r="J728" i="3" s="1"/>
  <c r="C699" i="4"/>
  <c r="H698" i="4"/>
  <c r="K2" i="4"/>
  <c r="L2" i="4" s="1"/>
  <c r="D2" i="4"/>
  <c r="I2" i="4" s="1"/>
  <c r="C700" i="4"/>
  <c r="C701" i="4"/>
  <c r="C702" i="4"/>
  <c r="C703" i="4"/>
  <c r="C704" i="4"/>
  <c r="C705" i="4"/>
  <c r="C706" i="4"/>
  <c r="H720" i="3"/>
  <c r="F720" i="3"/>
  <c r="H721" i="3"/>
  <c r="I723" i="3"/>
  <c r="J723" i="3" s="1"/>
  <c r="I724" i="3"/>
  <c r="J724" i="3" s="1"/>
  <c r="I725" i="3"/>
  <c r="J725" i="3" s="1"/>
  <c r="I726" i="3"/>
  <c r="J726" i="3" s="1"/>
  <c r="B743" i="1"/>
  <c r="B744" i="1" s="1"/>
  <c r="K2" i="1"/>
  <c r="H734" i="1"/>
  <c r="L2" i="1"/>
  <c r="C735" i="1"/>
  <c r="H740" i="1"/>
  <c r="H739" i="1"/>
  <c r="G741" i="1"/>
  <c r="D2" i="1"/>
  <c r="I2" i="1" s="1"/>
  <c r="H699" i="4" l="1"/>
  <c r="F698" i="4"/>
  <c r="J730" i="3"/>
  <c r="I740" i="1"/>
  <c r="J740" i="1" s="1"/>
  <c r="I737" i="1"/>
  <c r="J737" i="1" s="1"/>
  <c r="H735" i="1"/>
  <c r="F734" i="1"/>
  <c r="I739" i="1"/>
  <c r="J739" i="1" s="1"/>
  <c r="I738" i="1"/>
  <c r="J738" i="1" s="1"/>
  <c r="B742" i="1"/>
  <c r="C742" i="1" s="1"/>
  <c r="B741" i="1"/>
  <c r="C741" i="1" s="1"/>
  <c r="B740" i="1"/>
  <c r="C740" i="1" s="1"/>
  <c r="B739" i="1"/>
  <c r="C739" i="1" s="1"/>
  <c r="B738" i="1"/>
  <c r="C738" i="1" s="1"/>
  <c r="B736" i="1"/>
  <c r="C736" i="1" s="1"/>
  <c r="B737" i="1"/>
  <c r="C737" i="1" s="1"/>
  <c r="J741" i="1" l="1"/>
</calcChain>
</file>

<file path=xl/sharedStrings.xml><?xml version="1.0" encoding="utf-8"?>
<sst xmlns="http://schemas.openxmlformats.org/spreadsheetml/2006/main" count="20452" uniqueCount="5570">
  <si>
    <t>META</t>
  </si>
  <si>
    <t>REALIZADO FULL TIME organico</t>
  </si>
  <si>
    <t>SALDO</t>
  </si>
  <si>
    <t>DIAS úteis</t>
  </si>
  <si>
    <t>DIAS trabalhados</t>
  </si>
  <si>
    <t>DIAS RESTANTES</t>
  </si>
  <si>
    <t>META diaria</t>
  </si>
  <si>
    <t>META recalculada</t>
  </si>
  <si>
    <t>REALIZADO FULL TIME inadimplencia</t>
  </si>
  <si>
    <t>TOTAL EMPRESA</t>
  </si>
  <si>
    <t>CHURN GERAL fulltime</t>
  </si>
  <si>
    <t>ABRIL</t>
  </si>
  <si>
    <t>QNT</t>
  </si>
  <si>
    <t>DATA</t>
  </si>
  <si>
    <t>STATUS</t>
  </si>
  <si>
    <t>NOME COMPLETO CLIENTE</t>
  </si>
  <si>
    <t>BAIRRO</t>
  </si>
  <si>
    <t>CONTATO</t>
  </si>
  <si>
    <t>CIDADE</t>
  </si>
  <si>
    <t>REGIÃO</t>
  </si>
  <si>
    <t>AGENDA RETIRADA</t>
  </si>
  <si>
    <t>RETIRADA</t>
  </si>
  <si>
    <t>TICKET CLIENTE</t>
  </si>
  <si>
    <t>ATENDENTE</t>
  </si>
  <si>
    <t>MOTIVO</t>
  </si>
  <si>
    <t>OBSERVAÇÕES</t>
  </si>
  <si>
    <t>REGISTRADO IXC</t>
  </si>
  <si>
    <t>01/04</t>
  </si>
  <si>
    <t>CANCELADO</t>
  </si>
  <si>
    <t>DENIS BARBOSA FRADES</t>
  </si>
  <si>
    <t>Petropolis</t>
  </si>
  <si>
    <t>(51) 98138-6810</t>
  </si>
  <si>
    <t>Taquara</t>
  </si>
  <si>
    <t>Sinos</t>
  </si>
  <si>
    <t>LUCAS</t>
  </si>
  <si>
    <t>TROCA DE PROVEDOR</t>
  </si>
  <si>
    <t>Insatisfação com a internet, contratou outra provedora.</t>
  </si>
  <si>
    <t>transb. MAR</t>
  </si>
  <si>
    <t>FERNANDA PATRICIA DA FONTOURA</t>
  </si>
  <si>
    <t>Canudos</t>
  </si>
  <si>
    <t>(51) 99933-1997</t>
  </si>
  <si>
    <t>Novo Hamburgo</t>
  </si>
  <si>
    <t>Irá trocar de provedora por motivos de desconto na academia.</t>
  </si>
  <si>
    <t>Marcelo Marques Scholl</t>
  </si>
  <si>
    <t>Emboaba</t>
  </si>
  <si>
    <t>(51) 99707-8197</t>
  </si>
  <si>
    <t>Osório</t>
  </si>
  <si>
    <t>Litoral</t>
  </si>
  <si>
    <t>31/03</t>
  </si>
  <si>
    <t>DOUGLAS</t>
  </si>
  <si>
    <t>Alegou apenas que optou por trocar de provedor, sem dar mais informações.</t>
  </si>
  <si>
    <t>BIANCA MARIA DE OLIVEIRA BECKER</t>
  </si>
  <si>
    <t>Jardim Panoramico</t>
  </si>
  <si>
    <t>Ivoti</t>
  </si>
  <si>
    <t>Sem retirada</t>
  </si>
  <si>
    <t>JOSE</t>
  </si>
  <si>
    <t>OUTROS</t>
  </si>
  <si>
    <t>Não quis relatar</t>
  </si>
  <si>
    <t>LUCIANA GEBEL VELEDA</t>
  </si>
  <si>
    <t>(51) 99737-0345</t>
  </si>
  <si>
    <t>10/04</t>
  </si>
  <si>
    <t>INSATISFAÇÃO C/ SERVIÇO</t>
  </si>
  <si>
    <t>3ª VT só nesse mês, a mesma muito insatsfeita com o serviço prestado.</t>
  </si>
  <si>
    <t>Zigomar Da Silva Quessada</t>
  </si>
  <si>
    <t>Jardim Conquista</t>
  </si>
  <si>
    <t>(51) 99650-1045</t>
  </si>
  <si>
    <t>Cachoeirinha</t>
  </si>
  <si>
    <t>Matriz</t>
  </si>
  <si>
    <t>03/04</t>
  </si>
  <si>
    <t>Problema técnicos, optou por trocar de provedora.</t>
  </si>
  <si>
    <t>BARBARA DA SILVA RIBEIRO NEUMANN</t>
  </si>
  <si>
    <t>União</t>
  </si>
  <si>
    <t>(51) 94121-0103</t>
  </si>
  <si>
    <t>Estância Velha</t>
  </si>
  <si>
    <t>16/04</t>
  </si>
  <si>
    <t>Reclama do atendimento, informa que falta suporte e que trocou de operadora.</t>
  </si>
  <si>
    <t>Marli Teresa Rodrigues Silveira</t>
  </si>
  <si>
    <t>Saõ Francisco</t>
  </si>
  <si>
    <t>(51) 99217-0220</t>
  </si>
  <si>
    <t>Tramandaí</t>
  </si>
  <si>
    <t>INSATISFAÇÃO C/ ATD</t>
  </si>
  <si>
    <t>Insatisfeita com atendimento e alega que nada, nenhuma proposta fará ela mudar de ideia.</t>
  </si>
  <si>
    <t>VALERIA ALMEIDA DOS SANTOS DA ROSA</t>
  </si>
  <si>
    <t>Nova Parobé</t>
  </si>
  <si>
    <t>(51) 99450-7811</t>
  </si>
  <si>
    <t>Parobé</t>
  </si>
  <si>
    <t>15/04</t>
  </si>
  <si>
    <t>Teve visita e mesmo assim problema persistiu, devido a isso, solicitou cancelamento.</t>
  </si>
  <si>
    <t>Guilherme Leonardo Nepomoceno</t>
  </si>
  <si>
    <t>Novo Mundo</t>
  </si>
  <si>
    <t>(51) 99118-9288</t>
  </si>
  <si>
    <t>Gravataí</t>
  </si>
  <si>
    <t xml:space="preserve">Alega que é a segunda vez que fica sem sinal e reclama da demora do atendimento do suporte técnico. </t>
  </si>
  <si>
    <t>RETIDO</t>
  </si>
  <si>
    <t>Rosane de Fraga Dessa</t>
  </si>
  <si>
    <t>Vila Veranópolis</t>
  </si>
  <si>
    <t>(51) 98503-4182</t>
  </si>
  <si>
    <t>99,90</t>
  </si>
  <si>
    <t>Reclama da ausência de sinal, informado de manutenção e prazo para normalização + 30% de desc. na fatura de abril.</t>
  </si>
  <si>
    <t>MAIARA ANTUNES DE OLIVEIRA DILSCHNEIDER</t>
  </si>
  <si>
    <t>Roselandia</t>
  </si>
  <si>
    <t>69,90</t>
  </si>
  <si>
    <t>Visita</t>
  </si>
  <si>
    <t>FLADIMIR DE MOURA AVILA</t>
  </si>
  <si>
    <t>(51) 99741-5656</t>
  </si>
  <si>
    <t>08/04</t>
  </si>
  <si>
    <t>Sem solução apos atd interno (Não foi entregue carne)</t>
  </si>
  <si>
    <t xml:space="preserve">Alan Thiesen dos Passos </t>
  </si>
  <si>
    <t>Jardim Betania</t>
  </si>
  <si>
    <t xml:space="preserve"> (51) 99320-5760</t>
  </si>
  <si>
    <t>06/04</t>
  </si>
  <si>
    <t>MOTIVOS PESSOAIS</t>
  </si>
  <si>
    <t>Mãe idosa que fazia uso</t>
  </si>
  <si>
    <t>Larissa Silva</t>
  </si>
  <si>
    <t>Neopolis</t>
  </si>
  <si>
    <t xml:space="preserve"> (51) 98477-6874</t>
  </si>
  <si>
    <t>Acordo em faturas</t>
  </si>
  <si>
    <t>Clenir Pereira da Silva</t>
  </si>
  <si>
    <t>Vila Monte Carlo</t>
  </si>
  <si>
    <t>(51) 98428-8608</t>
  </si>
  <si>
    <t>Outros</t>
  </si>
  <si>
    <t>CARLOS EDUARDO ROHR</t>
  </si>
  <si>
    <t>Campo Grande</t>
  </si>
  <si>
    <t>(51) 99214-4868</t>
  </si>
  <si>
    <t>09/04</t>
  </si>
  <si>
    <t>Reclama ds qualidade do sinal.</t>
  </si>
  <si>
    <t>SAMUEL LOPES TAVARES</t>
  </si>
  <si>
    <t>Rincão dos Ilhéus</t>
  </si>
  <si>
    <t>MUDANÇA DE ENDEREÇO</t>
  </si>
  <si>
    <t>Não confirmado</t>
  </si>
  <si>
    <t>Julia Gabriel da silva</t>
  </si>
  <si>
    <t>(51) 99689-8968</t>
  </si>
  <si>
    <t>-</t>
  </si>
  <si>
    <t>PROBLEMAS FINANC</t>
  </si>
  <si>
    <t>Alega que: Aumentou a mensalidade sem ao menos me avisar com antecedência, e qualquer nuvem que dá no céu eu fico sem internet</t>
  </si>
  <si>
    <t>Douglas Maiato da Silva</t>
  </si>
  <si>
    <t>Nova Cachoeirinha</t>
  </si>
  <si>
    <t xml:space="preserve"> (51) 99997-5021</t>
  </si>
  <si>
    <t>Local sem viabilidade.</t>
  </si>
  <si>
    <t>Gabriel Tavares França</t>
  </si>
  <si>
    <t>Emancipacao</t>
  </si>
  <si>
    <t>(51) 99940-7773</t>
  </si>
  <si>
    <t>119,90</t>
  </si>
  <si>
    <t>Retido com VT de reincidência + 30% de desc. por 3 meses.</t>
  </si>
  <si>
    <t>CASSIO OLIVEIRA DA SILVA</t>
  </si>
  <si>
    <t>Centro</t>
  </si>
  <si>
    <t>(51) 99463-0360</t>
  </si>
  <si>
    <t>Estancia Velha</t>
  </si>
  <si>
    <t>Novo endereço sem viabilidade.</t>
  </si>
  <si>
    <t>Chrystofer Bitencourt Rodrigues</t>
  </si>
  <si>
    <t>Santa Fé</t>
  </si>
  <si>
    <t xml:space="preserve"> (51) 98352-6402</t>
  </si>
  <si>
    <t>CLAIR EBERHART</t>
  </si>
  <si>
    <t>(51) 99631-0491</t>
  </si>
  <si>
    <t>109,90</t>
  </si>
  <si>
    <t>Argumentação+visita</t>
  </si>
  <si>
    <t>ELISANGELA CAMARGO</t>
  </si>
  <si>
    <t>Lago Azul</t>
  </si>
  <si>
    <t>(51) 99525-9088</t>
  </si>
  <si>
    <t>Alega muita instabilidade. Não quer mais assistência e negou proposta realizada.</t>
  </si>
  <si>
    <t>Marcelo Cardoso Fernandes</t>
  </si>
  <si>
    <t>Vila Vista Alegre</t>
  </si>
  <si>
    <t>(51) 98592-1488</t>
  </si>
  <si>
    <t>Agendado VT para troca + renovação de fidelidade por 12 meses.</t>
  </si>
  <si>
    <t>Maicon Douglas da Silva Dias</t>
  </si>
  <si>
    <t>Jardim do Bosque</t>
  </si>
  <si>
    <t>(51) 99500-9661</t>
  </si>
  <si>
    <t>Alega mudança de endereço, não quis entrar em detalhes.</t>
  </si>
  <si>
    <t>Heleno Peris Ferreira Nazário</t>
  </si>
  <si>
    <t>Morada do Vale III</t>
  </si>
  <si>
    <t>(51) 98325-0405</t>
  </si>
  <si>
    <t>07/04</t>
  </si>
  <si>
    <t>Houve troca do modem e problema persistiu, acabou optando por trocar de provedora.</t>
  </si>
  <si>
    <t>Kátia Gonçalves de Guimarães</t>
  </si>
  <si>
    <t>Fazenda Esperança</t>
  </si>
  <si>
    <t>(51) 99392-7998</t>
  </si>
  <si>
    <t>Insatisfação com os serviços.</t>
  </si>
  <si>
    <t>02/04</t>
  </si>
  <si>
    <t> FABIO CLEDIR MARX</t>
  </si>
  <si>
    <t>59,90</t>
  </si>
  <si>
    <t xml:space="preserve">Redução de plano </t>
  </si>
  <si>
    <t>Alexandre Schumacher da Silva</t>
  </si>
  <si>
    <t>Vista Alegre</t>
  </si>
  <si>
    <t xml:space="preserve"> (51) 97400-5418</t>
  </si>
  <si>
    <t>129,90</t>
  </si>
  <si>
    <t>José Saul da Costa Lima</t>
  </si>
  <si>
    <t>Jardim Bet nia</t>
  </si>
  <si>
    <t>(51) 98464-2379</t>
  </si>
  <si>
    <t>Alega mudança de endereço, não quis ouvir nenhum tipo de argumentação.</t>
  </si>
  <si>
    <t>FRANKLIN NAPOLEON GUTIERREZ GARCIA</t>
  </si>
  <si>
    <t> 51 99673 2555</t>
  </si>
  <si>
    <t>sinos</t>
  </si>
  <si>
    <t xml:space="preserve">troca de provedor não quis informar o motivo </t>
  </si>
  <si>
    <t>RODRIGO FERNANDES LENCINA</t>
  </si>
  <si>
    <t>(51) 99397-5393</t>
  </si>
  <si>
    <t>Não precisa</t>
  </si>
  <si>
    <t>Alega que sua internet cai todos os dias, ofertei técnico + desconto, não aceitou.</t>
  </si>
  <si>
    <t>Felipe Alves Machado</t>
  </si>
  <si>
    <t>Achou um mais barato</t>
  </si>
  <si>
    <t>Lucas Prestes</t>
  </si>
  <si>
    <t>Vila Parque Brasília</t>
  </si>
  <si>
    <t>(51) 99193-3222</t>
  </si>
  <si>
    <t>04/04</t>
  </si>
  <si>
    <t>Mesmo estando com sinal, quer cancelar pela demora do atendimento técnico realizado em 27/03 - Argumentei, ofereci desconto, sem sucesso, não aceitou.</t>
  </si>
  <si>
    <t>Tatiana Maria Santos</t>
  </si>
  <si>
    <t>(51) 98435-2049</t>
  </si>
  <si>
    <t>MATRIZ</t>
  </si>
  <si>
    <t>Retida com desconto de R$ 59,90 por 6 meses com renovação da fidelidade.</t>
  </si>
  <si>
    <t xml:space="preserve"> CARMEN LUCIA HEIDEN BREYER</t>
  </si>
  <si>
    <t>Bela Vista</t>
  </si>
  <si>
    <t>16/03</t>
  </si>
  <si>
    <t>Sem solução apos visita</t>
  </si>
  <si>
    <t>MAICON SALVADOR</t>
  </si>
  <si>
    <t>Medianeira</t>
  </si>
  <si>
    <t>(51) 99592-7681</t>
  </si>
  <si>
    <t>SINOS</t>
  </si>
  <si>
    <t>Retido com encaixe para hoje 02/04.</t>
  </si>
  <si>
    <t>Élen Silva de Oliveira</t>
  </si>
  <si>
    <t>Distrito Industrial</t>
  </si>
  <si>
    <t>(51) 99588-8500</t>
  </si>
  <si>
    <t>Alegou problemas pessoais, ofertei suspensão, não aceitou.</t>
  </si>
  <si>
    <t>WILLI JONAS DO NASCIMENTO CAMARGO</t>
  </si>
  <si>
    <t>Rincão</t>
  </si>
  <si>
    <t>(51) 9893-8751</t>
  </si>
  <si>
    <t>Mudança para condominio não cabeado, que possui outro provedor.</t>
  </si>
  <si>
    <t>Aline Araújo da Silva</t>
  </si>
  <si>
    <t>Parque Ipiranga</t>
  </si>
  <si>
    <t>LUIZA DOS SANTOS</t>
  </si>
  <si>
    <t>(51) 98153-9912</t>
  </si>
  <si>
    <t>Alega mudança de endereço para local que já tem outra provedora.</t>
  </si>
  <si>
    <t>ELISANDRA ANDRESSA DA SILVA</t>
  </si>
  <si>
    <t>Santa Teresinha</t>
  </si>
  <si>
    <t>(51) 98222-2259</t>
  </si>
  <si>
    <t>Alega que optou por trocar de provedora para ter melhor qualidade de sinal.</t>
  </si>
  <si>
    <t xml:space="preserve"> ILSE DE FATIMA EILERT BRASIL</t>
  </si>
  <si>
    <t>São Jose</t>
  </si>
  <si>
    <t>ELAINE DA ROSA IRMAO</t>
  </si>
  <si>
    <t xml:space="preserve">Centro </t>
  </si>
  <si>
    <t>Cidreira</t>
  </si>
  <si>
    <t>Argumentação</t>
  </si>
  <si>
    <t>NELSON GERHARDT</t>
  </si>
  <si>
    <t>CINTIA MENDES BARROS DA SILVA</t>
  </si>
  <si>
    <t>Morro de Paula</t>
  </si>
  <si>
    <t>São Leopoldo</t>
  </si>
  <si>
    <t xml:space="preserve">ELIEL MARCOS DE OLIVEIRA </t>
  </si>
  <si>
    <t xml:space="preserve">Vila Anair </t>
  </si>
  <si>
    <t>(51) 98202-6967</t>
  </si>
  <si>
    <t>Cliente optou pelo cancelemento de um dos seus pontos, não irá mais ser utilizada.</t>
  </si>
  <si>
    <t xml:space="preserve"> Joice da Silveira Joaquim</t>
  </si>
  <si>
    <t>LITORAL</t>
  </si>
  <si>
    <t>89,90</t>
  </si>
  <si>
    <t>Visita (reincidencia)</t>
  </si>
  <si>
    <t>Filipi Brangaitis</t>
  </si>
  <si>
    <t>Morada do Vale I</t>
  </si>
  <si>
    <t>(51) 98196-8122</t>
  </si>
  <si>
    <t>Alega que não precisa mais e não quis entrar em detalhes.</t>
  </si>
  <si>
    <t>Ana Angélica de Souza Silva</t>
  </si>
  <si>
    <t>(51) 99202-1672</t>
  </si>
  <si>
    <t>Falecimento da titular. (Enviou certidão de óbito).</t>
  </si>
  <si>
    <t>JEFERSON MACHADO DA SILVA</t>
  </si>
  <si>
    <t>Empresa</t>
  </si>
  <si>
    <t>(51) 9956-8188</t>
  </si>
  <si>
    <t>Não necessário</t>
  </si>
  <si>
    <t>Teve 3 visitas técnicas no último mês e problema persiste, decidiu cancelar.</t>
  </si>
  <si>
    <t> JESSICA TAINARA ALVES BUENO</t>
  </si>
  <si>
    <t>Sem solução apos atd interno (suporte)</t>
  </si>
  <si>
    <t>VELCI ANTONIO BERTE</t>
  </si>
  <si>
    <t>(51) 99812-6531</t>
  </si>
  <si>
    <t>Feito procedimentos normalizou e fornecido 10% de desconto na fatura.</t>
  </si>
  <si>
    <t>Adriana da Silva Correia</t>
  </si>
  <si>
    <t>Moradas do Bosque</t>
  </si>
  <si>
    <t>(51) 98501-7295</t>
  </si>
  <si>
    <t>Alega que vendeu a casa e que novos moradores já tem internet.</t>
  </si>
  <si>
    <t>MARIA SELBA BATISTA RIBEIRO</t>
  </si>
  <si>
    <t>Das Rosas</t>
  </si>
  <si>
    <t>(51) 98619-4369</t>
  </si>
  <si>
    <t>Alega que vai embora para outra Cidade que já possui outra provedora.</t>
  </si>
  <si>
    <t>SIRLEI GODINHO DA CRUZ</t>
  </si>
  <si>
    <t>Figueira</t>
  </si>
  <si>
    <t>(51) 99764-0083</t>
  </si>
  <si>
    <t>Igrejinha</t>
  </si>
  <si>
    <t>Alega troca de provedora devido a problemas técnicos.</t>
  </si>
  <si>
    <t>Cassios Israel da Silva Pinto</t>
  </si>
  <si>
    <t>Imbé</t>
  </si>
  <si>
    <t>Rafaela Souza Dias</t>
  </si>
  <si>
    <t>Parque Granja Esperança</t>
  </si>
  <si>
    <t>(51) 98543-1593</t>
  </si>
  <si>
    <t>Retida com VT de urgencia agendada e executada no dia 04/04.</t>
  </si>
  <si>
    <t>LEONTINA BEGAIR MACHADO BELHITZ</t>
  </si>
  <si>
    <t>Liliam Martins Machado</t>
  </si>
  <si>
    <t>Vera Cruz</t>
  </si>
  <si>
    <t>IRMA LEONILDA SARMENTO</t>
  </si>
  <si>
    <t>São Jorge</t>
  </si>
  <si>
    <t>17/04</t>
  </si>
  <si>
    <t>Lentidão</t>
  </si>
  <si>
    <t>Dionathan Ferreira Pellisoli</t>
  </si>
  <si>
    <t>Parque da Matriz</t>
  </si>
  <si>
    <t>Mateus de Lima Leonarczyk</t>
  </si>
  <si>
    <t>Bom Sucesso</t>
  </si>
  <si>
    <t>51 98420 3884</t>
  </si>
  <si>
    <t>GRAVATAI</t>
  </si>
  <si>
    <t xml:space="preserve">INFORMO QUE VAI VOLTAR A MORAR COM SEUS PAIS E QUE ELES JA POSSUIM INTERNET </t>
  </si>
  <si>
    <t>Rosa Maria Seus Moreira Guedes</t>
  </si>
  <si>
    <t>Porto Garibaldi</t>
  </si>
  <si>
    <t>51 99245 2006</t>
  </si>
  <si>
    <t>Montenegro</t>
  </si>
  <si>
    <t>NÃO RETIRADO</t>
  </si>
  <si>
    <t>SEM INTERNET A 2 DIAS NÃO QUIS AGENDAR VISITA</t>
  </si>
  <si>
    <t>Fabiana Ferraz dos Santos</t>
  </si>
  <si>
    <t>Parque Presidentes</t>
  </si>
  <si>
    <t>Tramandai</t>
  </si>
  <si>
    <t>VALMOR MATOS RODRIGUES</t>
  </si>
  <si>
    <t>Vila Diehl</t>
  </si>
  <si>
    <t xml:space="preserve">Novo Hamburgo </t>
  </si>
  <si>
    <t>Eliandra Machado</t>
  </si>
  <si>
    <t>Vila Anair</t>
  </si>
  <si>
    <t>(51) 99162-0331</t>
  </si>
  <si>
    <t>Reclama de constantes quedas de sinal e informa troca de provedor, devido a isso.</t>
  </si>
  <si>
    <t>LEONARDO HENRIQUE MENDONCA AVILA</t>
  </si>
  <si>
    <t>(51) 99380-8022</t>
  </si>
  <si>
    <t xml:space="preserve">INFORMOU QUE SE MUDOU E NÃO UTILIZA MAIS </t>
  </si>
  <si>
    <t xml:space="preserve"> Daniel Roberto Mendes</t>
  </si>
  <si>
    <t>Maria Cristina Carvalho Silveira</t>
  </si>
  <si>
    <t>Parque dos Presidentes</t>
  </si>
  <si>
    <t>Clenir de Fátima Quevedo Zorzi</t>
  </si>
  <si>
    <t>Encosta do Sol</t>
  </si>
  <si>
    <t>Zeli Terezinha Falcão Pereira</t>
  </si>
  <si>
    <t>São Jerônimo</t>
  </si>
  <si>
    <t>(51) 98206-3449</t>
  </si>
  <si>
    <t>Retida com 30% de desc. por 3 meses - Sinal normalizou não sendo necessário vt.</t>
  </si>
  <si>
    <t>Ana Claudia Dias de Lima da Silva</t>
  </si>
  <si>
    <t>(51) 98565-3071</t>
  </si>
  <si>
    <t>Informei fidelidade de 3 meses, valor da multa e a mesma informou que vale mais a pena seguir com a internet.</t>
  </si>
  <si>
    <t>Phillipe Thomas Ávila Machado</t>
  </si>
  <si>
    <t>Chácara das Rosas</t>
  </si>
  <si>
    <t>(51) 98615-2473</t>
  </si>
  <si>
    <t>Mudança de endereço para outro estado.</t>
  </si>
  <si>
    <t xml:space="preserve"> Josie Priscila da Silva Borges</t>
  </si>
  <si>
    <t xml:space="preserve"> (51) 98564-2278</t>
  </si>
  <si>
    <t>Anderson Gonçalves</t>
  </si>
  <si>
    <t>Vila Imbui</t>
  </si>
  <si>
    <t>(51) 99194-3745</t>
  </si>
  <si>
    <t>Suspensão temporária</t>
  </si>
  <si>
    <t>JORGE MANOEL DE BEM</t>
  </si>
  <si>
    <t>Cidade nova</t>
  </si>
  <si>
    <t>(51) 99117-4651</t>
  </si>
  <si>
    <t>Solicitou que VT agendada ocorresse o mais próximo das 08:00 possível, pois depois não poderia atender técnico e não compareceu dentro do horário solicitado pelo cliente.</t>
  </si>
  <si>
    <t xml:space="preserve"> Jean Marcos Marasca Sóca</t>
  </si>
  <si>
    <t xml:space="preserve">            (51) 99166-7899</t>
  </si>
  <si>
    <t>Retido com desconto 25% por 3 meses.</t>
  </si>
  <si>
    <t>José Odil dos Santos</t>
  </si>
  <si>
    <t>(51) 98920-8692</t>
  </si>
  <si>
    <t>Retido com isenção da taxa de mudança de endereço.</t>
  </si>
  <si>
    <t>Marcia Regina dos Santos</t>
  </si>
  <si>
    <t>São Francisco 2</t>
  </si>
  <si>
    <t xml:space="preserve">            (51) 98065-1428</t>
  </si>
  <si>
    <t>Insatifação com os serviços, não quis conversar, somente cancelar.</t>
  </si>
  <si>
    <t>Sandra Mara Gonçalves Fonseca</t>
  </si>
  <si>
    <t>Quedas Constantes</t>
  </si>
  <si>
    <t>CARLA GOSSENHEIMER</t>
  </si>
  <si>
    <t>(51) 99952-1671</t>
  </si>
  <si>
    <t>Alega que trabalha com a internet e se dependesse do agendamento técnico estaria desempregada.</t>
  </si>
  <si>
    <t>Manoel Roberto Garcez da Silva</t>
  </si>
  <si>
    <t>Parque Marechal Rondon</t>
  </si>
  <si>
    <t>(51) 98252-6295</t>
  </si>
  <si>
    <t>Cliente solicitou cancelamento devido a uma mensagem do setor de agendamento informando que técnico não iria mais hoje, verificado com area responsável e um novo técnico irá até o local. Cliente aceitou.</t>
  </si>
  <si>
    <t xml:space="preserve"> FERNANDO DA SILVA</t>
  </si>
  <si>
    <t>Visita não realizada</t>
  </si>
  <si>
    <t>Junior Cesar da Silv</t>
  </si>
  <si>
    <t>(51) 99562-0361</t>
  </si>
  <si>
    <t>Luciana Schimitz de oliveira</t>
  </si>
  <si>
    <t>Ajuste fatura</t>
  </si>
  <si>
    <t xml:space="preserve"> CLAUDENISE DE MOURA RODRIGUES</t>
  </si>
  <si>
    <t>Visita+20% OFF</t>
  </si>
  <si>
    <t>Regina Sanhudo Dias</t>
  </si>
  <si>
    <t>11/04</t>
  </si>
  <si>
    <t>Venda Imovel</t>
  </si>
  <si>
    <t>Matheus Gonçalves Corvelo</t>
  </si>
  <si>
    <t>(51) 98314-7959</t>
  </si>
  <si>
    <t>Pediu cancelamento devido a reforma da casa, ofertei suspensão, aceitou.</t>
  </si>
  <si>
    <t>Rogério Luiz da Rosa</t>
  </si>
  <si>
    <t>(51) 99479-4246</t>
  </si>
  <si>
    <t xml:space="preserve">Lançado 2 meses com 30%. </t>
  </si>
  <si>
    <t>Nayr Pacheco Roque</t>
  </si>
  <si>
    <t>Cruzeiro</t>
  </si>
  <si>
    <t>(51) 99248-7298</t>
  </si>
  <si>
    <t>18/04</t>
  </si>
  <si>
    <t>Mudança de endereço de Tramandaí para Gravataí onde já tem internet.</t>
  </si>
  <si>
    <t>Janete de Moura</t>
  </si>
  <si>
    <t>Arroio do Sal</t>
  </si>
  <si>
    <t xml:space="preserve">            (51) 99289-8407</t>
  </si>
  <si>
    <t>Retido com desc 20% nos próximos 2 meses.</t>
  </si>
  <si>
    <t>ANDRE DIETER</t>
  </si>
  <si>
    <t>Harmonia</t>
  </si>
  <si>
    <t xml:space="preserve">            (51) 98064-2521</t>
  </si>
  <si>
    <t>Ivoti - RS</t>
  </si>
  <si>
    <t>Instatisfação com os serviços, não aceitou nenhuma proposta.</t>
  </si>
  <si>
    <t>Carlos Eduardo Farias dos Reis</t>
  </si>
  <si>
    <t>INADIMPLENCIA</t>
  </si>
  <si>
    <t>Jonata Bayer Gonsalves</t>
  </si>
  <si>
    <t>Balneário Jardim</t>
  </si>
  <si>
    <t>(51) 99253-4979</t>
  </si>
  <si>
    <t>litoral</t>
  </si>
  <si>
    <t xml:space="preserve"> TANIA RENATA OLIVEIRA MORAIS</t>
  </si>
  <si>
    <t>Santos Dumont</t>
  </si>
  <si>
    <t xml:space="preserve">Outros </t>
  </si>
  <si>
    <t>Gustavo Tierre Oliveira da Silva</t>
  </si>
  <si>
    <t>Vila Silveira Martins</t>
  </si>
  <si>
    <t>(51) 99306-9595</t>
  </si>
  <si>
    <t>Alega que conexão é ruim, ofertei visita técnica, não aceitou.</t>
  </si>
  <si>
    <t>Deisy Souza Zangalli</t>
  </si>
  <si>
    <t>Vila Bom pricipio</t>
  </si>
  <si>
    <t xml:space="preserve">Retido com contra-oferta da UNO e visita tecnica. </t>
  </si>
  <si>
    <t>JEAN SAUL CRIVELLARO II</t>
  </si>
  <si>
    <t>(51) 99649-0122</t>
  </si>
  <si>
    <t>Campo Bom</t>
  </si>
  <si>
    <t>Não precisou</t>
  </si>
  <si>
    <t>39,90</t>
  </si>
  <si>
    <t>Alega que não utiliza mais, questionei se tratava de velocidade, não quis entrar em detalhes.</t>
  </si>
  <si>
    <t>Cátia de Abreu Lopes</t>
  </si>
  <si>
    <t xml:space="preserve">Cachoeirinha </t>
  </si>
  <si>
    <t>Célia Regina Valandro dos Santos</t>
  </si>
  <si>
    <t xml:space="preserve">            (51) 99192-0392</t>
  </si>
  <si>
    <t>R$ 59,90</t>
  </si>
  <si>
    <t>Retido com a renovação plano 59,90</t>
  </si>
  <si>
    <t>24/04</t>
  </si>
  <si>
    <t>Junior Rodrigues Rhoden</t>
  </si>
  <si>
    <t>(51) 99369-6089</t>
  </si>
  <si>
    <t xml:space="preserve">Retido com VT para análise do problema técnico. </t>
  </si>
  <si>
    <t>Talita da Silva Souza</t>
  </si>
  <si>
    <t>Vila Fatima</t>
  </si>
  <si>
    <t xml:space="preserve">            (51) 99992-4358</t>
  </si>
  <si>
    <t>R$ 99,90</t>
  </si>
  <si>
    <t>Retida com bloqueio manuel por 4 meses.</t>
  </si>
  <si>
    <t xml:space="preserve"> Ana Paula dos Santos Schmitz</t>
  </si>
  <si>
    <t>COHAB C</t>
  </si>
  <si>
    <t>Ajuste sobre visita</t>
  </si>
  <si>
    <t>Anajade Souza da Silva</t>
  </si>
  <si>
    <t>Bom Princípio</t>
  </si>
  <si>
    <t>(51) 99341-3354</t>
  </si>
  <si>
    <t>Mudança de endereço sem taxa + renovação da oferta de R$ 59,90 por 12 meses.</t>
  </si>
  <si>
    <t>LODERIM CLAIDES PIRES DE ARRUDA</t>
  </si>
  <si>
    <t>Cidade Nova</t>
  </si>
  <si>
    <t xml:space="preserve">            (51) 98187-1111</t>
  </si>
  <si>
    <t>Cliente retido com argumentação.</t>
  </si>
  <si>
    <t>Alexsandro Santos Pedroso</t>
  </si>
  <si>
    <t>Parque Granja Esperanca</t>
  </si>
  <si>
    <t xml:space="preserve">            (51) 99401-1754</t>
  </si>
  <si>
    <t>R$ 129,90</t>
  </si>
  <si>
    <t>Insatisação com internet lenta/quedas</t>
  </si>
  <si>
    <t>EDMAR PALAMAR DE OLIVEIRA</t>
  </si>
  <si>
    <t>Vinicius Ramos Duarte</t>
  </si>
  <si>
    <t>30% OFF 2 MESES</t>
  </si>
  <si>
    <t>Iara Maria Silva da Silva</t>
  </si>
  <si>
    <t>Vila Fátima</t>
  </si>
  <si>
    <t>(51) 98559-5551</t>
  </si>
  <si>
    <t>Alega que seu filho trabalha de home office e internet falha demais, não aceitou vt, alega troca de provedora.</t>
  </si>
  <si>
    <t xml:space="preserve"> João Sadil da Silva</t>
  </si>
  <si>
    <t xml:space="preserve">Novo Haburgo </t>
  </si>
  <si>
    <t xml:space="preserve">Outros
</t>
  </si>
  <si>
    <t>LUCIANE DE SOUZA KONRAD</t>
  </si>
  <si>
    <t>(51) 99648-4620</t>
  </si>
  <si>
    <t>Alega troca de provedora, pois seu esposo colocou na empresa dele e resolveram colocar a mesma em casa também.</t>
  </si>
  <si>
    <t>VILSON JOSELITO SCHUTZ</t>
  </si>
  <si>
    <t>iVOTI</t>
  </si>
  <si>
    <t>Já tinha dois provedores</t>
  </si>
  <si>
    <t>SCHEILA BOCKORNY DE CARVALHO</t>
  </si>
  <si>
    <t>23/04</t>
  </si>
  <si>
    <t>Novo Endereço já possui conexão</t>
  </si>
  <si>
    <t>81465 - Rk Gestão E Assessoria Em Telecomunicação 4</t>
  </si>
  <si>
    <t>(51) 99609-2979</t>
  </si>
  <si>
    <t>Correios</t>
  </si>
  <si>
    <t>Fechamento da unidade.</t>
  </si>
  <si>
    <t>PAMELA BORGES RIBEIRO</t>
  </si>
  <si>
    <t>Sete de Setembro</t>
  </si>
  <si>
    <t>(51) 99862-2971</t>
  </si>
  <si>
    <t>Alega que recebeu proposta da Vivo, contra argumentei, informei que oferta é por 3 meses apenas, cliente decidiu permanecer com a Fênix.</t>
  </si>
  <si>
    <t>BARBARA VIEIRA VOSS</t>
  </si>
  <si>
    <t>Vila Jardim América</t>
  </si>
  <si>
    <t>(51) 98127-7952</t>
  </si>
  <si>
    <t>Sua casa pegou fogo (enviou BO). Argumentei sobre fidelidade e ofertado suspensão por 4 meses. Aceitou.</t>
  </si>
  <si>
    <t>Janaina Coimbra Perez</t>
  </si>
  <si>
    <t xml:space="preserve">            (51) 99126-7218</t>
  </si>
  <si>
    <t>SEDE</t>
  </si>
  <si>
    <t>Cliente irá se mudar de estado.</t>
  </si>
  <si>
    <t>Gabriele Schultz Pires</t>
  </si>
  <si>
    <t xml:space="preserve">            (51) 99725-1903</t>
  </si>
  <si>
    <t>Se mudou para Canoas e local ja tem internet</t>
  </si>
  <si>
    <t>Douglas Willian Rocha de Oliveira</t>
  </si>
  <si>
    <t>13/04</t>
  </si>
  <si>
    <t>Sem viabilidade parque da matriz</t>
  </si>
  <si>
    <t>Édson Maurício Alves</t>
  </si>
  <si>
    <t>(51) 98922-3844</t>
  </si>
  <si>
    <t>Visita + 25% OFF 1 mes</t>
  </si>
  <si>
    <t>Silvia Regina Ferreira Soares</t>
  </si>
  <si>
    <t>Muck</t>
  </si>
  <si>
    <t>Login | Convenia</t>
  </si>
  <si>
    <t>PEDRO MARCELO DE CARVALHO</t>
  </si>
  <si>
    <t>Maria Tereza Silva de Souza</t>
  </si>
  <si>
    <t xml:space="preserve"> Parque Residencial Miraflores Ipiranga </t>
  </si>
  <si>
    <t xml:space="preserve">             (51) 99816-1706</t>
  </si>
  <si>
    <t>Gravataí - RS</t>
  </si>
  <si>
    <t>Suspensão temp. Motivo doença</t>
  </si>
  <si>
    <t>Simone de Fraga Pinheiro</t>
  </si>
  <si>
    <t>(51) 99678-9348</t>
  </si>
  <si>
    <t xml:space="preserve"> Venilda de Lourdes Aleknovic</t>
  </si>
  <si>
    <t xml:space="preserve">            (51) 98592-3209</t>
  </si>
  <si>
    <t>Cachoeirinha - RS</t>
  </si>
  <si>
    <t>R$ 89,90</t>
  </si>
  <si>
    <t>Isenção na troca de ponto</t>
  </si>
  <si>
    <t xml:space="preserve">            (51) 99369-6089</t>
  </si>
  <si>
    <t>CARINE JUSSARA LOPES DA ROSA</t>
  </si>
  <si>
    <t>Parque dos Eucalíptos</t>
  </si>
  <si>
    <t>(51) 98955-6261</t>
  </si>
  <si>
    <t>quedas constates</t>
  </si>
  <si>
    <t>Regis Mateus Oliveira da Silva</t>
  </si>
  <si>
    <t>Santa Luzia</t>
  </si>
  <si>
    <t>OSORIO</t>
  </si>
  <si>
    <t>JOSE ALVES DOS SANTOS</t>
  </si>
  <si>
    <t>Visita + desconto 5 dias sem conexão</t>
  </si>
  <si>
    <t>Juliano Gheno</t>
  </si>
  <si>
    <t>BOM JARDIM</t>
  </si>
  <si>
    <t>(51) 99686-4111</t>
  </si>
  <si>
    <t>Alega que terá que entregar o apartamento que é alugado e não deseja realizar mudança de endereço.</t>
  </si>
  <si>
    <t>PAOLA MORAES FLORES</t>
  </si>
  <si>
    <t>Guarani</t>
  </si>
  <si>
    <t>(51) 99638-1777</t>
  </si>
  <si>
    <t>Optou pelo cancelamento devido a problema técnico, não quis agendar vt e alega que devido ao problema, trocou de provedora.</t>
  </si>
  <si>
    <t>IMELDA PETRY EWERLING</t>
  </si>
  <si>
    <t>(51) 99774-2178</t>
  </si>
  <si>
    <t>Viagem para outro País.</t>
  </si>
  <si>
    <t>ROSA ANDREIA AGUIAR SILVEIRA</t>
  </si>
  <si>
    <t>Vila Feliz</t>
  </si>
  <si>
    <t>(51) 99678-0095</t>
  </si>
  <si>
    <t>Troca de aparelho + 30% no mês de abril.</t>
  </si>
  <si>
    <t>Francisca Mirele Diniz Bernardo</t>
  </si>
  <si>
    <t>Neópolis</t>
  </si>
  <si>
    <t>(85) 99283-5517</t>
  </si>
  <si>
    <t>entregue</t>
  </si>
  <si>
    <t>AGENDAMENTO</t>
  </si>
  <si>
    <t>Jerri Adriano da Rosa</t>
  </si>
  <si>
    <t>Planalto</t>
  </si>
  <si>
    <t>Naracema Soares de Castro</t>
  </si>
  <si>
    <t>(51) 99974-9430</t>
  </si>
  <si>
    <t>Alega que ficou esperando técnico durante 5 dias, ninguém apareceu e deseja cancelar.</t>
  </si>
  <si>
    <t>MARCELA GABRIELA DE AZEVEDO SCHAF</t>
  </si>
  <si>
    <t>(51) 99753-3577</t>
  </si>
  <si>
    <t>Reclama da lentidão na conexão, ofertei agendamento para amanhã, queria para hoje, sem possíbilidade de encaixe.</t>
  </si>
  <si>
    <t xml:space="preserve">
Eronita da Silva</t>
  </si>
  <si>
    <t xml:space="preserve">            (51) 99599-1976</t>
  </si>
  <si>
    <t xml:space="preserve"> Cachoeirinha - RS</t>
  </si>
  <si>
    <t xml:space="preserve"> Daiane Silveira dos Santos</t>
  </si>
  <si>
    <t>Bom Principio</t>
  </si>
  <si>
    <t>...</t>
  </si>
  <si>
    <t>CLAUDIO GILBERTO DOYLE DINECH</t>
  </si>
  <si>
    <t>49,90</t>
  </si>
  <si>
    <t>CAROLINE LOPES KAISER</t>
  </si>
  <si>
    <t>Guaruja</t>
  </si>
  <si>
    <t>(51) 99902-2007</t>
  </si>
  <si>
    <t>Parobé - RS</t>
  </si>
  <si>
    <t>R$ 109,90</t>
  </si>
  <si>
    <t>Retida com isenção na troca de endereço.</t>
  </si>
  <si>
    <t>Juliane Briança Gottem</t>
  </si>
  <si>
    <t>Petrobras</t>
  </si>
  <si>
    <t>(51) 99597-8787</t>
  </si>
  <si>
    <t>Osório - RS</t>
  </si>
  <si>
    <t>Ret com argumentação + desc em fatura.</t>
  </si>
  <si>
    <t>Rk Gestão E Assessoria Em Telecomunicação 4</t>
  </si>
  <si>
    <t>79,90</t>
  </si>
  <si>
    <t>Desarcordo RK + São João</t>
  </si>
  <si>
    <t>DANIELA POINTEVIN FRACON</t>
  </si>
  <si>
    <t>BRUNO GUSTAVO BOES</t>
  </si>
  <si>
    <t>24/03</t>
  </si>
  <si>
    <t>Atendimento Tecnico Externo</t>
  </si>
  <si>
    <t>Luan dos Santos Pereira</t>
  </si>
  <si>
    <t>(51) 99293-8109</t>
  </si>
  <si>
    <t>problemas financeiros</t>
  </si>
  <si>
    <t>Eliezer Nunes Miranda</t>
  </si>
  <si>
    <t>(51) 98206-0545</t>
  </si>
  <si>
    <t xml:space="preserve">sem viabilidade </t>
  </si>
  <si>
    <t>ELISANDRA CASARIN DOS SANTOS</t>
  </si>
  <si>
    <t>Distrito de Santa Cristina do Pinhal</t>
  </si>
  <si>
    <t>28/04</t>
  </si>
  <si>
    <t xml:space="preserve">Não quer mais. </t>
  </si>
  <si>
    <t xml:space="preserve"> WILLYAN EMERIM</t>
  </si>
  <si>
    <t>29//04</t>
  </si>
  <si>
    <t xml:space="preserve"> JUCEMARA SANTOS DA SILVA</t>
  </si>
  <si>
    <t>Campo GRANDE</t>
  </si>
  <si>
    <t>07/05</t>
  </si>
  <si>
    <t>Atendimento Suporte Interno</t>
  </si>
  <si>
    <t>Lidiane Jacintho Vilela</t>
  </si>
  <si>
    <t>14/04</t>
  </si>
  <si>
    <t>RICARDO RESENDE</t>
  </si>
  <si>
    <t>Cruzeiro do Sul</t>
  </si>
  <si>
    <t>(11) 97079-5006</t>
  </si>
  <si>
    <t>Alega mudança de endereço para outro estado.</t>
  </si>
  <si>
    <t xml:space="preserve"> Leonardo Borges Rodrigues</t>
  </si>
  <si>
    <t>São Vicente</t>
  </si>
  <si>
    <t>RODRIGO ARNOLD</t>
  </si>
  <si>
    <t>Demora Agenda visita tecnica</t>
  </si>
  <si>
    <t>VANDERLEI TEODORO DA CONCEICAO</t>
  </si>
  <si>
    <t>Melhor Oferta</t>
  </si>
  <si>
    <t>Robson Dias</t>
  </si>
  <si>
    <t>(51) 99198-5327</t>
  </si>
  <si>
    <t>Instabilidade na conexão e já contratou outra provedora.</t>
  </si>
  <si>
    <t>Antonio da conceição Gonçalves</t>
  </si>
  <si>
    <t>(51) 99543-9850</t>
  </si>
  <si>
    <t>Retido com troca de titularidade + oferta de R$ 59,90 por 12 meses c/ renovação de fidelidade.</t>
  </si>
  <si>
    <t>Parque Da Matriz</t>
  </si>
  <si>
    <t>Sem solução apos visita
Sem solução apos atd interno (suporte)</t>
  </si>
  <si>
    <t>Lucas Ramos de Andrades</t>
  </si>
  <si>
    <t>Jardim Betânia</t>
  </si>
  <si>
    <t>(51) 99731-3919</t>
  </si>
  <si>
    <t>Alegou que técnico tinha ido embora sem finalizar serviço, porém, técnico tinha ido apenas colocar o cabeamento. Técnico voltou, finalizou serviço. Desistiu de cancelar.</t>
  </si>
  <si>
    <t>Sandra Maria Morales Jeremias</t>
  </si>
  <si>
    <t>Parque Espírito Santo</t>
  </si>
  <si>
    <t>(48) 99661-0725</t>
  </si>
  <si>
    <t>Primeiro alegou problemas técnicos, ofertei agendamento e ela disse que era na verdade motivo pessoal.</t>
  </si>
  <si>
    <t xml:space="preserve"> Pedro Luiz Veloso Oliveira</t>
  </si>
  <si>
    <t>Morada do Bosque</t>
  </si>
  <si>
    <t>(48) 99612-3262</t>
  </si>
  <si>
    <t>Não quis informar o motivo.</t>
  </si>
  <si>
    <t>GISLAINE DE OLIVEIRA</t>
  </si>
  <si>
    <t>Invernada</t>
  </si>
  <si>
    <t>ANDERSON MARCELO TEIXEIRA</t>
  </si>
  <si>
    <t>(51) 98018-8675</t>
  </si>
  <si>
    <t>Mudança de endereço, tentamos realizar transferência de titularidade para a pessoa que ficará na residência, porém, ela já levou a sua internet para o local.</t>
  </si>
  <si>
    <t>Rosa Maria Peixoto Bastos</t>
  </si>
  <si>
    <t>(51) 99965-7681</t>
  </si>
  <si>
    <t>Cliente irá se mudar para endereço não cabiado</t>
  </si>
  <si>
    <t>Miriã Quezia Vetter</t>
  </si>
  <si>
    <t>Parobe</t>
  </si>
  <si>
    <t>(51) 99745-4746</t>
  </si>
  <si>
    <t>22/04</t>
  </si>
  <si>
    <t>Mudança para local que já possui conexão.</t>
  </si>
  <si>
    <t>Maria Constanza Portela Cassano</t>
  </si>
  <si>
    <t>(51) 99849-0778</t>
  </si>
  <si>
    <t>Cliente deseja cancelar devido a problemas técnicos, vt agendada com substituição do  equipamento solicitado.</t>
  </si>
  <si>
    <t>Franciele dos Santos Urbano</t>
  </si>
  <si>
    <t>(51) 99558-4338</t>
  </si>
  <si>
    <t>Encaixe + 30% off por 3 meses.</t>
  </si>
  <si>
    <t>Eduardo Santos Back</t>
  </si>
  <si>
    <t xml:space="preserve"> Imbé - RS</t>
  </si>
  <si>
    <t>IMBÉ</t>
  </si>
  <si>
    <t>16/05</t>
  </si>
  <si>
    <t>Cacilda Zoti</t>
  </si>
  <si>
    <t>(51) 99423-3723</t>
  </si>
  <si>
    <t>Encaixe de urgência + isenção da fatura de abril (desde 14/03 sem sinal).</t>
  </si>
  <si>
    <t>CRISTIANE FERREIRA DE LEAO</t>
  </si>
  <si>
    <t>(51) 99889-8988</t>
  </si>
  <si>
    <t>Entregar loja</t>
  </si>
  <si>
    <t>Mudança para local não cabeado (enviou comprovante).</t>
  </si>
  <si>
    <t xml:space="preserve"> MARCELINO REIS</t>
  </si>
  <si>
    <t>Travessão</t>
  </si>
  <si>
    <t>(51) 99813-5650</t>
  </si>
  <si>
    <t>Dois Irmãos - RS</t>
  </si>
  <si>
    <t>Optou pelo cancelamento, pois relata muitas quedas/lentidões.</t>
  </si>
  <si>
    <t>Silvana Minuzo Machado</t>
  </si>
  <si>
    <t>(51) 99390-5727</t>
  </si>
  <si>
    <t>Retida com mudança de endereço sem taxa + renovação da fidelidade por 12 meses.</t>
  </si>
  <si>
    <t>Robson Roessler</t>
  </si>
  <si>
    <t>Residencial Azaleia</t>
  </si>
  <si>
    <t xml:space="preserve"> (51) 99810-0365</t>
  </si>
  <si>
    <t>Desc 30% prox 3 faturas e troca de titularidade.</t>
  </si>
  <si>
    <t>Fabio Velasque Menna Junior</t>
  </si>
  <si>
    <t>jansen</t>
  </si>
  <si>
    <t>(51) 99226-0505</t>
  </si>
  <si>
    <t>Mudança de endereço, não quis ver cabeamento, apenas cancelar.</t>
  </si>
  <si>
    <t>Viviane Machado</t>
  </si>
  <si>
    <t>(51) 98970-7116</t>
  </si>
  <si>
    <t>Suspensão temporária por 120 dias.</t>
  </si>
  <si>
    <t>Celso Carlos da silva</t>
  </si>
  <si>
    <t>(51) 99830-5005</t>
  </si>
  <si>
    <t>Cliente realizou o cancelamento pois havia muita instabilidade no sinal.</t>
  </si>
  <si>
    <t>TAINA SANTOS SIMON</t>
  </si>
  <si>
    <t>Ajuste financeiro</t>
  </si>
  <si>
    <t>LEONI TEREZINHA MERTZ</t>
  </si>
  <si>
    <t>ROSANE SILVA DE OLIVEIRA</t>
  </si>
  <si>
    <t>Anair</t>
  </si>
  <si>
    <t>Larissa da Silva Veríssimo Martins</t>
  </si>
  <si>
    <t>(51) 98130-6373</t>
  </si>
  <si>
    <t>Vai se mudar e não quer levar internet para o novo local, pelo menos por enquanto.</t>
  </si>
  <si>
    <t>Joares Alberto Luiz Lima</t>
  </si>
  <si>
    <t>(51) 99611-3410</t>
  </si>
  <si>
    <t>Retido c/ encaixe de urgência + 20% off por 2 meses.</t>
  </si>
  <si>
    <t>Tatiana Soares Rosa</t>
  </si>
  <si>
    <t>Loteamento Vila Rica</t>
  </si>
  <si>
    <t>Visita Reincidencia</t>
  </si>
  <si>
    <t>Adriana Lima de Souza</t>
  </si>
  <si>
    <t xml:space="preserve">Visita não realizada. </t>
  </si>
  <si>
    <t>Régis Machado dos Santos</t>
  </si>
  <si>
    <t>(51) 99179-8862</t>
  </si>
  <si>
    <t>Troca de retirada cliente queria que ocorresse hoje, porém, sem disponibilidade. Devido a isso solicitou o cancelamento.</t>
  </si>
  <si>
    <t>Ida Cristina Pereira de Oliveira</t>
  </si>
  <si>
    <t>(51) 98458-8974</t>
  </si>
  <si>
    <t>Não tinha encaixe disponivel para atendimento para hoje 13/04 contratou outra provedora.</t>
  </si>
  <si>
    <t>Ivan Francisco Stanga</t>
  </si>
  <si>
    <t>centro</t>
  </si>
  <si>
    <t>(51) 99784-4032</t>
  </si>
  <si>
    <t>Retirado</t>
  </si>
  <si>
    <t>Cliente optou pelo cancelamento pois sua mulher contratou outra porovedora.</t>
  </si>
  <si>
    <t xml:space="preserve"> Ana Lucia Salazar Teresa</t>
  </si>
  <si>
    <t>Problemas pessoais</t>
  </si>
  <si>
    <t xml:space="preserve"> Alberto Silva soriano</t>
  </si>
  <si>
    <t>LAIS GABRIELA DE BORBA</t>
  </si>
  <si>
    <t>Bom Jardim</t>
  </si>
  <si>
    <t>(51) 99960-5997</t>
  </si>
  <si>
    <t>Problemas técnicos, sem soluções e meses. Infelizmente só quero fazer o cancelamento (palavras da cliente).</t>
  </si>
  <si>
    <t>Epitacio Bueno Pereira</t>
  </si>
  <si>
    <t>Cruzeiro do sul</t>
  </si>
  <si>
    <t xml:space="preserve"> (54) 98141-9931</t>
  </si>
  <si>
    <t>Taquara - RS</t>
  </si>
  <si>
    <t>Alteração no plano + desc de 5,00 por 6 meses</t>
  </si>
  <si>
    <t>LARISSA PRZENDZIUK ULBRICH</t>
  </si>
  <si>
    <t>(51) 99864-7969</t>
  </si>
  <si>
    <t xml:space="preserve">quedas e lentidão </t>
  </si>
  <si>
    <t>Maik fagundes</t>
  </si>
  <si>
    <t>Stefany Corrêa Costa</t>
  </si>
  <si>
    <t>(51) 99312-4556</t>
  </si>
  <si>
    <t>Problemas financeiros. Realizado suspensão temporária por 4 meses.</t>
  </si>
  <si>
    <t>Giovani Piereti Schneider</t>
  </si>
  <si>
    <t>(51) 98587-1821</t>
  </si>
  <si>
    <t>84,90</t>
  </si>
  <si>
    <t>Retido com novo agendamento para mudança de endereço + 30% off por 3 meses.</t>
  </si>
  <si>
    <t xml:space="preserve">Lucimara Borges
</t>
  </si>
  <si>
    <t>(51) 99680-9757</t>
  </si>
  <si>
    <t>Enviado pix CNPJ</t>
  </si>
  <si>
    <t xml:space="preserve"> ROSELAINE SILVEIRA VINHOLA</t>
  </si>
  <si>
    <t>VILSON INACIO DOS SANTOS</t>
  </si>
  <si>
    <t>(51) 99243-6857</t>
  </si>
  <si>
    <t>Dois Irmãos</t>
  </si>
  <si>
    <t>Teve uma reincidência agendada, porém, não quer mais o serviço.</t>
  </si>
  <si>
    <t>Guarujá</t>
  </si>
  <si>
    <t xml:space="preserve">Não atendeu e queria que marcassem horario. </t>
  </si>
  <si>
    <t>Douglas Teixeira cordova</t>
  </si>
  <si>
    <t xml:space="preserve">Retido com visita. </t>
  </si>
  <si>
    <t>Ydakens Dorne</t>
  </si>
  <si>
    <t>(51) 98319-8602</t>
  </si>
  <si>
    <t>Retido com VT reincidência de problema + 25% off por 3 meses.</t>
  </si>
  <si>
    <t>Kássia Bibiane dos Santos do Nascimento</t>
  </si>
  <si>
    <t>Morada do vALE</t>
  </si>
  <si>
    <t>Retido com visita</t>
  </si>
  <si>
    <t>Marina Kautzmann Moreira</t>
  </si>
  <si>
    <t>(51) 99869-3222</t>
  </si>
  <si>
    <t>Retido com encaixe de VT.</t>
  </si>
  <si>
    <t>87285 - Sérgio Pires Leal 2</t>
  </si>
  <si>
    <t>(51) 99990-4114</t>
  </si>
  <si>
    <t>Vt para analise de quedas + 20% off por 3 meses.</t>
  </si>
  <si>
    <t>Eduardo Schmitz de Souza</t>
  </si>
  <si>
    <t>(51) 98176-1140</t>
  </si>
  <si>
    <t>Tramandaí - RS</t>
  </si>
  <si>
    <t>Retido com VT</t>
  </si>
  <si>
    <t xml:space="preserve"> Kamilly Oliveira Santos</t>
  </si>
  <si>
    <t xml:space="preserve">Retido com argumentção. </t>
  </si>
  <si>
    <t>ROSANGELA LIMA</t>
  </si>
  <si>
    <t>(51) 98480-3837</t>
  </si>
  <si>
    <t>Gravatai</t>
  </si>
  <si>
    <t>Retido com encaixe VT.</t>
  </si>
  <si>
    <t>MARIA ROZANE HENNICKA</t>
  </si>
  <si>
    <t>Bom Pastor</t>
  </si>
  <si>
    <t>(51) 99999-4937</t>
  </si>
  <si>
    <t>IVOTI</t>
  </si>
  <si>
    <t>FALTA DE SINAL CONSTANTE</t>
  </si>
  <si>
    <t>Paulo Lisboa de Almeida Junior</t>
  </si>
  <si>
    <t>Costa do Sol</t>
  </si>
  <si>
    <t>(51) 98183-6660</t>
  </si>
  <si>
    <t>SEM VIABILIDADE</t>
  </si>
  <si>
    <t>Leonardo Machado Soares</t>
  </si>
  <si>
    <t>(48) 99829-4649</t>
  </si>
  <si>
    <t>ANDERSON</t>
  </si>
  <si>
    <t>Marilene Martins de Moraes</t>
  </si>
  <si>
    <t>(51) 98255-5075</t>
  </si>
  <si>
    <t>Retida com uma nova data para pagamento de suas pendências 27/04. Data máxima permitida. Cliente ciente.</t>
  </si>
  <si>
    <t>Valdir Olivio Dos Santos</t>
  </si>
  <si>
    <t>Vila Parque Brsilia</t>
  </si>
  <si>
    <t>ALZIRA MARIA SEGALA</t>
  </si>
  <si>
    <t>Jardim Buhler</t>
  </si>
  <si>
    <t>(51) 98188-9455</t>
  </si>
  <si>
    <t>Não quis falar os motivos que levaram a mesma optar pelo cancelamento.</t>
  </si>
  <si>
    <t>Carla Luciane Armesto</t>
  </si>
  <si>
    <t>Eldorado</t>
  </si>
  <si>
    <t>(51) 99716-0097</t>
  </si>
  <si>
    <t>Renovação da oferta de R$ 59,90 por 12 meses c/ renovação da fidelidade.</t>
  </si>
  <si>
    <t xml:space="preserve"> LUIS FELIPE RODRIGUES DOS SANTOS</t>
  </si>
  <si>
    <t>EVERTON DA TRINDADE</t>
  </si>
  <si>
    <t>Vila Regina</t>
  </si>
  <si>
    <t>(51) 98153-8546</t>
  </si>
  <si>
    <t>Alega problemas de conexão, mesmo após 2 visitas.</t>
  </si>
  <si>
    <t>LEONARDO EDUARDO DOS SANTOS DO AMARAL</t>
  </si>
  <si>
    <t>(51) 98012-6433</t>
  </si>
  <si>
    <t>Retido com bloqueio manual por 2 meses.</t>
  </si>
  <si>
    <t>Arieli Barcellos De Souza Dada</t>
  </si>
  <si>
    <t>(51) 98185-1435</t>
  </si>
  <si>
    <t>Seu ex-marido solicitou transferência de titularidade, porém, a mesma não autorizou, quer cancelar.</t>
  </si>
  <si>
    <t>TIAGO ROOS DE OLIVEIRA</t>
  </si>
  <si>
    <t xml:space="preserve"> Jardim Panoramico</t>
  </si>
  <si>
    <t>(51) 99646-0504</t>
  </si>
  <si>
    <t xml:space="preserve"> Ivoti - RS</t>
  </si>
  <si>
    <t>129,80</t>
  </si>
  <si>
    <t>Retido com VT agendada para tarde.</t>
  </si>
  <si>
    <t>Cibele Andrade da Silva</t>
  </si>
  <si>
    <t>(51) 98554-0222</t>
  </si>
  <si>
    <t>Retida com encaixe + 25% off por 2 meses.</t>
  </si>
  <si>
    <t>Katiucia da Silva Branco</t>
  </si>
  <si>
    <t>(51) 98029-2144</t>
  </si>
  <si>
    <t>Diversas visitas marcadas, faltas no trabalho e problema não resolvido.</t>
  </si>
  <si>
    <t>Caua Gabriel Silva da Silva</t>
  </si>
  <si>
    <t>Luciano Ives Lima Fischer</t>
  </si>
  <si>
    <t xml:space="preserve"> (51) 99242-3003</t>
  </si>
  <si>
    <t>Cachoeirina</t>
  </si>
  <si>
    <t>plano 59,90 + 6 meses</t>
  </si>
  <si>
    <t>EDIO JOSE LUPIN DE LIMA</t>
  </si>
  <si>
    <t>Morada do Vale II</t>
  </si>
  <si>
    <t>(51) 99595-5959</t>
  </si>
  <si>
    <t>64,95</t>
  </si>
  <si>
    <t>Encaixe realizado para troca do modem + 20% off 2 meses.</t>
  </si>
  <si>
    <t xml:space="preserve"> Rafaela de Meira Lacorte</t>
  </si>
  <si>
    <t>Santo Afonso</t>
  </si>
  <si>
    <t>SANDRA MARIA PETRY</t>
  </si>
  <si>
    <t>(51) 99464-1775</t>
  </si>
  <si>
    <t>Mudança para local não cabeado.</t>
  </si>
  <si>
    <t>MARLI MARIA FLESCH</t>
  </si>
  <si>
    <t>(51) 99740-9690</t>
  </si>
  <si>
    <t>Alega insatisfação com o serviço.</t>
  </si>
  <si>
    <t>José Carlos Freitas</t>
  </si>
  <si>
    <t>(51) 98416-2337</t>
  </si>
  <si>
    <t>Entregue</t>
  </si>
  <si>
    <t>Mudança de endereço para Porto Alegre, local não cabeado. Apresentou comprovante de aluguel.</t>
  </si>
  <si>
    <t xml:space="preserve">TAIANE DE SOUZA MÜLLER </t>
  </si>
  <si>
    <t>(51) 99784-5712</t>
  </si>
  <si>
    <t>Transferência de titularidade + 6 meses off por R$ 59,90 + renovação da fidelidade.</t>
  </si>
  <si>
    <t>Simone Maria de Freitas Braga</t>
  </si>
  <si>
    <t>(51) 99880-0029</t>
  </si>
  <si>
    <t>Cliente contratou para uma amiga que se mudou, ciente da fidelidade. Aceitou suspensão temporária.</t>
  </si>
  <si>
    <t>Luciano Rossoni</t>
  </si>
  <si>
    <t>(51) 98542-9646</t>
  </si>
  <si>
    <t>Retido com VT para analise do problema.</t>
  </si>
  <si>
    <t>Rodrigo Greff Amaral</t>
  </si>
  <si>
    <t>Zona Nova</t>
  </si>
  <si>
    <t>Bloqueio temporario</t>
  </si>
  <si>
    <t>Evandro Cardoso Silva</t>
  </si>
  <si>
    <t>Parque Itacolomi</t>
  </si>
  <si>
    <t>Argumentação+ 30%desconto</t>
  </si>
  <si>
    <t>Jaqueson Odair Jaguszeki</t>
  </si>
  <si>
    <t>MUCK</t>
  </si>
  <si>
    <t>ANA AMELIA LAGO</t>
  </si>
  <si>
    <t>Petrópolis</t>
  </si>
  <si>
    <t>(51) 99567-6372</t>
  </si>
  <si>
    <t>Trocou de provedora devido a problemas técnicos.</t>
  </si>
  <si>
    <t>JOSIANI DIONEIA HAAS</t>
  </si>
  <si>
    <t>Jardim Mauá</t>
  </si>
  <si>
    <t>(51) 99731-2838</t>
  </si>
  <si>
    <t>Mudança para Caxias do Sul.</t>
  </si>
  <si>
    <t>Mariana Carvalho dos Santos</t>
  </si>
  <si>
    <t>Vila Jardim America</t>
  </si>
  <si>
    <t>RONALDO LUIS FREISLEBEN</t>
  </si>
  <si>
    <t>(51) 99828-8889</t>
  </si>
  <si>
    <t>Alega problemas técnicos, não quis agendamento técnico nem desconto.</t>
  </si>
  <si>
    <t>Carlos domicios Rodrigues</t>
  </si>
  <si>
    <t>Jardim do Bsoque</t>
  </si>
  <si>
    <t>Desconto prolongado</t>
  </si>
  <si>
    <t>Jennifer tauane noll da silva</t>
  </si>
  <si>
    <t>(51) 99569-2866</t>
  </si>
  <si>
    <t>Alega desemprego. Fornecido 30% off por 4 meses em carater de excessão.</t>
  </si>
  <si>
    <t>Clóvis Antônio Ferreira Azevedo</t>
  </si>
  <si>
    <t>(51) 99457-8641</t>
  </si>
  <si>
    <t>Agendamento para analise do problema + 30% off por 3 meses.</t>
  </si>
  <si>
    <t>Cezalpina Lopes de Oliveira</t>
  </si>
  <si>
    <t>Itacolomi</t>
  </si>
  <si>
    <t>(51) 98908-8408</t>
  </si>
  <si>
    <t>Problema de manutenção. Fornecido 20% off na fatura de maio.</t>
  </si>
  <si>
    <t>Adriano Cardoso Lopes</t>
  </si>
  <si>
    <t>Vila Vista Alegere</t>
  </si>
  <si>
    <t xml:space="preserve">CLAUDIO NEI SOUZA DA SILVA </t>
  </si>
  <si>
    <t>(51) 99646-6466</t>
  </si>
  <si>
    <t>Insatisfeito com atendimento, queria atendimento para hoje, sem agenda. Tentei encaixe sem sucesso.</t>
  </si>
  <si>
    <t>Mariana de Lima Bueno</t>
  </si>
  <si>
    <t xml:space="preserve"> Vila Anair</t>
  </si>
  <si>
    <t>(51) 98513-1756</t>
  </si>
  <si>
    <t>Retido com argumentação.</t>
  </si>
  <si>
    <t>Weslen Rosiak Lopes</t>
  </si>
  <si>
    <t>(51) 99279-4994</t>
  </si>
  <si>
    <t>Cliente está se mudando para endereço onde ja tem um outro ponto nosso.</t>
  </si>
  <si>
    <t>Joselaine da Rosa</t>
  </si>
  <si>
    <t>Rafael de Quadros Knabach</t>
  </si>
  <si>
    <t>Foi retido com encaixe, técnico trocou modem, porém problema persiste e não aceitou ajuda e nem nova vt.</t>
  </si>
  <si>
    <t>LISANE DA SILVA SANTOS</t>
  </si>
  <si>
    <t>(51) 98070-7869</t>
  </si>
  <si>
    <t>Reincidência + 20% off por 2 meses.</t>
  </si>
  <si>
    <t>Paulo César Nunes Medeiros</t>
  </si>
  <si>
    <t>20/04</t>
  </si>
  <si>
    <t>Mudança de endereço rede neutra não realizada por 3x. Cliente insatisfeito.</t>
  </si>
  <si>
    <t>IVAIR ALVES ALONSO</t>
  </si>
  <si>
    <t>Vila Nova</t>
  </si>
  <si>
    <t>(51) 98023-3370</t>
  </si>
  <si>
    <t>Retida com 20% off por 3 meses.</t>
  </si>
  <si>
    <t>Leonir Silveira de Ávila</t>
  </si>
  <si>
    <t>(51) 99884-4344</t>
  </si>
  <si>
    <t>Agendamento lentidão para 16/04.</t>
  </si>
  <si>
    <t>RAINI JORGE LOTTERMANN</t>
  </si>
  <si>
    <t>01/05</t>
  </si>
  <si>
    <t xml:space="preserve"> Tatiana Soares Rosa</t>
  </si>
  <si>
    <t>Guilherme Fraga Ferraz</t>
  </si>
  <si>
    <t>Águas Mortas</t>
  </si>
  <si>
    <t>(51) 99192-9138</t>
  </si>
  <si>
    <t>Não receberam boleto e tiveram sinal bloqueado. Sinal foi liberado, enviado fatura do mês + carnê</t>
  </si>
  <si>
    <t>Fabrício Dornelles Rodrigues</t>
  </si>
  <si>
    <t>(51) 98915-5556</t>
  </si>
  <si>
    <t xml:space="preserve">Agendado reincidência do problema técnico. </t>
  </si>
  <si>
    <t>Sheila Acunha</t>
  </si>
  <si>
    <t>(51) 99886-3112</t>
  </si>
  <si>
    <t>Conforme constava em seu contrato, cliente forneceu aviso prévio de cancelamento em março para cancelar em abril. Entrei em contato para validar cancelamento, a mesma desistiu de cancelar.</t>
  </si>
  <si>
    <t xml:space="preserve"> Sidnei dos Passos</t>
  </si>
  <si>
    <t>Costa Do Sol</t>
  </si>
  <si>
    <t>Desconto</t>
  </si>
  <si>
    <t xml:space="preserve"> Alesandra Milech</t>
  </si>
  <si>
    <t>(51) 99393-7357</t>
  </si>
  <si>
    <t>Contratou outra operadora.</t>
  </si>
  <si>
    <t>Joanilso dos Santos</t>
  </si>
  <si>
    <t>(51) 99750-5588</t>
  </si>
  <si>
    <t>Irá entregar</t>
  </si>
  <si>
    <t>Contratou outra provedora em conjunto com uma das suas empresas.</t>
  </si>
  <si>
    <t>Ana Marta Lopes</t>
  </si>
  <si>
    <t>Antecipação de visita</t>
  </si>
  <si>
    <t>Danieli Beatriz Assmann</t>
  </si>
  <si>
    <t xml:space="preserve"> Bela Vista</t>
  </si>
  <si>
    <t>(51) 99529-6006</t>
  </si>
  <si>
    <t>Visita técnica.</t>
  </si>
  <si>
    <t>CLEIDE DE LIMA VIEIRA</t>
  </si>
  <si>
    <t>(51) 99521-7628</t>
  </si>
  <si>
    <t>22/05</t>
  </si>
  <si>
    <t>Não quis dar maiores informações, simplesmente deseja cancelar.</t>
  </si>
  <si>
    <t>Jane Natalina Zuffo</t>
  </si>
  <si>
    <t>(51) 99183-8385</t>
  </si>
  <si>
    <t>Alega contratação de outra provedora por problema técnico.</t>
  </si>
  <si>
    <t>Sueli Silva Caitano</t>
  </si>
  <si>
    <t>(51) 98182-3890</t>
  </si>
  <si>
    <t>Endereço sem viabilidade.</t>
  </si>
  <si>
    <t> JORDANA LETICIA DE FARIAS</t>
  </si>
  <si>
    <t>Cruzeiro Do Sul</t>
  </si>
  <si>
    <t>06/05</t>
  </si>
  <si>
    <t>Oseias dos Santos lucas</t>
  </si>
  <si>
    <t>Paraiso</t>
  </si>
  <si>
    <t>(58) 57998-2049</t>
  </si>
  <si>
    <t>Dentro do prazo de 7 dias úteis, optou por cancelar, não gostou do serviço.</t>
  </si>
  <si>
    <t xml:space="preserve"> ELISABETE DE OLIVEIRA</t>
  </si>
  <si>
    <t>Figueiras</t>
  </si>
  <si>
    <t>Cláudio Cesar Zanotti</t>
  </si>
  <si>
    <t>(51) 99808-8658</t>
  </si>
  <si>
    <t>30% off no mês de maio.</t>
  </si>
  <si>
    <t>IRENE BREIER</t>
  </si>
  <si>
    <t>Concordia</t>
  </si>
  <si>
    <t>(51) 99966-0438</t>
  </si>
  <si>
    <t>Rrenovação da oferta R$ 59,90 por 6 meses c/ renovação da fidelidade.</t>
  </si>
  <si>
    <t>Vitória Rodrigues Moreira</t>
  </si>
  <si>
    <t>(51) 99534-8041</t>
  </si>
  <si>
    <t>Separou e ex-marido ficou na casa e contratou outra internet em seu nome.</t>
  </si>
  <si>
    <t>Delmiro Castro Barcos</t>
  </si>
  <si>
    <t>Parque Olinda</t>
  </si>
  <si>
    <t>(51) 98401-4919</t>
  </si>
  <si>
    <t>Alega ter ficado 1 semana sem sinal, tentei argumentei vt, troca do modem, desconto sem sucesso.</t>
  </si>
  <si>
    <t>Bruno Duarte Milego</t>
  </si>
  <si>
    <t>(51) 98433-2772</t>
  </si>
  <si>
    <t>MUDANÇA DE ENDEREÇO SEM VIABILIDADE</t>
  </si>
  <si>
    <t xml:space="preserve"> SABRINA DE OLIVEIRA ANHAIA</t>
  </si>
  <si>
    <t>São jose</t>
  </si>
  <si>
    <t>MARCOS CANISIO PERSCH</t>
  </si>
  <si>
    <t>Morada do Sol</t>
  </si>
  <si>
    <t>(51) 99846-7053</t>
  </si>
  <si>
    <t>informo que o plano esta muito caro , ofertado para um plano menor não aceitou</t>
  </si>
  <si>
    <t>ADRIANA SYGEL GIACOMONI</t>
  </si>
  <si>
    <t>Sem viabilidade</t>
  </si>
  <si>
    <t>Adriano Nunes da Silva</t>
  </si>
  <si>
    <t>CACHOEIRINHA</t>
  </si>
  <si>
    <t>Encaixe</t>
  </si>
  <si>
    <t>Adilson Schepp</t>
  </si>
  <si>
    <t>Fechou estabelecimento</t>
  </si>
  <si>
    <t>Everton Luis Mesquita Teixeira</t>
  </si>
  <si>
    <t>Mira Flores</t>
  </si>
  <si>
    <t>(51) 99531-8092</t>
  </si>
  <si>
    <t>Mudança de endereço. Tentamos realizar transferência de titularidade com atual morador do local, sem sucesso, não aceitou.</t>
  </si>
  <si>
    <t>Adalberto Ferraz Sabino</t>
  </si>
  <si>
    <t>(55) 51985-9807</t>
  </si>
  <si>
    <t>Titular faleceu, irmã que é a curadora entrou em contato e alega que invadiram a casa e deseja o cancelamento.</t>
  </si>
  <si>
    <t>GISELLE ALEXANDRA LOPES THAMBOURINDEGUY MONZON</t>
  </si>
  <si>
    <t xml:space="preserve"> (51) 99373-6222</t>
  </si>
  <si>
    <t>São Leopoldo - RS</t>
  </si>
  <si>
    <t>Troca na data da fatura.</t>
  </si>
  <si>
    <t>EVANDRO LUIS WINTER</t>
  </si>
  <si>
    <t>(51) 99602-5707</t>
  </si>
  <si>
    <t>Cliente entrou numa provedora de internet concorrente que forneceu internet para ele.</t>
  </si>
  <si>
    <t>Raissa Martins da Silva</t>
  </si>
  <si>
    <t>Nova Esperança</t>
  </si>
  <si>
    <t>(51) 99129-6037</t>
  </si>
  <si>
    <t>Queria cancelar no nome do seu sogro e contratar uma nova. Realizadado transferência de titularidade e mudança de endereço.</t>
  </si>
  <si>
    <t>MARLEI GARCIA</t>
  </si>
  <si>
    <t>(51) 98312-5989</t>
  </si>
  <si>
    <t>Já entregou</t>
  </si>
  <si>
    <t>Daniele Cristina de Oliveira Pereira</t>
  </si>
  <si>
    <t>(51) 99389-0033</t>
  </si>
  <si>
    <t>Fechou a loja que tinha no local e não deseja realizar mudança de endereço.</t>
  </si>
  <si>
    <t>LUIZA TRENTIN MICHEL</t>
  </si>
  <si>
    <t xml:space="preserve">Insatisfação com a agenda. </t>
  </si>
  <si>
    <t>Config roteador+ visita</t>
  </si>
  <si>
    <t>JOLCEMIRA DA VEIGA</t>
  </si>
  <si>
    <t>08/05</t>
  </si>
  <si>
    <t>Lucas Pereira da Silva</t>
  </si>
  <si>
    <t>(51) 98419-5424</t>
  </si>
  <si>
    <t xml:space="preserve">Formalizado acordo com entrada de R$ 50,00 reais + 1x de R$ 143,14 p/ dia 30/04. </t>
  </si>
  <si>
    <t>Lucilane Demetrio de Vargas</t>
  </si>
  <si>
    <t>(51) 99688-9894</t>
  </si>
  <si>
    <t>Agendado VT RET. QUEDAS e fornecido 15% de desconto off na fatura de abril.</t>
  </si>
  <si>
    <t>João Batista Duarte Ferreira</t>
  </si>
  <si>
    <t>COHAB</t>
  </si>
  <si>
    <t>(51) 99175-5253</t>
  </si>
  <si>
    <t>Retido com VT para 20/04.</t>
  </si>
  <si>
    <t>Karen Kauffmann</t>
  </si>
  <si>
    <t xml:space="preserve"> (51) 98574-7863</t>
  </si>
  <si>
    <t>Cliente mudou de endereço/sem viabilidade.</t>
  </si>
  <si>
    <t>RAFAEL TIESEN HUPPES</t>
  </si>
  <si>
    <t>(51) 98606-9360</t>
  </si>
  <si>
    <t>Insatisfação com o serviço prestado.</t>
  </si>
  <si>
    <t>MARLI FATIMA CHAVES</t>
  </si>
  <si>
    <t>(51) 99546-6435</t>
  </si>
  <si>
    <t>Igrejinha - RS</t>
  </si>
  <si>
    <t>Outros.</t>
  </si>
  <si>
    <t>Nicole Naiane Brisola</t>
  </si>
  <si>
    <t>Sem uso</t>
  </si>
  <si>
    <t>Márcia Luiza Oliveira de Oliveira</t>
  </si>
  <si>
    <t>(51) 98509-2673</t>
  </si>
  <si>
    <t>Retido com agendamento p/ hoje (reincidência) + 20% off pelo periodo sem sinal.</t>
  </si>
  <si>
    <t>Fabiano Rodrigues Gonçalves</t>
  </si>
  <si>
    <t>(51) 98687-1382</t>
  </si>
  <si>
    <t>21/04</t>
  </si>
  <si>
    <t>Acabou voltando a morar no endereço que já possui a fênix, nesse novo que contratou não ficará ninguém.</t>
  </si>
  <si>
    <t xml:space="preserve"> Daniela do Nascimento Gonçalves</t>
  </si>
  <si>
    <t>Vila Parque Brasilia</t>
  </si>
  <si>
    <t>22;04</t>
  </si>
  <si>
    <t>SCHARLENE BEATRIZ LINCK</t>
  </si>
  <si>
    <t>Ivot</t>
  </si>
  <si>
    <t>DREICE QUELI DA SILVA</t>
  </si>
  <si>
    <t>(51) 99390-8074</t>
  </si>
  <si>
    <t>Cabo rompido, agendado ajuste e fornecido 20% off no mês de maio.</t>
  </si>
  <si>
    <t>NEUSA SEVERO JESUINO DA SILVA</t>
  </si>
  <si>
    <t>Sem solução apos atd interno</t>
  </si>
  <si>
    <t>Rosane Nunes corrêa</t>
  </si>
  <si>
    <t>(51) 98015-6314</t>
  </si>
  <si>
    <t>Retida com encaixe para troca do endereço p/ 20/04 pela manhã.</t>
  </si>
  <si>
    <t>JESSICA DA SILVA</t>
  </si>
  <si>
    <t>(51) 99596-3917</t>
  </si>
  <si>
    <t>Alega troca de provedor, não quis ouvir argumentos.</t>
  </si>
  <si>
    <t>Débora da Silva de Freitas</t>
  </si>
  <si>
    <t>sem sinal agendado visita não quis aguardar a visita</t>
  </si>
  <si>
    <t>Liliane Loreto Zelake</t>
  </si>
  <si>
    <t>(51) 98574-7863</t>
  </si>
  <si>
    <t xml:space="preserve">informo que vai se mudar para cuida do seu pai </t>
  </si>
  <si>
    <t xml:space="preserve"> Adriana Brancher de Moraes</t>
  </si>
  <si>
    <t>Parque Espirito Santo</t>
  </si>
  <si>
    <t>Ariane Gomes da Silva</t>
  </si>
  <si>
    <t>(51) 99316-0666</t>
  </si>
  <si>
    <t>Ciente da manutenção com normalização as 21:00 + 20% off na fatura de abril.</t>
  </si>
  <si>
    <t>Adriana Fraga Castro</t>
  </si>
  <si>
    <t>(51) 98300-0314</t>
  </si>
  <si>
    <t>Agenda somente para dia 22/04, consegui encaixe, porém, a mesma já havia contratado e instalado Net Parque.</t>
  </si>
  <si>
    <t>LUCIMARA ROZA DA SILVA</t>
  </si>
  <si>
    <t>JAIRO LUIS GOMES</t>
  </si>
  <si>
    <t>(51) 98041-9195</t>
  </si>
  <si>
    <t>Alega que sua filha contratou provedora local que dá acesso a academia da cidade.</t>
  </si>
  <si>
    <t>Eliane Goreti Lucas</t>
  </si>
  <si>
    <t>(51) 99646-2349</t>
  </si>
  <si>
    <t>Ciente que possui VT agendada para hoje a tarde e técnico chegou no local. Cliente mantida na base.</t>
  </si>
  <si>
    <t>Mariana Guerreiro de Nardin</t>
  </si>
  <si>
    <t>(51) 99202-0144</t>
  </si>
  <si>
    <t>Caixa em manutenção, cliente não quis aguardar prazo de normalização.</t>
  </si>
  <si>
    <t xml:space="preserve"> JOSE DIANEI DA SILVA</t>
  </si>
  <si>
    <t>29/04</t>
  </si>
  <si>
    <t>Cristiano da silva Ferreira</t>
  </si>
  <si>
    <t xml:space="preserve"> (51) 98021-3784</t>
  </si>
  <si>
    <t>Cliente retido com alteração na fatura.</t>
  </si>
  <si>
    <t>NELI GOULART PRINZ</t>
  </si>
  <si>
    <t>15 de Junho</t>
  </si>
  <si>
    <t>Falecimento</t>
  </si>
  <si>
    <t xml:space="preserve"> PABLO ALEXANDRE SESTERHEIM</t>
  </si>
  <si>
    <t>Emancipação</t>
  </si>
  <si>
    <t>Insatisfação (tecnologia utilizada pela fenix)</t>
  </si>
  <si>
    <t>João Silvio Gonçalves Oliveira</t>
  </si>
  <si>
    <t>Jardim Vitória</t>
  </si>
  <si>
    <t>(51) 99122-1598</t>
  </si>
  <si>
    <t>Alega troca de provedora. Já instalou a nova há 30 dias.</t>
  </si>
  <si>
    <t>MURILO FERREIRA DA SILVA</t>
  </si>
  <si>
    <t xml:space="preserve"> (51) 98150-8390</t>
  </si>
  <si>
    <t>Novo Hamburgo - RS</t>
  </si>
  <si>
    <t>Retido com 25% de desconto na fatura.</t>
  </si>
  <si>
    <t>Edith Lenz</t>
  </si>
  <si>
    <t>(51) 98439-4874</t>
  </si>
  <si>
    <t>Sem sinal, não quer esperar técnico até amanhã e contratou outra provedora.</t>
  </si>
  <si>
    <t>Tania Maria Palpides Guimarães</t>
  </si>
  <si>
    <t>(51) 98059-6896</t>
  </si>
  <si>
    <t>Teve um  infarto e devido a isso foi morar com a filha em Estrela. (Enviou comprovante).</t>
  </si>
  <si>
    <t>Itamara da rosa ferreira</t>
  </si>
  <si>
    <t>Humaitá</t>
  </si>
  <si>
    <t>MAX LEANDRO DOS SANTOS LOPES</t>
  </si>
  <si>
    <t>Indianópolis</t>
  </si>
  <si>
    <t>(51) 99126-7529</t>
  </si>
  <si>
    <t>Queria cancelar pela demora no atendimento técnico, agendado para amanhã 21/04. Cliente aceitou.</t>
  </si>
  <si>
    <t>Teve visitas geradas sem a solução do problema. Problema reincidente. Sinal voltou, cliente segue conosco.</t>
  </si>
  <si>
    <t>MARCIO ALEXANDRE HAAG</t>
  </si>
  <si>
    <t>(51) 99831-7665</t>
  </si>
  <si>
    <t>Gerado uma vt de reincidencia para analise do problema.</t>
  </si>
  <si>
    <t>Olmir José de Lima</t>
  </si>
  <si>
    <t>(51) 99357-9200</t>
  </si>
  <si>
    <t>Caixa em manutenção desde sexta 17/04 - Prazo fornecido para cliente 12:30 - Cliente confiou em minha palavra. Se não normalizar vai cancelar.</t>
  </si>
  <si>
    <t>DELMA DE BARBARA</t>
  </si>
  <si>
    <t>(51) 99372-6816</t>
  </si>
  <si>
    <t>Retida com vt de reincidência + 30% off no mês de abril.</t>
  </si>
  <si>
    <t>Juliano Antonio de Oliveira</t>
  </si>
  <si>
    <t>(55) 99959-7323</t>
  </si>
  <si>
    <t>Mudança para local não cabeado. Cliente com fidelidade, enviou comprovante de residência.</t>
  </si>
  <si>
    <t>Marco Aurélio da Silveira Lima</t>
  </si>
  <si>
    <t>Jardim Algarve</t>
  </si>
  <si>
    <t>(51) 9992-0487</t>
  </si>
  <si>
    <t>Alvorada</t>
  </si>
  <si>
    <t>ALEXANDRE VIEIRA LOPES</t>
  </si>
  <si>
    <t>(51) 99615-7462</t>
  </si>
  <si>
    <t>Mudança para outro estado. Enviou comprovante de venda de imóvel.</t>
  </si>
  <si>
    <t>ELISETI WEBER</t>
  </si>
  <si>
    <t>Dihel</t>
  </si>
  <si>
    <t>(51) 99756-6253</t>
  </si>
  <si>
    <t>Rede em manutenção - Não quis aguardar solução, está desde sexta sem sinal.</t>
  </si>
  <si>
    <t>CATIANE DE MOURA NEVES</t>
  </si>
  <si>
    <t>(51) 99892-8517</t>
  </si>
  <si>
    <t>29/05</t>
  </si>
  <si>
    <t>Mudança de endereço para local que já possui internet.</t>
  </si>
  <si>
    <t>ISADORA GABRIELA VALES ROBASKI</t>
  </si>
  <si>
    <t>Diehl</t>
  </si>
  <si>
    <t>(51) 99503-8640</t>
  </si>
  <si>
    <t>49,95</t>
  </si>
  <si>
    <t>Alega que não mora mais no endereço, sem dar maiores informações.</t>
  </si>
  <si>
    <t>Mateus Carvalho Hart</t>
  </si>
  <si>
    <t>(41) 99285-4098</t>
  </si>
  <si>
    <t xml:space="preserve"> Gravataí - RS</t>
  </si>
  <si>
    <t>Cliente retido com VT.</t>
  </si>
  <si>
    <t>José Ricardo Yamaguchi</t>
  </si>
  <si>
    <t>(51) 99341-5742</t>
  </si>
  <si>
    <t>Desconto + carne</t>
  </si>
  <si>
    <t>Elisandra Ferreira dos Passos de Oliveira</t>
  </si>
  <si>
    <t>Marechal Rondon</t>
  </si>
  <si>
    <t>(51) 99878-1357</t>
  </si>
  <si>
    <t>25/04</t>
  </si>
  <si>
    <t xml:space="preserve">insatisfeita com os serviços prestados </t>
  </si>
  <si>
    <t>Sergio Souza da Silva</t>
  </si>
  <si>
    <t>(51) 99352-4860</t>
  </si>
  <si>
    <t>OUTRO</t>
  </si>
  <si>
    <t xml:space="preserve">informo que esta tendo quedas e lentidão </t>
  </si>
  <si>
    <t xml:space="preserve"> Silvane Souza do Amaral</t>
  </si>
  <si>
    <t xml:space="preserve"> Adriana Ferraz Nostrani</t>
  </si>
  <si>
    <t>ÂNGELO MIGUEL PADILHA DA SILVA</t>
  </si>
  <si>
    <t>(51) 98050-7811</t>
  </si>
  <si>
    <t>Mudou de endereço, ofertei mudança de endereço, não aceitou.</t>
  </si>
  <si>
    <t>MARLI MINEIRO</t>
  </si>
  <si>
    <t>(51) 99513-7804</t>
  </si>
  <si>
    <t>Alega que trocou por outro provedor.</t>
  </si>
  <si>
    <t>IRIS TEREZINHA FORTES HAUBERT</t>
  </si>
  <si>
    <t>Jardim Do Prado</t>
  </si>
  <si>
    <t>Fabiana da Silva</t>
  </si>
  <si>
    <t>Tirolesa</t>
  </si>
  <si>
    <t>(51) 99780-5383</t>
  </si>
  <si>
    <t>Encaixe para troca do modem para hoje 22/04.</t>
  </si>
  <si>
    <t>Cristina paola taborda da Silva Rodrigues</t>
  </si>
  <si>
    <t>MiraFlores</t>
  </si>
  <si>
    <t>Confirmado (com comprovante)</t>
  </si>
  <si>
    <t>Diego lopes pinto</t>
  </si>
  <si>
    <t>(51) 99343-3609</t>
  </si>
  <si>
    <t>Retido com agendamento para analise do problema + 30% off na fatura de maio.</t>
  </si>
  <si>
    <t>Marcelo Fernando Toya Soriano</t>
  </si>
  <si>
    <t>(51) 98105-9399</t>
  </si>
  <si>
    <t>30/04</t>
  </si>
  <si>
    <t>Se separou foi embora de casa, possui medida protetiva, não pode chegar perto da ex-eposa. Tentei contato com a mesma para realizar transferência de titularidade, a mesma não respondeu.</t>
  </si>
  <si>
    <t>Luana Vieira Tavares</t>
  </si>
  <si>
    <t>(51) 98140-6707</t>
  </si>
  <si>
    <t>Gerado vt para análise das quedas + 20% off na fatura de maio.</t>
  </si>
  <si>
    <t>CRISTINA GOMES CAMARGO DOS SANTOS</t>
  </si>
  <si>
    <t>Sol Nascente</t>
  </si>
  <si>
    <t>(51) 99763-3351</t>
  </si>
  <si>
    <t xml:space="preserve"> Estância Velha - RS</t>
  </si>
  <si>
    <t>Relata falta de suporte.</t>
  </si>
  <si>
    <t>Alcione Cardoso Barcelos</t>
  </si>
  <si>
    <t>(51) 99928-0315</t>
  </si>
  <si>
    <t>Troca de plano e 25% 2 meses</t>
  </si>
  <si>
    <t>RONALDO FAZOLO CARDOSO</t>
  </si>
  <si>
    <t>Boa Saúde</t>
  </si>
  <si>
    <t>DIOGO ANDRE SILVA DOS SANTOS</t>
  </si>
  <si>
    <t>(51) 99257-0163</t>
  </si>
  <si>
    <t>Oscilação e queda de sinal frequente. Gerado vt para analise + 25% off por 3 meses.</t>
  </si>
  <si>
    <t>Renan Douglas Frota de Souza</t>
  </si>
  <si>
    <t>(51) 99752-9627</t>
  </si>
  <si>
    <t>39,95</t>
  </si>
  <si>
    <t>Queria mais desconto. Ciente que ainda possui 50% de desconto nas faturas de maio e junho, somente em julho volta para R$ 79,90. O mesmo compreende e informa que irá retornar no futuro. Segue conosco.</t>
  </si>
  <si>
    <t>Camila da Silva Santos</t>
  </si>
  <si>
    <t>(51) 99152-8715</t>
  </si>
  <si>
    <t>Mora de aluguel e está indo morar na casa de parentes que já tem provedor. Ciente da multa fidelidade.</t>
  </si>
  <si>
    <t>REJANI BEATRIZ CANDIDO DE SOUZA</t>
  </si>
  <si>
    <t>Nossa senhora de fatima</t>
  </si>
  <si>
    <t>Manuella Oliveira Trindade Muniz</t>
  </si>
  <si>
    <t>(51) 99016-7214</t>
  </si>
  <si>
    <t>Agendamento de visita.</t>
  </si>
  <si>
    <t>Evandro dos Passos Silveira</t>
  </si>
  <si>
    <t>(51) 98153-7817</t>
  </si>
  <si>
    <t>Ana Priscila Goldani Alonso</t>
  </si>
  <si>
    <t>Dom Feliciano</t>
  </si>
  <si>
    <t>(51) 99322-6702</t>
  </si>
  <si>
    <t>Retida com vt para analise técnica + 30% off por 6 meses.</t>
  </si>
  <si>
    <t>Gisele Souza dos Santos</t>
  </si>
  <si>
    <t>Jardim Do Bosque</t>
  </si>
  <si>
    <t>Juarez Oliveira Gomes</t>
  </si>
  <si>
    <t>São Francisco I</t>
  </si>
  <si>
    <t>(51) 98611-1683</t>
  </si>
  <si>
    <t>Alega redução de custos. Ofertei desconto, sem sucesso. Cliente não aceitou nenhuma oferta.</t>
  </si>
  <si>
    <t>ANA PAULA PEREIRA LOPES</t>
  </si>
  <si>
    <t xml:space="preserve"> Rodrigo Klein</t>
  </si>
  <si>
    <t>Troca enereço</t>
  </si>
  <si>
    <t xml:space="preserve"> Lúcia Dos Santos Bernardes</t>
  </si>
  <si>
    <t>Desistiu após ver valores de cancelamento</t>
  </si>
  <si>
    <t>Mariane Bierhals Schutz</t>
  </si>
  <si>
    <t>(51) 99196-5852</t>
  </si>
  <si>
    <t>Quer pagar 200 mega por R$ 52,10 conforme alega oferta da NIO, pedi print que comprasse oferta, olhei em sites oficiais e locais não consta essa oferta nem por meses. Informei que não seria possível fazer oferta, optou por cancelar.</t>
  </si>
  <si>
    <t>Andrea Silva de Almeida Hochnadel</t>
  </si>
  <si>
    <t>LISONIA PAUSE</t>
  </si>
  <si>
    <t>(51) 99686-6596</t>
  </si>
  <si>
    <t>Retida com troca de plano para 570m por R$ 99,90 c/ 30% off por 6 meses.</t>
  </si>
  <si>
    <t xml:space="preserve"> IRENE CARLOS SCHWANCK</t>
  </si>
  <si>
    <t>(51) 99831-7641</t>
  </si>
  <si>
    <t>20/05</t>
  </si>
  <si>
    <t>Alega que sua filha forneceu internet para ela, e não precisa mais da Fênix.</t>
  </si>
  <si>
    <t>CLAUDIO CAGLIARI</t>
  </si>
  <si>
    <t>(51) 99280-0401</t>
  </si>
  <si>
    <t>Estância Velha - RS</t>
  </si>
  <si>
    <t>Argumentação + retirada de beneficio.</t>
  </si>
  <si>
    <t>Andreza Rafo Souza</t>
  </si>
  <si>
    <t>21/05</t>
  </si>
  <si>
    <t>Oscilação de sinal, já teve técnico no local e problema persiste, não quer mais.</t>
  </si>
  <si>
    <t>Kailany Rodrigues dos Santos</t>
  </si>
  <si>
    <t>Chico Mendes</t>
  </si>
  <si>
    <t>(51) 98516-2794</t>
  </si>
  <si>
    <t>27/04</t>
  </si>
  <si>
    <t>Troca de provedor para Algar.</t>
  </si>
  <si>
    <t>LINDIARA FRANCO DE ARAUJO DE OLIVEIRA</t>
  </si>
  <si>
    <t>(51) 99652-9069</t>
  </si>
  <si>
    <t>Cliente cancelou um de seus pontos pois outra pessoa não estava pagando</t>
  </si>
  <si>
    <t>MICHELE DE PAULA</t>
  </si>
  <si>
    <t>Rosel ndia</t>
  </si>
  <si>
    <t xml:space="preserve"> (51) 99763-2610</t>
  </si>
  <si>
    <t>Cliente retida com VT + desconto próxima fatura.</t>
  </si>
  <si>
    <t xml:space="preserve"> Ana Carolina Lima da Luz</t>
  </si>
  <si>
    <t xml:space="preserve"> (51) 98472-7984</t>
  </si>
  <si>
    <t>Cliente reitda com desbloqueio após pagamento.</t>
  </si>
  <si>
    <t>Graziele Albuquerque Cidade</t>
  </si>
  <si>
    <t xml:space="preserve">Entrega de cabo de rede. </t>
  </si>
  <si>
    <t>Dayanna Dias Vieira</t>
  </si>
  <si>
    <t>(51) 98429-6808</t>
  </si>
  <si>
    <t>Alega que sua amiga abriu uma provedora de internet e por amizade e carinho vai contratar a internet da amiga. Masternet</t>
  </si>
  <si>
    <t>Rosienne da Silva Santos</t>
  </si>
  <si>
    <t xml:space="preserve"> (51) 99158-5116</t>
  </si>
  <si>
    <t>Visita técnica</t>
  </si>
  <si>
    <t>GENESIO RODOI</t>
  </si>
  <si>
    <t>(51) 99623-8652</t>
  </si>
  <si>
    <t>Argumentação e esclarecimento sobre financeiro.</t>
  </si>
  <si>
    <t>DIEGO RAFAEL BENCKE</t>
  </si>
  <si>
    <t>Industrial</t>
  </si>
  <si>
    <t> MARLENE DA SILVA ALVES</t>
  </si>
  <si>
    <t>Luana Cortes</t>
  </si>
  <si>
    <t>(51) 98162-0247</t>
  </si>
  <si>
    <t>13/05</t>
  </si>
  <si>
    <t xml:space="preserve">Alega mudança de endereço para Porto Alegre. </t>
  </si>
  <si>
    <t>Lucinele da Silva Faleiro</t>
  </si>
  <si>
    <t>(51) 98630-7386</t>
  </si>
  <si>
    <t>Retida com a renovação da oferta de R$ 59,90 por 12 meses c/ a renovação da fidelidade.</t>
  </si>
  <si>
    <t>PAULO RICARDO RODENBUSCH ROCHA</t>
  </si>
  <si>
    <t>Azaleia</t>
  </si>
  <si>
    <t>(51) 99547-0188</t>
  </si>
  <si>
    <t>Troca de provedora, insatisfação com a internet.</t>
  </si>
  <si>
    <t>ROSELI MADALENA KERKHOFF</t>
  </si>
  <si>
    <t>SEM RETIRADA</t>
  </si>
  <si>
    <t>Mudou para um condominio com contrato de outro provedor</t>
  </si>
  <si>
    <t>Ana Janaina da Silva</t>
  </si>
  <si>
    <t>(51) 99194-8821</t>
  </si>
  <si>
    <t>Lentidão frequente - Gerado vt para análise.</t>
  </si>
  <si>
    <t>Sinal segue oscilando e devido a isso deseja cancelamento.</t>
  </si>
  <si>
    <t xml:space="preserve"> Roberti da Silva</t>
  </si>
  <si>
    <t>Visita tecnica devido lentidão</t>
  </si>
  <si>
    <t>Ana Luiza Rodrigues Pereira</t>
  </si>
  <si>
    <t>(51) 98601-5107</t>
  </si>
  <si>
    <t>Troca de provedor: Claro</t>
  </si>
  <si>
    <t>120364 - Mirian da Silva Sousa</t>
  </si>
  <si>
    <t>(51) 99664-4588</t>
  </si>
  <si>
    <t>Contratou no endereço para sua mãe que foi embora e não tem mais necessidade de ter internet no local.</t>
  </si>
  <si>
    <t>Patrícia lorene de Oliveira Troxinski De souza</t>
  </si>
  <si>
    <t>Roni Susana Fogaca</t>
  </si>
  <si>
    <t>Daniele da Silva Naimer</t>
  </si>
  <si>
    <t>Maria Cota Gomes</t>
  </si>
  <si>
    <t>(51) 98149-8612</t>
  </si>
  <si>
    <t>Troca de provedor: VilcaNet</t>
  </si>
  <si>
    <t>ANDRIELI MARTINS KROTH</t>
  </si>
  <si>
    <t>(51) 99743-5532</t>
  </si>
  <si>
    <t>Alega que precisou de várias visitas e está cansada disso.</t>
  </si>
  <si>
    <t>DAVI FINGER</t>
  </si>
  <si>
    <t>Farroupilha</t>
  </si>
  <si>
    <t>(51) 99871-0222</t>
  </si>
  <si>
    <t xml:space="preserve">Agendamento realizado para análise. </t>
  </si>
  <si>
    <t xml:space="preserve"> Jorge Luiz da Rosa</t>
  </si>
  <si>
    <t>Reincidencia</t>
  </si>
  <si>
    <t>ADEMIR FAGUNDES SCHMIDT</t>
  </si>
  <si>
    <t>DANIEL ROSA DA SILVA</t>
  </si>
  <si>
    <t>Paraíso</t>
  </si>
  <si>
    <t>(51) 99764-2838</t>
  </si>
  <si>
    <t>Argumentação sobre cancelamento + ativação do Deezer.</t>
  </si>
  <si>
    <t>ANGELICA FERNANDA SIMPLICIO</t>
  </si>
  <si>
    <t>(51) 99740-7105</t>
  </si>
  <si>
    <t>Seu esposo já contratou outra provedora</t>
  </si>
  <si>
    <t>JULIO CESAR DA SILVA</t>
  </si>
  <si>
    <t>Genuíno Sampaio</t>
  </si>
  <si>
    <t>(51) 99964-4825</t>
  </si>
  <si>
    <t>Insatisfeito porque a empresa não envia o carne para pagamento</t>
  </si>
  <si>
    <t>REGINA DA FONTOURA MACHADO</t>
  </si>
  <si>
    <t>Cobertura de oferta</t>
  </si>
  <si>
    <t>FABIANA DE BARROS</t>
  </si>
  <si>
    <t>Alterado PPPOE  e sinal subiu</t>
  </si>
  <si>
    <t>ROSIMAR LEMES VIEIRA</t>
  </si>
  <si>
    <t>(51) 99768-4168</t>
  </si>
  <si>
    <t>Mudança de endereço e não aceita mudar, optou pelo cancelamento.</t>
  </si>
  <si>
    <t>NICOLAS ARTHUR DIAS</t>
  </si>
  <si>
    <t>(51) 99402-8273</t>
  </si>
  <si>
    <t>Reclama da conexão e do atendimento.</t>
  </si>
  <si>
    <t>Juliana dos Santos Puschenerat</t>
  </si>
  <si>
    <t>(51) 99442-6965</t>
  </si>
  <si>
    <t>Questões relacionadas a troca de vencimento e cobrança. Isenta da fatura de abril.</t>
  </si>
  <si>
    <t>Troca de provedor: Claro c/ plano no celular.</t>
  </si>
  <si>
    <t>ADRIANE HELENA KOCH</t>
  </si>
  <si>
    <t>(51) 99464-5817</t>
  </si>
  <si>
    <t>Recebeu oferta da Claro. Proposta: 420 mega por R$ 89,90 sendo: 6 meses por R$ 79,90, após R$ 89,90 c/ renovação da fidelidade.</t>
  </si>
  <si>
    <t>Renovação da oferta por 6 meses de R$ 59,90 com renovação da fidelidade.</t>
  </si>
  <si>
    <t>João Gregory Da Rosa Carvalho</t>
  </si>
  <si>
    <t xml:space="preserve"> Jardim Betania</t>
  </si>
  <si>
    <t xml:space="preserve"> (51) 99424-9659</t>
  </si>
  <si>
    <t>Agendamento VT + 20% off mês de maio.</t>
  </si>
  <si>
    <t>JESSICA HUBLER</t>
  </si>
  <si>
    <t>(51) 99816-9922</t>
  </si>
  <si>
    <t>Recebeu proposta de outra provedora. Já foi instalado.</t>
  </si>
  <si>
    <t>FABIO ARIEL SPOHR</t>
  </si>
  <si>
    <t xml:space="preserve"> São José</t>
  </si>
  <si>
    <t xml:space="preserve"> (51) 99710-5623</t>
  </si>
  <si>
    <t>sem retirada</t>
  </si>
  <si>
    <t>Empresa na qual trabalha disponibilizara internet + beneficio telefonico.</t>
  </si>
  <si>
    <t>RAFAELA GROTH DA SILVA</t>
  </si>
  <si>
    <t>Residencial Solar</t>
  </si>
  <si>
    <t xml:space="preserve"> (51) 99512-9935</t>
  </si>
  <si>
    <t>Cliente irá se mudar de endereço, não quis fazer troca de end e novo endereço ja tem internet.</t>
  </si>
  <si>
    <t>Ana Paula Dias Camargo</t>
  </si>
  <si>
    <t xml:space="preserve"> Barra</t>
  </si>
  <si>
    <t xml:space="preserve">(51) 99147-5441 </t>
  </si>
  <si>
    <t>Cliente alega problema financeiro, porém não quis aceitar nenhuma oferta para seguir conosco.</t>
  </si>
  <si>
    <t>Rodrigo Passos Avila</t>
  </si>
  <si>
    <t>(51) 98528-3256</t>
  </si>
  <si>
    <t>Mudou-se para Alvorada.</t>
  </si>
  <si>
    <t xml:space="preserve"> MARLENE KRIESER</t>
  </si>
  <si>
    <t>ALTAMIRO VIEIRA</t>
  </si>
  <si>
    <t xml:space="preserve">Casa do cliente pegou fogo. </t>
  </si>
  <si>
    <t>MARLENE TONIASSO RIBEIRO</t>
  </si>
  <si>
    <t>Troca de endereço</t>
  </si>
  <si>
    <t>Stefany Elizabeth Goulart Fernandes</t>
  </si>
  <si>
    <t>(51) 99712-9465</t>
  </si>
  <si>
    <t>Retida com troca de titularidade. Iniciamos atendimento no sábado e ela finalizou transferência com sac.</t>
  </si>
  <si>
    <t>ANDREIA SILVA DA COSTA</t>
  </si>
  <si>
    <t>Leandro Nunes Silveira</t>
  </si>
  <si>
    <t>(51) 98104-7157</t>
  </si>
  <si>
    <t xml:space="preserve">Suspensão temporária por 4 meses. </t>
  </si>
  <si>
    <t>DIEGO MARTINS CORREA</t>
  </si>
  <si>
    <t>(51) 98538-3004</t>
  </si>
  <si>
    <t>Vendeu seu imóvel e novos moradores já possuem internet.</t>
  </si>
  <si>
    <t>JORGE LUIZ DA SILVA</t>
  </si>
  <si>
    <t xml:space="preserve">20% OFF devido ficar sem conexão. </t>
  </si>
  <si>
    <t>PAULO SERGIO MARTINS</t>
  </si>
  <si>
    <t>(51) 99905-0159</t>
  </si>
  <si>
    <t>Suspensão temporária por 4 meses.</t>
  </si>
  <si>
    <t>Morada do Vale 1</t>
  </si>
  <si>
    <t>Ana Paula Strassburger</t>
  </si>
  <si>
    <t>CRISTINA DA COSTA NIEDERLE</t>
  </si>
  <si>
    <t>(51) 99619-6409</t>
  </si>
  <si>
    <t>Cliente quer oferta de clientes novos R$ 49,90 por 6 meses. Ciente que não é possível. Fornecido 30% off por 3 meses.</t>
  </si>
  <si>
    <t>Clodis Amaral Fagundes da Silva Junior</t>
  </si>
  <si>
    <t xml:space="preserve"> (51) 98421-6482</t>
  </si>
  <si>
    <t>Troca de endereço + isenção taxa de troca.</t>
  </si>
  <si>
    <t>Debora Regina da Silva Rosa</t>
  </si>
  <si>
    <t>(51) 99483-7182</t>
  </si>
  <si>
    <t xml:space="preserve">Teve sinal bloqueado. Realizado liberação em carater de confiança e de exceção. </t>
  </si>
  <si>
    <t>Maria Luiza Martins de Moura</t>
  </si>
  <si>
    <t>(51) 99475-2407</t>
  </si>
  <si>
    <t>Cancelou um de seus pontos e deixou outro ativo.</t>
  </si>
  <si>
    <t xml:space="preserve"> Kerolin Bianca dos Santos Campos</t>
  </si>
  <si>
    <t>(51) 98938-3724</t>
  </si>
  <si>
    <t xml:space="preserve"> Tramandaí - RS</t>
  </si>
  <si>
    <t>Mudança na data da fatura.</t>
  </si>
  <si>
    <t>Mauro Flores de Paiva</t>
  </si>
  <si>
    <t>Ritter</t>
  </si>
  <si>
    <t>(51) 98205-3626</t>
  </si>
  <si>
    <t>Troca de provedor, pois recebeu NETFLIX.</t>
  </si>
  <si>
    <t>Ch Tech Internet Ltda.</t>
  </si>
  <si>
    <t>Distrito Industrial Ritter</t>
  </si>
  <si>
    <t>(51) 99671-3431</t>
  </si>
  <si>
    <t>Bloqueio de sinal por boleto já pago e não compensou. Realizado liberação de sinal e compensação.</t>
  </si>
  <si>
    <t>Luciano Luiz da Silva</t>
  </si>
  <si>
    <t xml:space="preserve"> Loteamento Vila Rica</t>
  </si>
  <si>
    <t>(51) 99526-5557</t>
  </si>
  <si>
    <t>Suspensão temporaria</t>
  </si>
  <si>
    <t>Cilso Omar Tovar da Silva de Souza</t>
  </si>
  <si>
    <t>Chacara das Rosas</t>
  </si>
  <si>
    <t>Insatisfação (lentidão )</t>
  </si>
  <si>
    <t>51) 98255-5075</t>
  </si>
  <si>
    <t>Negociação de faturas</t>
  </si>
  <si>
    <t>Célia Ricaldes Návia</t>
  </si>
  <si>
    <t>(51) 98257-9302</t>
  </si>
  <si>
    <t>Caso alugada foi embora e condominio para onde se mudou só tem 2 internets no condominio.</t>
  </si>
  <si>
    <t>Carolina de Castilho Ritter</t>
  </si>
  <si>
    <t>(51) 99464-7393</t>
  </si>
  <si>
    <t xml:space="preserve">Decidiu continuar, devido a multa fidelidade. </t>
  </si>
  <si>
    <t xml:space="preserve"> Rosângela Bueno da Silva</t>
  </si>
  <si>
    <t>Marcelo José Monbach</t>
  </si>
  <si>
    <t>(51) 99978-6299</t>
  </si>
  <si>
    <t>Reclama de constantes quedas - Cliente nova, ciente de multa,. preferiu gerar vt para analise.</t>
  </si>
  <si>
    <t xml:space="preserve"> EMERSON LUIS AGUIAR DE LIMA</t>
  </si>
  <si>
    <t>Cliente LOS, roteador travou e retornou, realizei ajustes nas config e mantemos a visita</t>
  </si>
  <si>
    <t>Helena Antonia Saldanha</t>
  </si>
  <si>
    <t>Carlos Eduardo da Silva Pires</t>
  </si>
  <si>
    <t>Gravtaí</t>
  </si>
  <si>
    <t>MARILENE DE FATIMA IOHAN</t>
  </si>
  <si>
    <t>(51) 99879-4627</t>
  </si>
  <si>
    <t>Ficou 5 dias sem sinal e não quis aguardar até dia 29/04, consegui encaixe para dia 28/04 a mesma não aceitou.</t>
  </si>
  <si>
    <t>Margarete Anastácio Vieira</t>
  </si>
  <si>
    <t>Ponta Porã</t>
  </si>
  <si>
    <t>(51) 98484-3270</t>
  </si>
  <si>
    <t>02/05</t>
  </si>
  <si>
    <t>Mudança de endereço e não quer realizar procedimentos de mudança.</t>
  </si>
  <si>
    <t>DAIANE BRANDAO</t>
  </si>
  <si>
    <t>Mundo Novo</t>
  </si>
  <si>
    <t>(51) 99772-6741</t>
  </si>
  <si>
    <t>Gerado vt p/ troca do modem + 20% off por 3 meses.</t>
  </si>
  <si>
    <t>Silvana Valentin da Silva Biazoli</t>
  </si>
  <si>
    <t>(51) 98516-2295</t>
  </si>
  <si>
    <t>Alega sem sinal frequente. Gerado VT para analise.</t>
  </si>
  <si>
    <t xml:space="preserve"> Natasha Liens de Araújo</t>
  </si>
  <si>
    <t xml:space="preserve">Entrou em contato para cancelar devido a oferta de R$59,90 ter acabado, feito redução de plano. </t>
  </si>
  <si>
    <t>Aceitou oferta 30% de desconto por 3 meses e reativou o contrato.</t>
  </si>
  <si>
    <t>João Junior Martins Justo</t>
  </si>
  <si>
    <t>(51) 99169-8320</t>
  </si>
  <si>
    <t>Reclama da lentidão na internet. Fizemos teste de velocidade, estava ok. Cliente retornará caso problema persista.</t>
  </si>
  <si>
    <t>Aline Nunes</t>
  </si>
  <si>
    <t>(51) 98626-0952</t>
  </si>
  <si>
    <t>Entrega Loja</t>
  </si>
  <si>
    <t>Mudança de cidade por questões de saúde, irá morar com parentes que já tem internet.</t>
  </si>
  <si>
    <t>João Gregory Da Rosa Carvalho 2</t>
  </si>
  <si>
    <t>Retido com encaixe reincidencia</t>
  </si>
  <si>
    <t>ELONAR HERARD STORCH</t>
  </si>
  <si>
    <t>Redução de plano</t>
  </si>
  <si>
    <t>Luana Rodrigues Danhaha</t>
  </si>
  <si>
    <t>(51) 99821-8968</t>
  </si>
  <si>
    <t>Mudança de endereço, não quis entrar em mais detalhes e nem quis ouvir propostas.</t>
  </si>
  <si>
    <t>Cristiane Vissotto</t>
  </si>
  <si>
    <t xml:space="preserve">Redução de plano. </t>
  </si>
  <si>
    <t>ANIELA REGINA DOS SANTOS SCHMIDDEL</t>
  </si>
  <si>
    <t xml:space="preserve">Morada do Sol </t>
  </si>
  <si>
    <t>Márcio Monteiro de Oliveira</t>
  </si>
  <si>
    <t xml:space="preserve"> (51) 99391-4834</t>
  </si>
  <si>
    <t>solicitou cancelamento informando insatisfação com o serviço, relatando corte de internet sem aviso prévio mesmo após solicitação de mudança de vencimento</t>
  </si>
  <si>
    <t>SONIA MARIA ALVES PEREIRA</t>
  </si>
  <si>
    <t>Alexandria</t>
  </si>
  <si>
    <t>(51) 98057-5296</t>
  </si>
  <si>
    <t>VT + 20% off</t>
  </si>
  <si>
    <t xml:space="preserve"> Éricles Vittor Cacildes da Silva</t>
  </si>
  <si>
    <t>João Clemente</t>
  </si>
  <si>
    <t xml:space="preserve">Litoral </t>
  </si>
  <si>
    <t xml:space="preserve">Alteração de data </t>
  </si>
  <si>
    <t>KELLEN LACERDA DE MORAES</t>
  </si>
  <si>
    <t>(51) 99398-8382</t>
  </si>
  <si>
    <t>04/05</t>
  </si>
  <si>
    <t>Alega que foi muito mal atendida, que se sentiu coagida e houve até ameaça.</t>
  </si>
  <si>
    <t>Ana Maria Lacerda Butler</t>
  </si>
  <si>
    <t>(51) 98446-9580</t>
  </si>
  <si>
    <t>Mudança de endereço.</t>
  </si>
  <si>
    <t>Vagner FerreiraVagner Ferreira</t>
  </si>
  <si>
    <t>Moradas Do Bosque</t>
  </si>
  <si>
    <t>Visita para reparo</t>
  </si>
  <si>
    <t>Maria Cristina de Souza</t>
  </si>
  <si>
    <t>(51) 99344-0540</t>
  </si>
  <si>
    <t>Leonardo Soares Duarte</t>
  </si>
  <si>
    <t xml:space="preserve">Ajuste nas faturas com o valor errado + liberação de beneficios disponiveis no plano do cliente. </t>
  </si>
  <si>
    <t xml:space="preserve"> Jefferson Ricardone Vissotto</t>
  </si>
  <si>
    <t>51 99666-4446</t>
  </si>
  <si>
    <t>Ajuste financeiro+ renovação fidelidade</t>
  </si>
  <si>
    <t>Jorge Derly Mendes da Silva</t>
  </si>
  <si>
    <t>(51) 99247-5303</t>
  </si>
  <si>
    <t>Gerado VT para cabo rompido + 30% off por 6 meses c/ renovação da fidelidade.</t>
  </si>
  <si>
    <t xml:space="preserve"> Juliano Fragozo Teixeira</t>
  </si>
  <si>
    <t>Morada Do Vale</t>
  </si>
  <si>
    <t xml:space="preserve"> KELEN CARPES</t>
  </si>
  <si>
    <t>(51) 99665-1906</t>
  </si>
  <si>
    <t>Sem viabilidade e ninguém irá continuar morando na residencia anterior.</t>
  </si>
  <si>
    <t>Karol Caroline Da Silva Porto Fagundes</t>
  </si>
  <si>
    <t>(51) 98227-2116</t>
  </si>
  <si>
    <t>Ajuste no venc. da fatura de abril + enviado carnê. Sinal liberado.</t>
  </si>
  <si>
    <t>ELMO WILHELMS</t>
  </si>
  <si>
    <t>ANDREIA DA COSTA</t>
  </si>
  <si>
    <t xml:space="preserve"> Santo Afonso</t>
  </si>
  <si>
    <t>(51) 99774-0305</t>
  </si>
  <si>
    <t>Não estava usando os serviços mais.</t>
  </si>
  <si>
    <t>Cristiano Anastácio de Vargas</t>
  </si>
  <si>
    <t>(51) 99145-1497</t>
  </si>
  <si>
    <t xml:space="preserve">Não quis informar o motivo. </t>
  </si>
  <si>
    <t>Marcia Silva Bittencourt</t>
  </si>
  <si>
    <t>Morada do bosque</t>
  </si>
  <si>
    <t>51) 99775-1401</t>
  </si>
  <si>
    <t>VT + Argumentação</t>
  </si>
  <si>
    <t>Alexandra Antunes da Veiga</t>
  </si>
  <si>
    <t>(51) 98972-4328</t>
  </si>
  <si>
    <t>Isenção da taxa de mudança de endereço (RN) + 30% off por 6 meses c/ renovação da fidelidade.</t>
  </si>
  <si>
    <t>Gessimar dos Santos Percheron</t>
  </si>
  <si>
    <t xml:space="preserve"> Centro</t>
  </si>
  <si>
    <t xml:space="preserve"> (51) 98425-3606</t>
  </si>
  <si>
    <t>Sem interesse na troca de endereço.</t>
  </si>
  <si>
    <t>Saionara Gonçalves de Lima</t>
  </si>
  <si>
    <t>(51) 99306-9214</t>
  </si>
  <si>
    <t>Problemas técnicos frequentes.</t>
  </si>
  <si>
    <t xml:space="preserve"> CARLA RECH</t>
  </si>
  <si>
    <t xml:space="preserve"> Jardim Buhler</t>
  </si>
  <si>
    <t>(51) 99773-0868</t>
  </si>
  <si>
    <t>Mudança sem viabilidade.</t>
  </si>
  <si>
    <t>Juliana Ribeiro de Castro</t>
  </si>
  <si>
    <t>(51) 98528-2431</t>
  </si>
  <si>
    <t>Não informou motivo.</t>
  </si>
  <si>
    <t xml:space="preserve"> Maria Alice Gomes da Silva</t>
  </si>
  <si>
    <t>SInos</t>
  </si>
  <si>
    <t>Retida com VT + Desconto na fatura.</t>
  </si>
  <si>
    <t>KAUE VARGAS DE OLIVEIRA</t>
  </si>
  <si>
    <t>São José</t>
  </si>
  <si>
    <t>(51) 99199-0484</t>
  </si>
  <si>
    <t>Problemas técnicos frequentes, queria a vt para hoje 29/04, não sendo possível, por isso cancelou.</t>
  </si>
  <si>
    <t>Uilian Pedroso Pires</t>
  </si>
  <si>
    <t>(51) 99199-6067</t>
  </si>
  <si>
    <t>Encaixe de vt.</t>
  </si>
  <si>
    <t>JAIR BATISTA GERHARDT</t>
  </si>
  <si>
    <t xml:space="preserve">Outros ( Pai do cliente faleceu)  </t>
  </si>
  <si>
    <t>LOURDES MACHADO</t>
  </si>
  <si>
    <t>51 98505 3506</t>
  </si>
  <si>
    <t xml:space="preserve">VAI SE MUDAR DE ESTADO </t>
  </si>
  <si>
    <t>Jadir Machado Becher Pioner</t>
  </si>
  <si>
    <t>Courhasa</t>
  </si>
  <si>
    <t>(51) 99373-9332</t>
  </si>
  <si>
    <t>11/05</t>
  </si>
  <si>
    <t xml:space="preserve">Mal e demora no atendimento do suporte. </t>
  </si>
  <si>
    <t>LUCIANE MOURA DE MELO</t>
  </si>
  <si>
    <t>Santa Maria</t>
  </si>
  <si>
    <t>(51) 99876-8635</t>
  </si>
  <si>
    <t xml:space="preserve">Frequência de problemas técnicos. </t>
  </si>
  <si>
    <t>Dilene Corrêa Machado</t>
  </si>
  <si>
    <t>Vila Cachoeirinha</t>
  </si>
  <si>
    <t>(51) 98529-9718</t>
  </si>
  <si>
    <t xml:space="preserve">Mantida oferta de R$ 59,90 mensais por 12 meses c/ renovação da fidelidade. </t>
  </si>
  <si>
    <t>Vinicius Freitas da Rocha</t>
  </si>
  <si>
    <t xml:space="preserve">Encosta do Sol </t>
  </si>
  <si>
    <t>Luis Eduardo Kuhn Retamar Cardoso</t>
  </si>
  <si>
    <t>(48) 99205-4156</t>
  </si>
  <si>
    <t>GravataÃ­</t>
  </si>
  <si>
    <t>JosÃ© AntÃ³nio rodrigues</t>
  </si>
  <si>
    <t>(51) 99462-0164</t>
  </si>
  <si>
    <t>Osmar sabino</t>
  </si>
  <si>
    <t>Garibaldina</t>
  </si>
  <si>
    <t>(51) 98915-2127</t>
  </si>
  <si>
    <t>Ã‚ngelo Leandro Teixeira Pires</t>
  </si>
  <si>
    <t>Nova EsperanÃ§a</t>
  </si>
  <si>
    <t>(51) 98115-7751</t>
  </si>
  <si>
    <t>Bianca CÃ¡ssia Schmitz</t>
  </si>
  <si>
    <t>SÃ£o Francisco II</t>
  </si>
  <si>
    <t>(51) 99780-3263</t>
  </si>
  <si>
    <t>TramandaÃ­</t>
  </si>
  <si>
    <t>Yasmin Neris Nunes</t>
  </si>
  <si>
    <t>Zona Nova Sul</t>
  </si>
  <si>
    <t>(51) 99240-0397</t>
  </si>
  <si>
    <t>Guilherme dos Santos de Ãvila</t>
  </si>
  <si>
    <t>(51) 99156-2662</t>
  </si>
  <si>
    <t>Rodrigo Lopes Moreira</t>
  </si>
  <si>
    <t>(51) 98947-0643</t>
  </si>
  <si>
    <t>JÃ©ssica Gabriele da Silva Maciel</t>
  </si>
  <si>
    <t>BalneÃ¡rio Ipiranga</t>
  </si>
  <si>
    <t>(51) 99757-7094</t>
  </si>
  <si>
    <t>ImbÃ©</t>
  </si>
  <si>
    <t>THIAGO SIMÃ•ES GARCIA</t>
  </si>
  <si>
    <t>Vila FÃ¡tima</t>
  </si>
  <si>
    <t>(51) 99359-6557</t>
  </si>
  <si>
    <t>Rose Mara Machado Vasgas</t>
  </si>
  <si>
    <t>(51) 98570-0563</t>
  </si>
  <si>
    <t>Glaci Teresinha LeÃ£o Araujo</t>
  </si>
  <si>
    <t>(51) 97400-3749</t>
  </si>
  <si>
    <t>Aria Helena do Amaral</t>
  </si>
  <si>
    <t>(51) 99886-0780</t>
  </si>
  <si>
    <t>ParobÃ©</t>
  </si>
  <si>
    <t>Carlos Alexandre Silva de Macedo</t>
  </si>
  <si>
    <t>SÃ£o Francisco</t>
  </si>
  <si>
    <t>(51) 99009-0349</t>
  </si>
  <si>
    <t>Alex Sandro Santos da Silva</t>
  </si>
  <si>
    <t>(51) 98534-9581</t>
  </si>
  <si>
    <t>Vitor da Luz</t>
  </si>
  <si>
    <t>(51) 99971-9921</t>
  </si>
  <si>
    <t>Fernanda Messa Job</t>
  </si>
  <si>
    <t>Jardim BetÃ¢nia</t>
  </si>
  <si>
    <t>(51) 99256-2436</t>
  </si>
  <si>
    <t>Roseli Aparecida dos Santos</t>
  </si>
  <si>
    <t>(51) 99564-8175</t>
  </si>
  <si>
    <t>Douglas Ferreira de Souza</t>
  </si>
  <si>
    <t>City</t>
  </si>
  <si>
    <t>(51) 99164-9563</t>
  </si>
  <si>
    <t>FELIPE DA SILVA MELO</t>
  </si>
  <si>
    <t>SÃ£o Jorge</t>
  </si>
  <si>
    <t>(51) 99395-0196</t>
  </si>
  <si>
    <t>Andrea Mazzanti Dihl</t>
  </si>
  <si>
    <t>Parque Florido</t>
  </si>
  <si>
    <t>(51) 99560-3126</t>
  </si>
  <si>
    <t>Marcelo Rodrigues da Silva</t>
  </si>
  <si>
    <t>ANAIR</t>
  </si>
  <si>
    <t>(51) 99466-8051</t>
  </si>
  <si>
    <t>Luiz Cresencio</t>
  </si>
  <si>
    <t>(48) 99655-6374</t>
  </si>
  <si>
    <t>Ryan Augusto Pereira da Silva</t>
  </si>
  <si>
    <t>(51) 99632-5053</t>
  </si>
  <si>
    <t>Iveti da Silva Ferreira</t>
  </si>
  <si>
    <t>(51) 99981-0188</t>
  </si>
  <si>
    <t>Edison Dos Santos</t>
  </si>
  <si>
    <t>(51) 98359-0782</t>
  </si>
  <si>
    <t>Diego Santos Pinheiro</t>
  </si>
  <si>
    <t>Parque Granja EsperanÃ§a</t>
  </si>
  <si>
    <t>(51) 98448-4122</t>
  </si>
  <si>
    <t>Mara Rosane Alexandre Pocahy</t>
  </si>
  <si>
    <t>Sao Francisco 2</t>
  </si>
  <si>
    <t>(51) 99840-0389</t>
  </si>
  <si>
    <t>Adrian Weslley dos Santos Silva</t>
  </si>
  <si>
    <t>(51) 98198-4200</t>
  </si>
  <si>
    <t>Gilmar BonifÃ¡cio</t>
  </si>
  <si>
    <t>X</t>
  </si>
  <si>
    <t>(51) 99902-7511</t>
  </si>
  <si>
    <t>Gustavo Coimbra da Silva</t>
  </si>
  <si>
    <t>Ipiranga</t>
  </si>
  <si>
    <t>(51) 98065-6213</t>
  </si>
  <si>
    <t>Cristian Henrique Souza Batista</t>
  </si>
  <si>
    <t>(51) 98123-1398</t>
  </si>
  <si>
    <t>Kimberly Eduarda Radel Teixeira</t>
  </si>
  <si>
    <t>(51) 98437-8187</t>
  </si>
  <si>
    <t>Sidnei da Silva Pedroso</t>
  </si>
  <si>
    <t>(51) 99416-0384</t>
  </si>
  <si>
    <t>RÃ©gis Marcinkowski</t>
  </si>
  <si>
    <t>(51) 98427-3866</t>
  </si>
  <si>
    <t>Ilza AmÃ©lia Garcia Rodrigues</t>
  </si>
  <si>
    <t>(51) 99383-9480</t>
  </si>
  <si>
    <t>Caroline Chacon GonÃ§alves Martins</t>
  </si>
  <si>
    <t>ChÃ¡cara das Rosas</t>
  </si>
  <si>
    <t>(51) 98417-0815</t>
  </si>
  <si>
    <t>ANA AMARAL DIAS</t>
  </si>
  <si>
    <t>(51) 99874-0607</t>
  </si>
  <si>
    <t>Eduardo Ribeiro de Moura</t>
  </si>
  <si>
    <t>(51) 99519-8769</t>
  </si>
  <si>
    <t>Marcos CÃ©sar Faller</t>
  </si>
  <si>
    <t>(51) 99143-0314</t>
  </si>
  <si>
    <t>Lucas Gabriel Ferreira dos Santos</t>
  </si>
  <si>
    <t>(51) 99305-6996</t>
  </si>
  <si>
    <t>Camila Cardoso Jurgeaitis</t>
  </si>
  <si>
    <t>Parque EspÃ­rito Santo</t>
  </si>
  <si>
    <t>(51) 98942-9346</t>
  </si>
  <si>
    <t>Alice Daiane Lutz dos Santos</t>
  </si>
  <si>
    <t>(51) 98143-5192</t>
  </si>
  <si>
    <t>Ketlyn Tisiane da Silva de Assis</t>
  </si>
  <si>
    <t>Fazenda EsperanÃ§a</t>
  </si>
  <si>
    <t>(51) 99299-2711</t>
  </si>
  <si>
    <t>IRIS VIVIANE PACHECO</t>
  </si>
  <si>
    <t>(51) 99632-8635</t>
  </si>
  <si>
    <t>Shaiane Guterres Prates</t>
  </si>
  <si>
    <t>(51) 99884-9759</t>
  </si>
  <si>
    <t>Tayrone Vasconcelos Machado</t>
  </si>
  <si>
    <t>(51) 99733-2417</t>
  </si>
  <si>
    <t>Aline Machado Neves</t>
  </si>
  <si>
    <t>(51) 99416-9559</t>
  </si>
  <si>
    <t>Fernando Garcia</t>
  </si>
  <si>
    <t>(51) 99566-6705</t>
  </si>
  <si>
    <t>Rafaela Morgana Martins Godinho Hoffmaister</t>
  </si>
  <si>
    <t>(51) 99935-2824</t>
  </si>
  <si>
    <t>Manoel Artur Borges de Souza</t>
  </si>
  <si>
    <t>SÃ£o Francisco 1</t>
  </si>
  <si>
    <t>(51) 99414-8037</t>
  </si>
  <si>
    <t>Tatiele Saraiva Ribeiro Campos</t>
  </si>
  <si>
    <t>Boa SaÃºde</t>
  </si>
  <si>
    <t>(51) 99211-9412</t>
  </si>
  <si>
    <t>Amanda Rosa AraÃºjo</t>
  </si>
  <si>
    <t>BalneÃ¡rio Jardim Beira Mar</t>
  </si>
  <si>
    <t>(51) 98021-3284</t>
  </si>
  <si>
    <t>Andressa Mulbaier Diniz</t>
  </si>
  <si>
    <t>(51) 99448-4502</t>
  </si>
  <si>
    <t>Luiz Fabiano Monteiro Cardoso Correa</t>
  </si>
  <si>
    <t>(51) 99256-3918</t>
  </si>
  <si>
    <t>Tamiris Mercante Ferreira</t>
  </si>
  <si>
    <t>(51) 98265-8010</t>
  </si>
  <si>
    <t>Marcus Vinicius de Oliveira Bitencourt</t>
  </si>
  <si>
    <t>SÃ£o Judas Tadeu</t>
  </si>
  <si>
    <t>(51) 98033-4005</t>
  </si>
  <si>
    <t>Tatiane Martins de Almeida</t>
  </si>
  <si>
    <t>Mariana</t>
  </si>
  <si>
    <t>(51) 99551-7460</t>
  </si>
  <si>
    <t>Rosane Gomes Dias</t>
  </si>
  <si>
    <t>(51) 98545-1936</t>
  </si>
  <si>
    <t>Rafael Freitas Dias</t>
  </si>
  <si>
    <t>(51) 98401-3050</t>
  </si>
  <si>
    <t>ALZAIRA GRAZIELI FELICIANO</t>
  </si>
  <si>
    <t>(51) 99909-3377</t>
  </si>
  <si>
    <t>Allyson Leandro Rosa Mora</t>
  </si>
  <si>
    <t>(51) 98575-5385</t>
  </si>
  <si>
    <t>Deise de Lima Ayres</t>
  </si>
  <si>
    <t>(51) 99124-7107</t>
  </si>
  <si>
    <t>ADELAR ADAO FROHLICH</t>
  </si>
  <si>
    <t>(51) 99815-4040</t>
  </si>
  <si>
    <t>Karina Knack da Silva</t>
  </si>
  <si>
    <t>Vila Carlos AntÃ´nio Wilkens</t>
  </si>
  <si>
    <t>(51) 99101-3153</t>
  </si>
  <si>
    <t>EDSON JOCHHAN</t>
  </si>
  <si>
    <t>(51) 99746-3455</t>
  </si>
  <si>
    <t>Claudia Lima Florence</t>
  </si>
  <si>
    <t>(51) 98917-2023</t>
  </si>
  <si>
    <t>DENISE APARECIDA DA SILVA</t>
  </si>
  <si>
    <t>GuarujÃ¡</t>
  </si>
  <si>
    <t>(51) 99340-8081</t>
  </si>
  <si>
    <t>LetÃ­cia Inhoque de Couto</t>
  </si>
  <si>
    <t>(51) 99809-9489</t>
  </si>
  <si>
    <t>JONATHAN AUGUSTO BOA VISTA DA SILVA</t>
  </si>
  <si>
    <t>(51) 98088-8487</t>
  </si>
  <si>
    <t>BÃ¡rbara Fernanda Rodrigues Pereira</t>
  </si>
  <si>
    <t>(51) 99501-9633</t>
  </si>
  <si>
    <t>Igor Dias Alves</t>
  </si>
  <si>
    <t>Bom PrincÃ­pio</t>
  </si>
  <si>
    <t>(51) 98546-2974</t>
  </si>
  <si>
    <t>MARCIA REGINA SCHROEDER</t>
  </si>
  <si>
    <t>Das Quintas</t>
  </si>
  <si>
    <t>(51) 98481-6889</t>
  </si>
  <si>
    <t>EstÃ¢ncia Velha</t>
  </si>
  <si>
    <t>Maicon Rodrigues da silveira</t>
  </si>
  <si>
    <t>(51) 99480-8764</t>
  </si>
  <si>
    <t>Graziele Silva Ritter Teixeira</t>
  </si>
  <si>
    <t>(51) 99638-0931</t>
  </si>
  <si>
    <t>Izabel Cristina Siqueira Machado</t>
  </si>
  <si>
    <t>IndianÃ³polis</t>
  </si>
  <si>
    <t>(51) 98046-6842</t>
  </si>
  <si>
    <t>Emerson Meneghetti</t>
  </si>
  <si>
    <t>Vila MÃ¡rcia</t>
  </si>
  <si>
    <t>(51) 99482-2424</t>
  </si>
  <si>
    <t>JoÃ£o Vitor Barth</t>
  </si>
  <si>
    <t>(51) 99169-8370</t>
  </si>
  <si>
    <t>Lenilda Aparecida Oliveira da Silva</t>
  </si>
  <si>
    <t>(51) 98480-9082</t>
  </si>
  <si>
    <t>Jonas GonÃ§alves Antunes</t>
  </si>
  <si>
    <t>(51) 99280-0119</t>
  </si>
  <si>
    <t>Ã‰ldeon Garcez Roos</t>
  </si>
  <si>
    <t>(51) 98438-1168</t>
  </si>
  <si>
    <t>Maria Evi Homem Guedes</t>
  </si>
  <si>
    <t>(51) 99358-5756</t>
  </si>
  <si>
    <t>MoisÃ©s Gomes Oliveira</t>
  </si>
  <si>
    <t>(51) 98458-7623</t>
  </si>
  <si>
    <t>Eloina Lemos Dos Santos</t>
  </si>
  <si>
    <t>Vila Princesa Izabel</t>
  </si>
  <si>
    <t>(51) 99752-6153</t>
  </si>
  <si>
    <t>Ryan dos Santos Bento</t>
  </si>
  <si>
    <t>(51) 98404-3265</t>
  </si>
  <si>
    <t>Eveline Machado Trindade</t>
  </si>
  <si>
    <t>HumaitÃ¡</t>
  </si>
  <si>
    <t>(51) 99742-0635</t>
  </si>
  <si>
    <t>LUNALVA DE LOURDES WITTKE DA SILVA</t>
  </si>
  <si>
    <t>(51) 98476-4699</t>
  </si>
  <si>
    <t>Patrick Souza josefino</t>
  </si>
  <si>
    <t>(51) 99817-4307</t>
  </si>
  <si>
    <t>Cristina Cantes Rodrigues</t>
  </si>
  <si>
    <t>Tom Jobim</t>
  </si>
  <si>
    <t>(51) 98942-5273</t>
  </si>
  <si>
    <t>Viviane do amaral flores</t>
  </si>
  <si>
    <t>(55) 3470-8472</t>
  </si>
  <si>
    <t>Marcos AtaÃ­des Silva de Vargas</t>
  </si>
  <si>
    <t>(51) 98651-4836</t>
  </si>
  <si>
    <t>TIAGO FRIZON</t>
  </si>
  <si>
    <t>(51) 99923-5856</t>
  </si>
  <si>
    <t>PAMELA ALVES SOUZA</t>
  </si>
  <si>
    <t>RincÃ£o dos IlhÃ©us</t>
  </si>
  <si>
    <t>(51) 99238-0303</t>
  </si>
  <si>
    <t>BASE TECIDOS E MALHAS LTDA</t>
  </si>
  <si>
    <t>Jovir JosÃ© Zorzi</t>
  </si>
  <si>
    <t>(51) 99385-0661</t>
  </si>
  <si>
    <t>NILZA ROSSI LEOTTI</t>
  </si>
  <si>
    <t>(51) 98953-1874</t>
  </si>
  <si>
    <t>CAMILA DA SILVA DOS SANTOS</t>
  </si>
  <si>
    <t>(51) 99390-1484</t>
  </si>
  <si>
    <t>SÃ£o Leopoldo</t>
  </si>
  <si>
    <t>ALFREDO DE ANGELI</t>
  </si>
  <si>
    <t>SÃ£o JosÃ©</t>
  </si>
  <si>
    <t>(51) 99828-7716</t>
  </si>
  <si>
    <t>OSVALDO RODRIGUES DOS SANTOS</t>
  </si>
  <si>
    <t>CAMPO GRANDE</t>
  </si>
  <si>
    <t>(51) 99989-4647</t>
  </si>
  <si>
    <t>MEGUI RICACHESK DE FREITAS</t>
  </si>
  <si>
    <t>SÃ£o Luiz</t>
  </si>
  <si>
    <t>(51) 99520-5598</t>
  </si>
  <si>
    <t>Sapiranga</t>
  </si>
  <si>
    <t>NEREU BASEI FINGER</t>
  </si>
  <si>
    <t>(51) 99978-7948</t>
  </si>
  <si>
    <t>ELIZABETE DOS SANTOS DA ROSA</t>
  </si>
  <si>
    <t>(51) 99535-5733</t>
  </si>
  <si>
    <t>F L MOSSMANN &amp; CIA LTDA ME</t>
  </si>
  <si>
    <t>Imigrante Norte</t>
  </si>
  <si>
    <t>(51) 99914-4300</t>
  </si>
  <si>
    <t>Francisco medeiros monte</t>
  </si>
  <si>
    <t>COHAB A</t>
  </si>
  <si>
    <t>(51) 98353-2840</t>
  </si>
  <si>
    <t>Cristiano de Melo Bello</t>
  </si>
  <si>
    <t>SÃ£o Jose</t>
  </si>
  <si>
    <t>(54) 98141-4974</t>
  </si>
  <si>
    <t>Diovana Feliciano</t>
  </si>
  <si>
    <t>(51) 98152-5567</t>
  </si>
  <si>
    <t>ClÃ¡udia Rejane Mendes</t>
  </si>
  <si>
    <t>(51) 98464-4600</t>
  </si>
  <si>
    <t>Jeniffer Araujo Fernandes</t>
  </si>
  <si>
    <t>(51) 99194-6858</t>
  </si>
  <si>
    <t>Rafael da Silva Lemos</t>
  </si>
  <si>
    <t>(51) 99323-3989</t>
  </si>
  <si>
    <t>SÃ©rgio Ronaldo Castro dos Santos</t>
  </si>
  <si>
    <t>(51) 99545-7962</t>
  </si>
  <si>
    <t>Kathryn Silva dos Passos</t>
  </si>
  <si>
    <t>Jansen</t>
  </si>
  <si>
    <t>(51) 99786-8660</t>
  </si>
  <si>
    <t>Paulo Juarez Wildner de AragÃ£o</t>
  </si>
  <si>
    <t>Parque dos EucalÃ­ptos</t>
  </si>
  <si>
    <t>(51) 98462-8757</t>
  </si>
  <si>
    <t>EDILSON JUNIOR PADILHA DE MORAES</t>
  </si>
  <si>
    <t>(51) 99131-9656</t>
  </si>
  <si>
    <t>ANTONIO CLENIO MIRANDOLLI</t>
  </si>
  <si>
    <t>(51) 98474-2222</t>
  </si>
  <si>
    <t>Dineia Gisele dos Santos Valandro</t>
  </si>
  <si>
    <t>(51) 98030-9257</t>
  </si>
  <si>
    <t>Telma Lais Sehnem de Bittencourt</t>
  </si>
  <si>
    <t>(51) 98646-2458</t>
  </si>
  <si>
    <t>AndrÃ©ia Tatiana de Oliveira Biginol</t>
  </si>
  <si>
    <t>SÃ£o Francisco Ii</t>
  </si>
  <si>
    <t>(51) 98483-8201</t>
  </si>
  <si>
    <t>Maicon Antunes de Anchieta</t>
  </si>
  <si>
    <t>(51) 98244-2874</t>
  </si>
  <si>
    <t>Cristian Oliveira de Lima</t>
  </si>
  <si>
    <t>Meu RincÃ£o</t>
  </si>
  <si>
    <t>(51) 99837-5784</t>
  </si>
  <si>
    <t>KauÃ£ Velasques De Oliveira</t>
  </si>
  <si>
    <t>Parque Dos Presidente</t>
  </si>
  <si>
    <t>(51) 99637-8992</t>
  </si>
  <si>
    <t>Jessica FeijÃ³ Felisberto</t>
  </si>
  <si>
    <t>(51) 98464-3510</t>
  </si>
  <si>
    <t>DEBORA CRESENCIO BORNOLDO</t>
  </si>
  <si>
    <t>(51) 98276-7952</t>
  </si>
  <si>
    <t>EDUARDA GABRIELI DE ALMEIDA</t>
  </si>
  <si>
    <t>(51) 99614-3017</t>
  </si>
  <si>
    <t>NANCI MARTINS DA SILVA</t>
  </si>
  <si>
    <t>(51) 98544-1622</t>
  </si>
  <si>
    <t>MARCELO BUENO DE GOES</t>
  </si>
  <si>
    <t>(51) 99686-5089</t>
  </si>
  <si>
    <t>Ariane da Silva Velho</t>
  </si>
  <si>
    <t>Vila Jardim AmÃ©rica</t>
  </si>
  <si>
    <t>(51) 99712-8489</t>
  </si>
  <si>
    <t>Joao Batista dos Santos</t>
  </si>
  <si>
    <t>(51) 99126-8888</t>
  </si>
  <si>
    <t>Marcelo Falcao Lopes</t>
  </si>
  <si>
    <t>(51) 98630-6459</t>
  </si>
  <si>
    <t>Rodrigo Fagundes Verdum</t>
  </si>
  <si>
    <t>(51) 99228-5843</t>
  </si>
  <si>
    <t>Maicon Gabriel Domingos Duarte</t>
  </si>
  <si>
    <t>(51) 99598-5672</t>
  </si>
  <si>
    <t>Sandro Rogerio da Rocha da Silva</t>
  </si>
  <si>
    <t>(51) 99997-4104</t>
  </si>
  <si>
    <t>Rosangela Vidal Messias</t>
  </si>
  <si>
    <t>(51) 99119-5796</t>
  </si>
  <si>
    <t>Diva Bernadete Lewrens Machado</t>
  </si>
  <si>
    <t>CANUDOS</t>
  </si>
  <si>
    <t>(51) 98129-1213</t>
  </si>
  <si>
    <t>Victor Mateus RODRIGUES SOUZA</t>
  </si>
  <si>
    <t>SÃƒO FRANCISCO 2</t>
  </si>
  <si>
    <t>(51) 99331-5157</t>
  </si>
  <si>
    <t>Arisoli Dutra dos Santos</t>
  </si>
  <si>
    <t>(51) 98182-1938</t>
  </si>
  <si>
    <t>Maria FlÃ¡via da Silva Lima</t>
  </si>
  <si>
    <t>(51) 99603-9221</t>
  </si>
  <si>
    <t>Leonardo da Silva Minuto</t>
  </si>
  <si>
    <t>(51) 99407-7362</t>
  </si>
  <si>
    <t>Patrick Andrei BalduÃ­no</t>
  </si>
  <si>
    <t>(51) 99897-2543</t>
  </si>
  <si>
    <t>Janice Rosa da Costa</t>
  </si>
  <si>
    <t>BarnabÃ©</t>
  </si>
  <si>
    <t>(51) 99231-2883</t>
  </si>
  <si>
    <t>Eder Moreira Scherer</t>
  </si>
  <si>
    <t>Distrito De Santa Cristina</t>
  </si>
  <si>
    <t>(51) 98010-6990</t>
  </si>
  <si>
    <t>Gabriel Fagundes de Campos</t>
  </si>
  <si>
    <t>(51) 98530-6831</t>
  </si>
  <si>
    <t>Dalvani Bernardo</t>
  </si>
  <si>
    <t>Fazenda Martins</t>
  </si>
  <si>
    <t>(51) 99832-4943</t>
  </si>
  <si>
    <t>ADEMIR RODRIGUES LOPES</t>
  </si>
  <si>
    <t>(51) 98556-3694</t>
  </si>
  <si>
    <t>Luiza da Silva Soares</t>
  </si>
  <si>
    <t>(51) 98159-8693</t>
  </si>
  <si>
    <t>Raquel Rosa de Freitas</t>
  </si>
  <si>
    <t>(51) 98569-6913</t>
  </si>
  <si>
    <t>ALLEFEN KIEHLER ROSA</t>
  </si>
  <si>
    <t>Parque Residencial Miraflores Ipiranga</t>
  </si>
  <si>
    <t>(51) 98037-5802</t>
  </si>
  <si>
    <t>Bruno Rafael alves neves</t>
  </si>
  <si>
    <t>BalneÃ¡rio Jardim</t>
  </si>
  <si>
    <t>(51) 99016-1328</t>
  </si>
  <si>
    <t>Vanderlei Cezar Pitano</t>
  </si>
  <si>
    <t>(51) 98551-6601</t>
  </si>
  <si>
    <t>Alan Silva Ribeiro</t>
  </si>
  <si>
    <t>(51) 98175-3296</t>
  </si>
  <si>
    <t>Paula Alessandra da Silva dos Santos</t>
  </si>
  <si>
    <t>(51) 98275-6001</t>
  </si>
  <si>
    <t>Gabrielle Andrade de Souza</t>
  </si>
  <si>
    <t>(51) 98062-2125</t>
  </si>
  <si>
    <t>Julia Santos de Oliveira</t>
  </si>
  <si>
    <t>(51) 98112-6976</t>
  </si>
  <si>
    <t>MARILZA PASSOS</t>
  </si>
  <si>
    <t>(51) 98349-7653</t>
  </si>
  <si>
    <t>Marcos Roberto Da Silva</t>
  </si>
  <si>
    <t>(51) 98016-3427</t>
  </si>
  <si>
    <t>Camila Militao Dornelles</t>
  </si>
  <si>
    <t>(51) 99980-4191</t>
  </si>
  <si>
    <t>Cleiton Schornes Wandscher</t>
  </si>
  <si>
    <t>(51) 99330-5504</t>
  </si>
  <si>
    <t>Steven Silva Aguiar</t>
  </si>
  <si>
    <t>(51) 98555-3955</t>
  </si>
  <si>
    <t>Edimilson hentges de Andrade</t>
  </si>
  <si>
    <t>(51) 99715-1258</t>
  </si>
  <si>
    <t>Elias GonÃ§alves dos Santos</t>
  </si>
  <si>
    <t>(51) 99670-8910</t>
  </si>
  <si>
    <t>Richard Brugnera Peres</t>
  </si>
  <si>
    <t>(51) 99492-3535</t>
  </si>
  <si>
    <t>Jaciara Martins da Silva</t>
  </si>
  <si>
    <t>(51) 99373-2163</t>
  </si>
  <si>
    <t>Deise Fernanda de Souza</t>
  </si>
  <si>
    <t>(51) 98279-7008</t>
  </si>
  <si>
    <t>Jorge LuÃ­s Coimbra De Oliveira</t>
  </si>
  <si>
    <t>(51) 99902-9125</t>
  </si>
  <si>
    <t>Gilnei Bica Oliveira</t>
  </si>
  <si>
    <t>(51) 99980-1328</t>
  </si>
  <si>
    <t>CLEOMAR VINICIUS PINTO MATOS</t>
  </si>
  <si>
    <t>(51) 99404-0292</t>
  </si>
  <si>
    <t>Daiane Cristina Silva Rosa</t>
  </si>
  <si>
    <t>(51) 98919-1632</t>
  </si>
  <si>
    <t>Ana Carla correa</t>
  </si>
  <si>
    <t>muck</t>
  </si>
  <si>
    <t>(48) 99138-8929</t>
  </si>
  <si>
    <t>Juan Bitencourt Soares</t>
  </si>
  <si>
    <t>(51) 99951-8860</t>
  </si>
  <si>
    <t>GUILHERME GOMES PAZ</t>
  </si>
  <si>
    <t>(51) 99344-2186</t>
  </si>
  <si>
    <t>Jeferson Amaral dos Santos</t>
  </si>
  <si>
    <t>Balneario Jardim</t>
  </si>
  <si>
    <t>(51) 98658-6498</t>
  </si>
  <si>
    <t>Angela MagalhÃ£es da Silva</t>
  </si>
  <si>
    <t>(51) 98109-0397</t>
  </si>
  <si>
    <t>VinÃ­cius Teixeira Weiss</t>
  </si>
  <si>
    <t>(51) 99165-7822</t>
  </si>
  <si>
    <t>Patrick silvino dia santos rocha</t>
  </si>
  <si>
    <t>Parque Dos Presidentes</t>
  </si>
  <si>
    <t>(51) 99905-0862</t>
  </si>
  <si>
    <t>Brenda Rodrigues Custodio</t>
  </si>
  <si>
    <t>(51) 99480-1929</t>
  </si>
  <si>
    <t>EDUARDA COELHO</t>
  </si>
  <si>
    <t>(51) 99898-7524</t>
  </si>
  <si>
    <t>Elisabete da Silva Silva</t>
  </si>
  <si>
    <t>(51) 98179-3583</t>
  </si>
  <si>
    <t>JOSE IDOALDO NARDES</t>
  </si>
  <si>
    <t>(51) 99635-2508</t>
  </si>
  <si>
    <t>Barbara Peres Braga</t>
  </si>
  <si>
    <t>(51) 99309-5107</t>
  </si>
  <si>
    <t>Ingrid Pacheco de Souza</t>
  </si>
  <si>
    <t>(51) 98607-3781</t>
  </si>
  <si>
    <t>Pedro Paulo Da Silva Cardoso</t>
  </si>
  <si>
    <t>(51) 99417-9239</t>
  </si>
  <si>
    <t>CÃ¡ssia Roleto da Silva</t>
  </si>
  <si>
    <t>(51) 99168-9193</t>
  </si>
  <si>
    <t>Isete Eunice Dutra</t>
  </si>
  <si>
    <t>(51) 99370-6623</t>
  </si>
  <si>
    <t>Kariele Bandeira Antunes</t>
  </si>
  <si>
    <t>(51) 99966-4622</t>
  </si>
  <si>
    <t>ALEXANDRE PORTELLA DA SILVA</t>
  </si>
  <si>
    <t>Cohab</t>
  </si>
  <si>
    <t>(54) 99622-8855</t>
  </si>
  <si>
    <t>MARIA GENECI GONZAGA</t>
  </si>
  <si>
    <t>Nossa Senhora de FÃ¡tima</t>
  </si>
  <si>
    <t>(51) 98223-0442</t>
  </si>
  <si>
    <t>ADRIANA CAMPOS BRIZOLLA</t>
  </si>
  <si>
    <t>(51) 98061-1191</t>
  </si>
  <si>
    <t>VILMAR GOMES DA SILVA</t>
  </si>
  <si>
    <t>(51) 99889-4317</t>
  </si>
  <si>
    <t>FABIO MIRANDA ROCHA</t>
  </si>
  <si>
    <t>(51) 99303-2358</t>
  </si>
  <si>
    <t>Solange De FÃ¡tima Fiuza</t>
  </si>
  <si>
    <t>(51) 99581-9538</t>
  </si>
  <si>
    <t>Alesandra Daiane de Jesus Vieira</t>
  </si>
  <si>
    <t>(51) 98183-6473</t>
  </si>
  <si>
    <t>INFORMAÇÕES</t>
  </si>
  <si>
    <t>QNT CANCELADO</t>
  </si>
  <si>
    <t>QNT RETIDO</t>
  </si>
  <si>
    <t>PROJEÇÃO RESULTADO GERAL</t>
  </si>
  <si>
    <t>ate 100% = positivo</t>
  </si>
  <si>
    <t>Orçamento</t>
  </si>
  <si>
    <t>realizado dentro de Março</t>
  </si>
  <si>
    <t>insat. c/ atendimento</t>
  </si>
  <si>
    <t>Total de Solicitações ATD</t>
  </si>
  <si>
    <t>Cancelados</t>
  </si>
  <si>
    <t>RETIDOS</t>
  </si>
  <si>
    <t>Tx de Retenção</t>
  </si>
  <si>
    <t>Tx de Part. Resultado</t>
  </si>
  <si>
    <t>Proj. de Comissão</t>
  </si>
  <si>
    <t>insat. c/ Serviço</t>
  </si>
  <si>
    <t>Mudança de end</t>
  </si>
  <si>
    <t>Motivos pessoas</t>
  </si>
  <si>
    <t>Troca de Provedor</t>
  </si>
  <si>
    <t>Problemas Financ.</t>
  </si>
  <si>
    <t>INSATISFAÇÃO COM ATENDIMENTO</t>
  </si>
  <si>
    <t>TOTAL SOLICITAÇÕES</t>
  </si>
  <si>
    <t>Atendimento SAC/Financeiro</t>
  </si>
  <si>
    <t>TX RETENÇÃO</t>
  </si>
  <si>
    <t>% SOBRE totalXcancelados</t>
  </si>
  <si>
    <t>Atendimento Retenção</t>
  </si>
  <si>
    <t xml:space="preserve">  </t>
  </si>
  <si>
    <t>Demora no Atendimento</t>
  </si>
  <si>
    <t>Cobrança</t>
  </si>
  <si>
    <t>INSATISFAÇÃO COM O SERVIÇO</t>
  </si>
  <si>
    <t>Sem sinal</t>
  </si>
  <si>
    <t xml:space="preserve">MUDANÇA DE ENDEREÇO </t>
  </si>
  <si>
    <t>Insatisfação (colocar no descritivo acima)</t>
  </si>
  <si>
    <t>Funcionario do nv provedor</t>
  </si>
  <si>
    <t>MARÇO</t>
  </si>
  <si>
    <t>02/03</t>
  </si>
  <si>
    <t>Gabriela Abel Emerim</t>
  </si>
  <si>
    <t>São Judas Tadeu</t>
  </si>
  <si>
    <t>(51) 98145-9739</t>
  </si>
  <si>
    <t>WILLIAN P</t>
  </si>
  <si>
    <t xml:space="preserve">Retenção: Cliente frustrada que a internet vivia caindo, solicitei um suporte com troca de roteador e reparo em toda fibra. Fiz um pós atendimento e conferi que a cliente ficou satisfeita. </t>
  </si>
  <si>
    <t>Douglas de Moraes Widnef</t>
  </si>
  <si>
    <t>(51) 99239-0561</t>
  </si>
  <si>
    <t>13/003</t>
  </si>
  <si>
    <t>Quedas constantes, sem sinal.</t>
  </si>
  <si>
    <t>SIM</t>
  </si>
  <si>
    <t>Micael Tobias Wirth</t>
  </si>
  <si>
    <t>06/03</t>
  </si>
  <si>
    <t xml:space="preserve">Cliente solicitou cancelamento devido a mudança de seu apartamento no litoral. </t>
  </si>
  <si>
    <t>MARCIO RODRIGUES DA SILVA COLOMBO</t>
  </si>
  <si>
    <t xml:space="preserve">Novo Hambuirgo </t>
  </si>
  <si>
    <t>23/02</t>
  </si>
  <si>
    <t xml:space="preserve">Problemas recorrentes do FTTC, decidiu cancelar. </t>
  </si>
  <si>
    <t>transbordo FEV</t>
  </si>
  <si>
    <t>Savana de Abreu Vieira</t>
  </si>
  <si>
    <t xml:space="preserve"> Jardim Betânia</t>
  </si>
  <si>
    <t>(51) 99907-6653</t>
  </si>
  <si>
    <t>13/03</t>
  </si>
  <si>
    <t>Mudança de cidade, já tem conexão no novo endereço.</t>
  </si>
  <si>
    <t>JUNIOR SANTOS DA SILVA</t>
  </si>
  <si>
    <t>Por do Sol</t>
  </si>
  <si>
    <t xml:space="preserve">Cliente com problemas recorrentes, tecnico foi hoje e saiu e ficou sem conexão, sendo assim fizemos o tecnico retornar e será solucionado. </t>
  </si>
  <si>
    <t>Eridel Brisola de Lima</t>
  </si>
  <si>
    <t>NOVA PAROBÉ</t>
  </si>
  <si>
    <t>(51) 99781-7130</t>
  </si>
  <si>
    <t>Já possuí conexão no novo endereço.</t>
  </si>
  <si>
    <t>Franciele da Silvia Rodrigues Sarmento</t>
  </si>
  <si>
    <t>(51) 99442-0082</t>
  </si>
  <si>
    <t>04/03</t>
  </si>
  <si>
    <t>Se mudou e alega estar tentando há 1 semana cancelar.</t>
  </si>
  <si>
    <t>GRACIELI MARIA HENTZ</t>
  </si>
  <si>
    <t>(51) 99626-9746</t>
  </si>
  <si>
    <t>Quedas constantes, cliente cansou e resolveu cancelar.</t>
  </si>
  <si>
    <t>Graziela Rosa Luiz</t>
  </si>
  <si>
    <t>(51) 98574-3936</t>
  </si>
  <si>
    <t xml:space="preserve">Insatisfação com o atendimento. </t>
  </si>
  <si>
    <t>GRAZIELE ERCIO GAMBIM</t>
  </si>
  <si>
    <t>09/03</t>
  </si>
  <si>
    <t xml:space="preserve">Problemas recorrentes FTTC. </t>
  </si>
  <si>
    <t>Bruno Peres Vieira</t>
  </si>
  <si>
    <t>Parque Eucaliptus</t>
  </si>
  <si>
    <t>(51) 99426-9566</t>
  </si>
  <si>
    <t>Alega troca de provedor.</t>
  </si>
  <si>
    <t xml:space="preserve"> Isadora Fagundes Teixeira</t>
  </si>
  <si>
    <t xml:space="preserve">Devido a problemas (mesmo sem manuutenções recentes) Decidiu junto com a esposa a cancelar o serviço. </t>
  </si>
  <si>
    <t>Daiane Souza da Silva</t>
  </si>
  <si>
    <t>(51) 99151-6117</t>
  </si>
  <si>
    <t>Quedas frequentes.</t>
  </si>
  <si>
    <t xml:space="preserve"> Luciana de Oliveira Soares</t>
  </si>
  <si>
    <t>Parque Eucaliptos</t>
  </si>
  <si>
    <t>Se mudou para a casa da filha que tem fenix</t>
  </si>
  <si>
    <t>Cristiene Fagundes Moraes</t>
  </si>
  <si>
    <t>(51) 99310-1717</t>
  </si>
  <si>
    <t>Problemas técnicos</t>
  </si>
  <si>
    <t>LICIANE KLEIN</t>
  </si>
  <si>
    <t>(51) 99530-2072</t>
  </si>
  <si>
    <t>Mudança de pais.</t>
  </si>
  <si>
    <t>CLAUDIO SOARES</t>
  </si>
  <si>
    <t>(51) 98116-1249</t>
  </si>
  <si>
    <t>Mudança de cidade, não aceitou a troca de endereço mesmo eu dizendo que atendiamos NH.</t>
  </si>
  <si>
    <t>VANDERSILVIO DA SILVA</t>
  </si>
  <si>
    <t>(51) 99684-1866</t>
  </si>
  <si>
    <t xml:space="preserve">Insatisfação com o serviço e já contratou outra operadora - Vivo.
</t>
  </si>
  <si>
    <t>VANUSA MALTHA CHAGAS</t>
  </si>
  <si>
    <t>(51) 98042-9758</t>
  </si>
  <si>
    <t>Mudança.</t>
  </si>
  <si>
    <t>ROSA MARIA PEREIRA VITH</t>
  </si>
  <si>
    <t>(51) 99269-0240</t>
  </si>
  <si>
    <t>DIEGO RODOLFO FERREIRA</t>
  </si>
  <si>
    <t>(51) 99346-2659</t>
  </si>
  <si>
    <t>Mudança de endereço - sem interesse em transferência de endereço.</t>
  </si>
  <si>
    <t>60.244.820 THAIS GOTTSCHALK</t>
  </si>
  <si>
    <t>(51) 99965-2293</t>
  </si>
  <si>
    <t>Troca de provedora p/ De ferrari.</t>
  </si>
  <si>
    <t>Bruno de Borba Ozio</t>
  </si>
  <si>
    <t>(51) 98918-4093</t>
  </si>
  <si>
    <t>Alega mudança de endereço.</t>
  </si>
  <si>
    <t>MARA ROSENEI DA SILVA</t>
  </si>
  <si>
    <t>(51) 99267-7524</t>
  </si>
  <si>
    <t>Poste estava quase caindo, impedindo técnico de fazer serviço. Cliente desejou cancelar, pois técnico não conseguiu subir no poste por segurança</t>
  </si>
  <si>
    <t>Lovois de Andrade Miguel</t>
  </si>
  <si>
    <t>Cruzeiro Do Sul 2</t>
  </si>
  <si>
    <t>(51) 99977-7330</t>
  </si>
  <si>
    <t>03/03</t>
  </si>
  <si>
    <t>Alega venda o imóvel.</t>
  </si>
  <si>
    <t>ADILSON JESUS DA SILVA</t>
  </si>
  <si>
    <t>(51) 99901-5530</t>
  </si>
  <si>
    <t>10/03</t>
  </si>
  <si>
    <t>Cliente reclama de problemas técnicos e problemas no boleto.</t>
  </si>
  <si>
    <t>IRMAOS SILVA NAVALHAS E MATRIZES LTDA ME</t>
  </si>
  <si>
    <t>Amaral Ribeiro</t>
  </si>
  <si>
    <t>(51) 99749-4116</t>
  </si>
  <si>
    <t>Cliente contratou plano empresarial com outra provedora.</t>
  </si>
  <si>
    <t>KELVIN MARLON DA ROSA</t>
  </si>
  <si>
    <t>(51) 99559-1240</t>
  </si>
  <si>
    <t>Quedas constantes.</t>
  </si>
  <si>
    <t>JOSE ADRIANO KLEIN</t>
  </si>
  <si>
    <t>(51) 98134-3284</t>
  </si>
  <si>
    <t>Valores altos, ofertei desconto, cliente não aceitou.</t>
  </si>
  <si>
    <t>DAIANE PATRICIA DE SOUZA</t>
  </si>
  <si>
    <t xml:space="preserve"> (51) 98324-4683</t>
  </si>
  <si>
    <t>VERA LUCIA DE MORAES SILVEIRA</t>
  </si>
  <si>
    <t>Boa Saude</t>
  </si>
  <si>
    <t>Trocou de provedor</t>
  </si>
  <si>
    <t>Jaqueline Bruschi Flor</t>
  </si>
  <si>
    <t>04/02</t>
  </si>
  <si>
    <t xml:space="preserve">Os pais se separaram e os pontos são deles, vão se mudar para o condominio vila flores e enviou o contrato para isenção e comprovação de que vai se mudar para lá. Cliente isenta de multa e será cancelado os dois contratos MIRAMAR E ITAPEVA. </t>
  </si>
  <si>
    <t>Bruna Cristina Gross dos Santos</t>
  </si>
  <si>
    <t>(51) 99862-9797</t>
  </si>
  <si>
    <t>Insatisfação com o serviço - cliente alega ter tido vários problemas de conexão que não foram resolvidos.</t>
  </si>
  <si>
    <t>JOICE DE CASTRO JORIS</t>
  </si>
  <si>
    <t>(51) 99512-7032</t>
  </si>
  <si>
    <t>Alega que já havia cancelado sua assinatura, está totalmente insatisfeita com o atendimento.</t>
  </si>
  <si>
    <t>Thais Freitas da Silva</t>
  </si>
  <si>
    <t>Parque granja esperança</t>
  </si>
  <si>
    <t>06/02</t>
  </si>
  <si>
    <t>Problemas tecnicos</t>
  </si>
  <si>
    <t>ELVIS SPOHR</t>
  </si>
  <si>
    <t xml:space="preserve"> Concórdia</t>
  </si>
  <si>
    <t>(51) 99699-1710</t>
  </si>
  <si>
    <t>Quedas e lentidão.</t>
  </si>
  <si>
    <t xml:space="preserve"> ELEN PAMELA DUARTE</t>
  </si>
  <si>
    <t>(51) 99655-7118</t>
  </si>
  <si>
    <t>PAROBÉ</t>
  </si>
  <si>
    <t>Filho da cliente trocou de provedor</t>
  </si>
  <si>
    <t xml:space="preserve"> 51.416.414/0001-37</t>
  </si>
  <si>
    <t>Morada do vale</t>
  </si>
  <si>
    <t>28/02</t>
  </si>
  <si>
    <t xml:space="preserve">Tinha duas lojas e colcoou dois pontos, agora precisa de um só. </t>
  </si>
  <si>
    <t>DANIEL ANDREI VIEIRA FAGUNDES</t>
  </si>
  <si>
    <t>QUEDAS</t>
  </si>
  <si>
    <t>Luciane da Silva</t>
  </si>
  <si>
    <t>Instalou e não funcionou</t>
  </si>
  <si>
    <t>Tassiana de Leon da Rosa</t>
  </si>
  <si>
    <t>(51) 98100-4935</t>
  </si>
  <si>
    <t>18/03</t>
  </si>
  <si>
    <t>Cliente insatisfeita com atendimento.</t>
  </si>
  <si>
    <t>Vitória Juliana Garcia Silveira</t>
  </si>
  <si>
    <t>(51) 98910-8984</t>
  </si>
  <si>
    <t xml:space="preserve">Cliente fechou o estabelecimento. </t>
  </si>
  <si>
    <t>EDUARDO ROGLIO</t>
  </si>
  <si>
    <t xml:space="preserve">Alegou diversos problemas que nunca foram resolvidos. </t>
  </si>
  <si>
    <t>ANDRIELLE CAROLINA DE OLIVEIRA</t>
  </si>
  <si>
    <t xml:space="preserve"> (51) 99721-3806</t>
  </si>
  <si>
    <t>gabriel</t>
  </si>
  <si>
    <t>Alexandre Matos Vargas</t>
  </si>
  <si>
    <t>Vila fatima</t>
  </si>
  <si>
    <t>Cachoieirnha</t>
  </si>
  <si>
    <t xml:space="preserve">Alegou demora no atendimento. </t>
  </si>
  <si>
    <t>BRUNA BURATTI DA SILVA</t>
  </si>
  <si>
    <t>(51) 99639-1667</t>
  </si>
  <si>
    <t>05/03</t>
  </si>
  <si>
    <t>Reclama na demora do atendimento.</t>
  </si>
  <si>
    <t>Gabrielli Carvalho Merola</t>
  </si>
  <si>
    <t>(51) 99724-9030</t>
  </si>
  <si>
    <t>Mudança para local que já possui internet.</t>
  </si>
  <si>
    <t>JESSICA COSTA DA SILVA</t>
  </si>
  <si>
    <t>(51) 98296-0450</t>
  </si>
  <si>
    <t>Mudança para outro estado.</t>
  </si>
  <si>
    <t>Cristiane Pinto Kalil</t>
  </si>
  <si>
    <t>(51) 99810-0033</t>
  </si>
  <si>
    <t>Mudança de endereço para a casa ds pais onde já tem internet instalada.</t>
  </si>
  <si>
    <t>Juliano Gonçalvez Barboza</t>
  </si>
  <si>
    <t>(51) 99593-3942</t>
  </si>
  <si>
    <t>Reclamação do atendimento técnico. Insatisfação.</t>
  </si>
  <si>
    <t>Daniele de Andrade Salazar</t>
  </si>
  <si>
    <t>(51) 99558-0417</t>
  </si>
  <si>
    <t>Insatisfação com atendimento.</t>
  </si>
  <si>
    <t>Leonardo Schmidt</t>
  </si>
  <si>
    <t>(51) 99937-5759</t>
  </si>
  <si>
    <t>Mudança para local que já tem internet.</t>
  </si>
  <si>
    <t>Eliane Bernardo Matos</t>
  </si>
  <si>
    <t>(51) 99775-0172</t>
  </si>
  <si>
    <t>Mudanã para outro estado</t>
  </si>
  <si>
    <t>JOAO CARLOS ROTH RAMBO</t>
  </si>
  <si>
    <t>(51) 99592-9087</t>
  </si>
  <si>
    <t>11/03</t>
  </si>
  <si>
    <t>Mudança de endereço sem cobertura.</t>
  </si>
  <si>
    <t>Gleciomar da Silva Ferreira</t>
  </si>
  <si>
    <t>(51) 99802-0326</t>
  </si>
  <si>
    <t>Qualidade do sinal.</t>
  </si>
  <si>
    <t>BERENICE MENDONCA</t>
  </si>
  <si>
    <t>(51) 98020-2410</t>
  </si>
  <si>
    <t>Alega que já havia cancelado em dezembro</t>
  </si>
  <si>
    <t>RUTE FERREIRA DE CAMPOS</t>
  </si>
  <si>
    <t>(51) 98027-1061</t>
  </si>
  <si>
    <t>Alega que é muito mal assistida e que falta responsabilidade por parte da empresa.</t>
  </si>
  <si>
    <t>YURI MACHADO DOS REIS</t>
  </si>
  <si>
    <t>Vinte e um de Abril</t>
  </si>
  <si>
    <t>(51) 98469-2790</t>
  </si>
  <si>
    <t>Financeiro.</t>
  </si>
  <si>
    <t>Fabiana Silvano Costa Bemfica</t>
  </si>
  <si>
    <t>(51) 99857-3328</t>
  </si>
  <si>
    <t>Cliente com dívidas e sem condições financeiras para manter a internet, prefiriu cancelar - vinha atrasando constantemente e mensal.</t>
  </si>
  <si>
    <t xml:space="preserve"> Alexandre Matos Varga</t>
  </si>
  <si>
    <t xml:space="preserve">Quedas no sinal. </t>
  </si>
  <si>
    <t>MISAEL DA SILVA</t>
  </si>
  <si>
    <t>Se mudou e não tem interesse</t>
  </si>
  <si>
    <t>LUIS HENRIQUE HOFFMANN</t>
  </si>
  <si>
    <t>(51) 99289-2869</t>
  </si>
  <si>
    <t xml:space="preserve">Contratou outro provedor - quedas constantes. </t>
  </si>
  <si>
    <t>ELTON JOSE KUNZ</t>
  </si>
  <si>
    <t>Concórdia</t>
  </si>
  <si>
    <t>(51) 99820-3557</t>
  </si>
  <si>
    <t>Mudança de endereço, já possuí conexão de outro provedor no novo endereço.</t>
  </si>
  <si>
    <t xml:space="preserve">Cliente soiicitou cancelamento por mudança de endereço, informado sobre a multa e decidiu realizar a troca de endereço conosco. </t>
  </si>
  <si>
    <t>LARISSA KATIELI HEDLER DORNELLES</t>
  </si>
  <si>
    <t>(51) 99185-2584</t>
  </si>
  <si>
    <t>Tiele Martins</t>
  </si>
  <si>
    <t xml:space="preserve">Relatou instatisfação e não alegou motivo. </t>
  </si>
  <si>
    <t>Tania Regina Puls</t>
  </si>
  <si>
    <t>Vila Bom Princípio</t>
  </si>
  <si>
    <t>(51) 98111-1739</t>
  </si>
  <si>
    <t>Troca de provedor devido a problemas técnicos constantes.</t>
  </si>
  <si>
    <t>CRISTINE DAIANE WELTER</t>
  </si>
  <si>
    <t>(51) 99551-9575</t>
  </si>
  <si>
    <t xml:space="preserve">Cancelada sem cobrar Pro-rata - cliente sem sinal, combinei suporte técnico mas chegou no dia o técnico não conseguiu realizar. </t>
  </si>
  <si>
    <t>William Silva da Cunha</t>
  </si>
  <si>
    <t>(51) 98176-3889</t>
  </si>
  <si>
    <t>Mantido oferta especial até dezembro c/ renovação de fidelidade</t>
  </si>
  <si>
    <t>Fabio Fagundes de Oliveira</t>
  </si>
  <si>
    <t>(51) 99816-3538</t>
  </si>
  <si>
    <t>Mudança de endereço sem taxa.</t>
  </si>
  <si>
    <t>DEBORA GRAZIELE CARDOSO DA SILVA</t>
  </si>
  <si>
    <t>(51) 99695-1590</t>
  </si>
  <si>
    <t>Cliente inadimplente, todo mês atrasando as faturas e quando foi dito que não poderia mudar a data da fatura mais uma vez depois de tantas, ela optou por cancelar.</t>
  </si>
  <si>
    <t>KELLY DA SILVA RODRIGUES</t>
  </si>
  <si>
    <t>(51) 99221-3175</t>
  </si>
  <si>
    <t>Troca de provedor.</t>
  </si>
  <si>
    <t>Freddy Alexander quijada Vasquez</t>
  </si>
  <si>
    <t>(51) 98528-0733</t>
  </si>
  <si>
    <t>Já havia solicitado o cancelamento antes mas não tinha ido até o final. Só concluí, já está com outro provedor.</t>
  </si>
  <si>
    <t>Dejanira Aparecida Maciel Klein</t>
  </si>
  <si>
    <t>DIEGO BERVIG</t>
  </si>
  <si>
    <t>(51) 98055-1210</t>
  </si>
  <si>
    <t>Encaixe de VT + 50% de desc. nas faturas de março, abril e maio</t>
  </si>
  <si>
    <t>Jeferson Terra do Amaral</t>
  </si>
  <si>
    <t>(51) 98432-6092</t>
  </si>
  <si>
    <t>Retido com permanêna do desconto até dezembro por R$ 64,95.</t>
  </si>
  <si>
    <t>5050 - JANETE MOSSMANN</t>
  </si>
  <si>
    <t>25 de Julho</t>
  </si>
  <si>
    <t>(51) 98405-3609</t>
  </si>
  <si>
    <t>Retido com desc na fatura por 6 meses por R$ 79,90</t>
  </si>
  <si>
    <t>79394 - JANETE MOSSMANN</t>
  </si>
  <si>
    <t>Guilherme Vieira Martins</t>
  </si>
  <si>
    <t>(51) 98136-8956</t>
  </si>
  <si>
    <t>Mudança de endereço e não quis ouvir propostas.</t>
  </si>
  <si>
    <t>Erik de Oliveira Geraldo</t>
  </si>
  <si>
    <t>(51) 99104-3439</t>
  </si>
  <si>
    <t>Retido c/ desconto de 50% pelos próximos 4 meses.</t>
  </si>
  <si>
    <t xml:space="preserve">Argumentação sobre o vlor do plano ser alterado, ajustado e enviado o carne. </t>
  </si>
  <si>
    <t>Janete Teresinha Araujo</t>
  </si>
  <si>
    <t>Cliente entrou em contato para cancelar devido ao valor do plano, foi feito a redução para 220MB por 79,90</t>
  </si>
  <si>
    <t>Deborah Nathalia Correa Porto</t>
  </si>
  <si>
    <t>(51) 99466-4905</t>
  </si>
  <si>
    <t>20/03</t>
  </si>
  <si>
    <t>Sem sinal e sem suporte - técnico não foi no dia marcado, não aceitou esperar mais.</t>
  </si>
  <si>
    <t>DANIELA DA SILVA PEREIRA</t>
  </si>
  <si>
    <t>guarujá</t>
  </si>
  <si>
    <t>(51) 99606-6690</t>
  </si>
  <si>
    <t>Sem sinal e não aceitou suporte.</t>
  </si>
  <si>
    <t>Luiz Carlos dos Santos</t>
  </si>
  <si>
    <t>(51) 98621-8457</t>
  </si>
  <si>
    <t>Cliente alega praticamente não estar usando a internet e quis cancelar.</t>
  </si>
  <si>
    <t>Wanderlei Waldomiro Fries</t>
  </si>
  <si>
    <t>Courahasa</t>
  </si>
  <si>
    <t>(51) 98118-1721</t>
  </si>
  <si>
    <t>Reforma</t>
  </si>
  <si>
    <t>JULIANO MARTA</t>
  </si>
  <si>
    <t>RESIDENCIAL AZALÉIA</t>
  </si>
  <si>
    <t>(51) 98602-9511</t>
  </si>
  <si>
    <t>Insatisfação no atendimento e no serviço.</t>
  </si>
  <si>
    <t>MARINA BENCKE</t>
  </si>
  <si>
    <t xml:space="preserve">JARDIM DO ALTO </t>
  </si>
  <si>
    <t>Cliente insatisfeito com os serviços e optou por seu cancelamento</t>
  </si>
  <si>
    <t>Vanessa de Matos Stein</t>
  </si>
  <si>
    <t>(51) 98502-0463</t>
  </si>
  <si>
    <t>Problemas financeiros</t>
  </si>
  <si>
    <t>Catrine Moraes Gomes</t>
  </si>
  <si>
    <t>(51) 98306-2696</t>
  </si>
  <si>
    <t>Se mudou para SC.</t>
  </si>
  <si>
    <t>Denis Pires Marcilio</t>
  </si>
  <si>
    <t>Aguas Mortas</t>
  </si>
  <si>
    <t>(51) 99127-1185</t>
  </si>
  <si>
    <t>07/03</t>
  </si>
  <si>
    <t>Cliente se mudou pois tera que cuidar de sua mãe na cidade de Porto Alegre</t>
  </si>
  <si>
    <t>HEDIGLEYDSON MARQUES DE OLIVEIRA</t>
  </si>
  <si>
    <t>taquara</t>
  </si>
  <si>
    <t>(51) 99684-9872</t>
  </si>
  <si>
    <t xml:space="preserve">informo que não utiliza mais </t>
  </si>
  <si>
    <t>GIOVANA MARCIA TEIXEIRA</t>
  </si>
  <si>
    <t>51) 99817-7957</t>
  </si>
  <si>
    <t>Os filhos da cliente contrataram outra provedora e ela optou pelo cancelamento</t>
  </si>
  <si>
    <t>IAGO ROBERTO DE OLIVEIRA CAMARGO</t>
  </si>
  <si>
    <t>Rincão da Saudade</t>
  </si>
  <si>
    <t>(51) 99909-8950</t>
  </si>
  <si>
    <t>Cliente trocou de provedor não quis explicar o motivo.</t>
  </si>
  <si>
    <t>ROGÉRIO LUIZ ALFONSO MEIRA</t>
  </si>
  <si>
    <t>FLORSTA</t>
  </si>
  <si>
    <t xml:space="preserve"> (51) 99853-9879</t>
  </si>
  <si>
    <t>Cliente solicitou o cancelamento devido a taxa de entrega do carne, retemos ele com a isenção da taxa.</t>
  </si>
  <si>
    <t>Andrigo Paim da Silva</t>
  </si>
  <si>
    <t>(51) 98038-5968</t>
  </si>
  <si>
    <t>Sem sinal um dia depois da instalação, normalizou e voltou o problema. Totalmente insatisfeito.</t>
  </si>
  <si>
    <t xml:space="preserve">Retida com isenção das as faturas de janeiro e fevereiro e mudança de endereço. </t>
  </si>
  <si>
    <t>FLORACI DOS SANTOS PADILHA</t>
  </si>
  <si>
    <t>(51) 99212-2039</t>
  </si>
  <si>
    <t>Retida com desconto de R$ 25,00 reais por 6 meses de março a agosto / 2026.</t>
  </si>
  <si>
    <t>Leoni de Lourdes Gonçalves</t>
  </si>
  <si>
    <t>Morada do Funil</t>
  </si>
  <si>
    <t xml:space="preserve">Alegou não ter internet desde a instalação. </t>
  </si>
  <si>
    <t xml:space="preserve"> Jucilaine roldão scandolara</t>
  </si>
  <si>
    <t>(51) 99887-1194</t>
  </si>
  <si>
    <t>Cliente solicitou ajuste no seu financeiro porque estava com dificuldades para pagar, retido com desconto nas suas proximas tres faturas.</t>
  </si>
  <si>
    <t>ELISANDRO GUEDES</t>
  </si>
  <si>
    <t>PARQUE DOS EUCALIPITOS</t>
  </si>
  <si>
    <t xml:space="preserve"> (51) 99467-7955</t>
  </si>
  <si>
    <t>Cliente solicitou cancelamento devida a insatisfação com o suporte técnico, tanto em atendimento quanto para agendamento da visita e alegou problemas recorrentes. Foi retido com a visita para hoje dia 04/03 e argumentação sobre os problemas técnicos.</t>
  </si>
  <si>
    <t>ENI LUIZA DE ALMEIDA BONI</t>
  </si>
  <si>
    <t>(51) 98169-0002</t>
  </si>
  <si>
    <t>TAMIRES GUIMARAES SANTOS</t>
  </si>
  <si>
    <t xml:space="preserve"> (51) 99395-0176</t>
  </si>
  <si>
    <t>Mudança de endereço sem interesse em fazer a troca de endereço.</t>
  </si>
  <si>
    <t>Daniel Lopes da Silva Perin</t>
  </si>
  <si>
    <t>Rincão da Madalena</t>
  </si>
  <si>
    <t>(51) 99788-0363</t>
  </si>
  <si>
    <t>TATIANE MARQUES MARTINS</t>
  </si>
  <si>
    <t>(51) 99541-8768</t>
  </si>
  <si>
    <t>Ofertado 6 primeiros meses por R$ 59,95 + 5 meses por R$ 79,90.</t>
  </si>
  <si>
    <t>Janaína Ramos Garcia</t>
  </si>
  <si>
    <t>(51) 99657-3094</t>
  </si>
  <si>
    <t>Retida c/ VT REINCIDENCIA com urgência + 50% de desconto na fatura de abril</t>
  </si>
  <si>
    <t>MARGARIDA GALHARDO DA SILVA</t>
  </si>
  <si>
    <t>Troca de provedor devido quedas</t>
  </si>
  <si>
    <t>MAGDALENA ELISABET RUCKERT</t>
  </si>
  <si>
    <t xml:space="preserve">Bom Jardim </t>
  </si>
  <si>
    <t xml:space="preserve">Oferta de parente que trabalha em outro. </t>
  </si>
  <si>
    <t>Leonora Regina de bittencurt</t>
  </si>
  <si>
    <t>(51) 98915-0707</t>
  </si>
  <si>
    <t>ELISANDRO GUEDES BRISKEVITSKI</t>
  </si>
  <si>
    <t>(51) 99467-7955</t>
  </si>
  <si>
    <t>Ana Cristina Vasconcelos Araujo</t>
  </si>
  <si>
    <t>Indianopolis</t>
  </si>
  <si>
    <t xml:space="preserve">Bloqueio temporario. </t>
  </si>
  <si>
    <t>Shaiana Isabel Sanhudo</t>
  </si>
  <si>
    <t>(51) 99515-7653</t>
  </si>
  <si>
    <t>Caso reincidente de problema técnico.</t>
  </si>
  <si>
    <t xml:space="preserve"> JOSE ANTONIO COCARO DE OLIVEIRA</t>
  </si>
  <si>
    <t>Novo Hambrugo</t>
  </si>
  <si>
    <t>Quedas/oscilações</t>
  </si>
  <si>
    <t>Liziane Dias dos Santos</t>
  </si>
  <si>
    <t>(51) 99973-1967</t>
  </si>
  <si>
    <t>ENTREGUE</t>
  </si>
  <si>
    <t>cliente foi para um lar de idosos</t>
  </si>
  <si>
    <t>GERUSA FARIAS DA SILVA</t>
  </si>
  <si>
    <t>(51) 99474-6080</t>
  </si>
  <si>
    <t>Retida com isenção da fatura de fevereiro + bloqueio temporário</t>
  </si>
  <si>
    <t>Eduardo Aguiar da Rosa</t>
  </si>
  <si>
    <t>(51) 98194-4588</t>
  </si>
  <si>
    <t>Contratou outro provedor. Qualidade do sinal.</t>
  </si>
  <si>
    <t xml:space="preserve"> TIAGO WEBER</t>
  </si>
  <si>
    <t>Rafael Eugenio</t>
  </si>
  <si>
    <t>Visita não ocorreu</t>
  </si>
  <si>
    <t>ALEXANDRE JANDREY WOICIECHOSKI</t>
  </si>
  <si>
    <t>(51) 99776-7675</t>
  </si>
  <si>
    <t>Insatisfação com a rede. Alega em fevereiro ter ficado muitos dias sem conexão.</t>
  </si>
  <si>
    <t>SIRLEI TERESA DA CUNHA</t>
  </si>
  <si>
    <t>(51) 99602-3736</t>
  </si>
  <si>
    <t>Alega problemas ténicos constantes.</t>
  </si>
  <si>
    <t>GILBERTO BERGMANN SCHERER</t>
  </si>
  <si>
    <t>(51) 99570-6321</t>
  </si>
  <si>
    <t>Retido com desconto de 50% de março a dezembro de 2026 c/ renovação da fidelidade.</t>
  </si>
  <si>
    <t>ARMELINDA DUARTE</t>
  </si>
  <si>
    <t>(51) 99501-9732</t>
  </si>
  <si>
    <t>CLETO ASSIS WECKER</t>
  </si>
  <si>
    <t>Saida do País</t>
  </si>
  <si>
    <t>RICARDO HERRMANN</t>
  </si>
  <si>
    <t>(51) 98060-0285</t>
  </si>
  <si>
    <t>cancelamento do plano devido a uma mudança para um apartamento, onde outro provedor atuava em todo apartamento</t>
  </si>
  <si>
    <t>Igor Oliveira Garcia</t>
  </si>
  <si>
    <t>(51) 99125-6632</t>
  </si>
  <si>
    <t>Não quis dar detalhes, apenas disse que queria cancelar.</t>
  </si>
  <si>
    <t xml:space="preserve"> Felipe Mello Kitaichuka</t>
  </si>
  <si>
    <t>Quedas</t>
  </si>
  <si>
    <t>GABRIELA TEIXEIRA BITTENCOURT</t>
  </si>
  <si>
    <t>(51) 99957-7695</t>
  </si>
  <si>
    <t>Mudança para local não cabeado. Enviou boletim de ocorrência, comprovando.</t>
  </si>
  <si>
    <t xml:space="preserve"> EMELIN CAROLAINE AGUIAR DA SILVA</t>
  </si>
  <si>
    <t>Geovane Prusch Rodrigues</t>
  </si>
  <si>
    <t>Retido com revisão de instalação devido a QUEDAS frequentes</t>
  </si>
  <si>
    <t>David Geraldo dos Santos</t>
  </si>
  <si>
    <t>(51) 99830-8315</t>
  </si>
  <si>
    <t>Retido com VT de urgência para análise do problema</t>
  </si>
  <si>
    <t>FILIPE LUIS DA SILVA CORREA</t>
  </si>
  <si>
    <t>(51) 98173-2712</t>
  </si>
  <si>
    <t>Vt c/ urgência + isenção da fatura de fevereiro + desc na mensalidade até dezembro</t>
  </si>
  <si>
    <t>FABIO JUNIOR BORGES</t>
  </si>
  <si>
    <t>(51) 99340-2712</t>
  </si>
  <si>
    <t>Fechamento de loja.</t>
  </si>
  <si>
    <t>Marco Antônio dos Santos</t>
  </si>
  <si>
    <t>(51) 98580-8998</t>
  </si>
  <si>
    <t>Desconto de R$ 59,90 por mês até dezembro c/ renovação da fidelidade</t>
  </si>
  <si>
    <t> SIDINEI ANTONIO DIAS</t>
  </si>
  <si>
    <t>DEISE CRISTINA RIBAS MALHEIROS</t>
  </si>
  <si>
    <t>(51) 98032-4312</t>
  </si>
  <si>
    <t>Negociação</t>
  </si>
  <si>
    <t>Jiane Machado Schram</t>
  </si>
  <si>
    <t>DELISON PEREIRA DA LUZ</t>
  </si>
  <si>
    <t>(51) 98046-7524</t>
  </si>
  <si>
    <t>Isenção da fatura de março, pelos anos de parceria + 5 meses de desconto por R$ 30,00 reais de abril a agosto com renovação de fidelidade.</t>
  </si>
  <si>
    <t>NARA DAIANI SILVEIRA DOS SANTOS</t>
  </si>
  <si>
    <t xml:space="preserve">Quedas/oscilações </t>
  </si>
  <si>
    <t>Roseli Silva Santos de Souza</t>
  </si>
  <si>
    <t xml:space="preserve"> (51) 98660-9111</t>
  </si>
  <si>
    <t>nsatisfação porque a internet havia sido bloqueada mesmo com a fatura paga e também por receber cobranças frequentes mesmo realizando pagamentos antecipados.</t>
  </si>
  <si>
    <t>Cesar Augusto Hack</t>
  </si>
  <si>
    <t>(51) 99785-6517</t>
  </si>
  <si>
    <t>Cliente informou que estava se mudando de estado</t>
  </si>
  <si>
    <t>Elaine de Fatima soares</t>
  </si>
  <si>
    <t>(51) 99909-7073</t>
  </si>
  <si>
    <t>PEDRO LAURI DE SOUZA</t>
  </si>
  <si>
    <t>Palmeiras</t>
  </si>
  <si>
    <t>MARTA CRISTINA FALLER APOLINARIO</t>
  </si>
  <si>
    <t>(51) 99755-8346</t>
  </si>
  <si>
    <t>Mantive oferta ativa já existente no contrato c/ renovação de fidelidade. R$ 59,90/mensais</t>
  </si>
  <si>
    <t>Delma Collioni</t>
  </si>
  <si>
    <t>(51) 98596-9186</t>
  </si>
  <si>
    <t>Colocado VT para turno da manhã p/ hoje e fornecido R$ 30,00 reais de desconto nas próximas 3 faturas</t>
  </si>
  <si>
    <t>Enio Jose Martins</t>
  </si>
  <si>
    <t xml:space="preserve"> (51) 99366-8010</t>
  </si>
  <si>
    <t>IRMA PAINTINGER</t>
  </si>
  <si>
    <t>Santa Rosa</t>
  </si>
  <si>
    <t>(51) 99709-0451</t>
  </si>
  <si>
    <t>17/03</t>
  </si>
  <si>
    <t>Problemas técnicos constantes.</t>
  </si>
  <si>
    <t>CARLOS MIGUEL SCHWARZBOLD</t>
  </si>
  <si>
    <t>(51) 99834-8666</t>
  </si>
  <si>
    <t>Troca de provedor. Problemas técnicos.</t>
  </si>
  <si>
    <t>Luciana Aparecida Ferreira</t>
  </si>
  <si>
    <t>(51) 99855-3189</t>
  </si>
  <si>
    <t>25/03</t>
  </si>
  <si>
    <t>MARIA IANE SIMON DA SILVA</t>
  </si>
  <si>
    <t>(51) 99656-6012</t>
  </si>
  <si>
    <t>troca de provedor, demora no atendimento técnico.</t>
  </si>
  <si>
    <t>Cristiano Telles Flores</t>
  </si>
  <si>
    <t>(51) 98482-8652</t>
  </si>
  <si>
    <t>Retido com visita técnica de urgência e R$ 30,00 reais de desconto na fatura de março.</t>
  </si>
  <si>
    <t>CLAIR LUIZ VIEGA DE OLIVEIRA</t>
  </si>
  <si>
    <t>Vila jardim</t>
  </si>
  <si>
    <t>(51) 98550-3143</t>
  </si>
  <si>
    <t>Retido com VT para caso reincidente + 50% de desconto na fatura de março e abril + carnê sem custo.</t>
  </si>
  <si>
    <t>Evelyn de Oliveira Milan</t>
  </si>
  <si>
    <t>(51) 98064-7142</t>
  </si>
  <si>
    <t>Insatisfação com atendimento</t>
  </si>
  <si>
    <t>Bruniely Maria Fernandes de Souza</t>
  </si>
  <si>
    <t>Mudança sem interesse</t>
  </si>
  <si>
    <t>7/03</t>
  </si>
  <si>
    <t>Vanessa dos Santos de Souza</t>
  </si>
  <si>
    <t>(51) 99267-7781</t>
  </si>
  <si>
    <t>Argmentação</t>
  </si>
  <si>
    <t>Lindones Antonio de Oliveira</t>
  </si>
  <si>
    <t>(51) 98535-3518</t>
  </si>
  <si>
    <t>Recebeu oferta da PRATI INTERNET, mantive a oferta até dezembro por R$ 49,95 c/ renovação de fidelidade.</t>
  </si>
  <si>
    <t>BRUNO MATEUS COELHO CONSTANTE</t>
  </si>
  <si>
    <t xml:space="preserve"> (51) 99534-0568</t>
  </si>
  <si>
    <t>Se mudou para local que outra provedora ja atuava.</t>
  </si>
  <si>
    <t>PAULO SERGIO NUNES</t>
  </si>
  <si>
    <t>(51) 98473-4216</t>
  </si>
  <si>
    <t>Retido com VT retenção + 50% de desc. nas próximas 3 faturas: abril, maio e junho.</t>
  </si>
  <si>
    <t>CRISTIANO RODRIGUES GARCIA</t>
  </si>
  <si>
    <t>(54) 98147-2793</t>
  </si>
  <si>
    <t>Recebeu proposta da Claro, fiz contra proposta, informa que vai analisar e entrará em contato</t>
  </si>
  <si>
    <t>Ana Vilda Sandoval</t>
  </si>
  <si>
    <t>QUEDAS E OSCILAÇÕES</t>
  </si>
  <si>
    <t>Vivielem Maria Vieira Justino Bernardo</t>
  </si>
  <si>
    <t>Morada do Vale</t>
  </si>
  <si>
    <t xml:space="preserve"> (51) 99629-5961</t>
  </si>
  <si>
    <t xml:space="preserve">Argumentação e explicação sobre agenda e reincidencia, será feita hoje. </t>
  </si>
  <si>
    <t>Wagner Santos Dorneles da Costa</t>
  </si>
  <si>
    <t>Desconto funcionario EVEN</t>
  </si>
  <si>
    <t>AUGUSTO HAFEMEISTER</t>
  </si>
  <si>
    <t>Fora do País</t>
  </si>
  <si>
    <t>Valdinara dos Santos</t>
  </si>
  <si>
    <t xml:space="preserve"> Rosilei Rodrigues da Silva</t>
  </si>
  <si>
    <t>MARCELO PEDRO LUNKES</t>
  </si>
  <si>
    <t>(51) 99501-1545</t>
  </si>
  <si>
    <t>Retido com novo carnê para pagamento e alteração da data de vencimento da fatura de março p/ 30/03</t>
  </si>
  <si>
    <t>Janete da Silva Guimarães de Deus</t>
  </si>
  <si>
    <t xml:space="preserve">Negociação. </t>
  </si>
  <si>
    <t xml:space="preserve"> Luciana Cleci Alves Flores</t>
  </si>
  <si>
    <t>Vila Princesa Isabel</t>
  </si>
  <si>
    <t>Fora do estado</t>
  </si>
  <si>
    <t>JORGE LUIZ DA ROSA</t>
  </si>
  <si>
    <t>SEM USO</t>
  </si>
  <si>
    <t>Tiago Von Boranski de Matos</t>
  </si>
  <si>
    <t>(51) 98510-9351</t>
  </si>
  <si>
    <t>Alega que trabalha cm internet e está cansado de ficar sem conexão.</t>
  </si>
  <si>
    <t>Iuri da Luz Camargo</t>
  </si>
  <si>
    <t xml:space="preserve">Visita tecnica. </t>
  </si>
  <si>
    <t xml:space="preserve"> Marion Reinaldo dos Santo</t>
  </si>
  <si>
    <t>Indianapolis</t>
  </si>
  <si>
    <t xml:space="preserve">Cliente fechou estabelecimento. </t>
  </si>
  <si>
    <t>Terezinha Xavier Lima</t>
  </si>
  <si>
    <t>(51) 99757-7679</t>
  </si>
  <si>
    <t>Troca de provedor, devido a problemas técnicos, alega que seus netos contratarm outra sem lhe avisar.</t>
  </si>
  <si>
    <t>Tays Fraga de Andrade</t>
  </si>
  <si>
    <t>(51) 99190-6951</t>
  </si>
  <si>
    <t>Local não cabeado. Enviou contrato de aluguel em seu nome.</t>
  </si>
  <si>
    <t>Wellington Rafael Batista Machado</t>
  </si>
  <si>
    <t>(51) 98511-7301</t>
  </si>
  <si>
    <t>Está alugando a sua casa e seu inquilino já tem internet.</t>
  </si>
  <si>
    <t>ALINE BECKER</t>
  </si>
  <si>
    <t>Floresta</t>
  </si>
  <si>
    <t>(51) 98464-4375</t>
  </si>
  <si>
    <t>12/03</t>
  </si>
  <si>
    <t>Desde sexta 06/03 sem sinal e trocou de provedor.</t>
  </si>
  <si>
    <t>Marion Souza de Aguiar</t>
  </si>
  <si>
    <t>(51) 99855-6654</t>
  </si>
  <si>
    <t>Retida com oferta de R$ 59,90 até dezembro com renovação da fidelidade.</t>
  </si>
  <si>
    <t>Thalia Luciana Frozza Anacleto</t>
  </si>
  <si>
    <t>(51) 99221-3533</t>
  </si>
  <si>
    <t>Desemprego. Redução de custos. Ofertei desconto, sem sucesso.</t>
  </si>
  <si>
    <t xml:space="preserve"> ADRIANA EUNICE VECHIETTI</t>
  </si>
  <si>
    <t>FALECIMENTO</t>
  </si>
  <si>
    <t>FABIANO JOSE WAGNER</t>
  </si>
  <si>
    <t>(51) 99462-2463</t>
  </si>
  <si>
    <t>Casa da praia, só vai no verão e quer cortar custos. Ofertei suspensão e desconto, mas, preferiu cancelar.</t>
  </si>
  <si>
    <t>Jonathan Marques Hanauer</t>
  </si>
  <si>
    <t>(51) 99648-0685</t>
  </si>
  <si>
    <t>Desconto nas próximas 3 faturas, ficando R$ 69,90</t>
  </si>
  <si>
    <t>Gelmir Rodrigues</t>
  </si>
  <si>
    <t>(51) 98152-1493</t>
  </si>
  <si>
    <t>Após saber da multa fidelidade não quis dar continuidade ao cancelamento</t>
  </si>
  <si>
    <t xml:space="preserve"> Nicole Ferreira Nunes</t>
  </si>
  <si>
    <t>Rogério mallmann gil</t>
  </si>
  <si>
    <t>Beira Mar</t>
  </si>
  <si>
    <t>(62) 98570-5695</t>
  </si>
  <si>
    <t>Andre da Silva Boeira</t>
  </si>
  <si>
    <t>21/03</t>
  </si>
  <si>
    <t xml:space="preserve">Sem viabilidade, enviou comprovante. </t>
  </si>
  <si>
    <t>Lilian Evelin Arruda Dias</t>
  </si>
  <si>
    <t>(51) 98601-6438</t>
  </si>
  <si>
    <t>Apenas disse que não quer mais, não quis receber propostas</t>
  </si>
  <si>
    <t xml:space="preserve"> Keverson Patzer Figlersk</t>
  </si>
  <si>
    <t>Luis Fernando Kayser</t>
  </si>
  <si>
    <t>(51) 98415-9549</t>
  </si>
  <si>
    <t>19/03</t>
  </si>
  <si>
    <t>Cliente recebeu uma proposta de outra provedora e optou pelo cancelamento</t>
  </si>
  <si>
    <t>Neiva de Oliveira</t>
  </si>
  <si>
    <t>(51) 99735-4181</t>
  </si>
  <si>
    <t>Mudança de velocidade para 570m por R$ 99,90 com desc. de R$ 10,00 por R$ 89,90.</t>
  </si>
  <si>
    <t>Marlene Ariatti</t>
  </si>
  <si>
    <t>Jardins</t>
  </si>
  <si>
    <t>(51) 99626-7109</t>
  </si>
  <si>
    <t>Muitos problemas técnicos, teve 5 visitas técnicas em 2026.</t>
  </si>
  <si>
    <t>Marilene Veiga Fraga</t>
  </si>
  <si>
    <t>(51) 98436-3604</t>
  </si>
  <si>
    <t>Cliente relatou que iria se mudar, porém não apresentou nenhum comprovante.</t>
  </si>
  <si>
    <t>Fabiana de Barros</t>
  </si>
  <si>
    <t>(51) 99667-0870</t>
  </si>
  <si>
    <t>Visita agendada e desconto nas proximas 4 faturas</t>
  </si>
  <si>
    <t>JAIR SESTERHENN</t>
  </si>
  <si>
    <t xml:space="preserve">Canudos </t>
  </si>
  <si>
    <t>(51) 99876-1843</t>
  </si>
  <si>
    <t>Visita agendada e desconto de 30% nas próximas 3 faturas</t>
  </si>
  <si>
    <t xml:space="preserve"> Saionara de Jesus Chaves</t>
  </si>
  <si>
    <t>(51) 99312-166</t>
  </si>
  <si>
    <t>Misael Borges da Silva</t>
  </si>
  <si>
    <t>São Francisco 1</t>
  </si>
  <si>
    <t>Kelly dos Santos Ferreira</t>
  </si>
  <si>
    <t>Falta de suporte</t>
  </si>
  <si>
    <t>Camili Taiani Ferreira De Almeida</t>
  </si>
  <si>
    <t>(51) 99350-0709</t>
  </si>
  <si>
    <t>Simplesmente alegou que não utiliza mais.</t>
  </si>
  <si>
    <t>MARCIA SILVIA FILIPIAK</t>
  </si>
  <si>
    <t>Centenario</t>
  </si>
  <si>
    <t>(51) 98049-3694</t>
  </si>
  <si>
    <t>Está com a mãe hospitalizada, já realizou suspensão temporária, e a mãe segue internada sem data de alta.</t>
  </si>
  <si>
    <t>DALVANA DOS SANTOS SILVA</t>
  </si>
  <si>
    <t>(51) 98952-9115</t>
  </si>
  <si>
    <t>Alegou mudança de endereço, depois disse que não quer mais nossos serviços.</t>
  </si>
  <si>
    <t>Lourival de Borda Pereira</t>
  </si>
  <si>
    <t>(51) 99422-0614</t>
  </si>
  <si>
    <t>DIEGO FASSBINDER</t>
  </si>
  <si>
    <t xml:space="preserve">Estancia Velha </t>
  </si>
  <si>
    <t>"demora na resolução"</t>
  </si>
  <si>
    <t>Helenice Marques Gomes Silveira</t>
  </si>
  <si>
    <t>Vila City</t>
  </si>
  <si>
    <t>(51) 98427-1887</t>
  </si>
  <si>
    <t>14/03</t>
  </si>
  <si>
    <t>Insatisfação com o serviço, com a demora para solução de um problema técnico.</t>
  </si>
  <si>
    <t>Saionara de Jesus Chaves</t>
  </si>
  <si>
    <t>(51) 99312-1661</t>
  </si>
  <si>
    <t>Cancelamento devido ao sinal está bloqueado, alterado vencimento da fatura de fevereiro para dia 23/03 e sinal liberado.</t>
  </si>
  <si>
    <t>GILMAR ANTONIO STOFFEL</t>
  </si>
  <si>
    <t xml:space="preserve">Provedor com oferta de chip </t>
  </si>
  <si>
    <t>LAURO JOSE STEFFLER</t>
  </si>
  <si>
    <t>(51) 99737-7058</t>
  </si>
  <si>
    <t>Retido com visita técnica de urgência + 3 meses de desconto na fatura ficando R$ 69,90</t>
  </si>
  <si>
    <t>WILLIAM MATEUS DA CRUZ</t>
  </si>
  <si>
    <t>(51) 99927-2681</t>
  </si>
  <si>
    <t>Retido com VT de urgência + 2º modem gratuito + R$ 20,00 reais de desconto nas faturas de abril, maio e junho.</t>
  </si>
  <si>
    <t>Joice Marcos Cardoso</t>
  </si>
  <si>
    <t>(51) 99311-2489</t>
  </si>
  <si>
    <t>Cliente solicitou seu cancelamento, ao agendar instalação com outra provedora e desejou cancelar com a gente.</t>
  </si>
  <si>
    <t>Clarissa de Araújo</t>
  </si>
  <si>
    <t>(51) 98062-9531</t>
  </si>
  <si>
    <t>Mudança de endereço para local que já possui outra provedora Even</t>
  </si>
  <si>
    <t>Djessica Gabrielly Cardoso de Lima</t>
  </si>
  <si>
    <t>(51) 99476-7992</t>
  </si>
  <si>
    <t>90+</t>
  </si>
  <si>
    <t>RUDI PRUSMAN ELIAS</t>
  </si>
  <si>
    <t xml:space="preserve"> (51) 99790-5897</t>
  </si>
  <si>
    <t>Cliente solicitou cancelamento pois era uma exigencia da empresa em que trabalha.</t>
  </si>
  <si>
    <t xml:space="preserve"> PAULO SERGIO NUNES</t>
  </si>
  <si>
    <t xml:space="preserve">Argumentação e ajuste de plano. </t>
  </si>
  <si>
    <t>Marco Antônio Vila Nova da Silveira</t>
  </si>
  <si>
    <t>(51) 99705-9557</t>
  </si>
  <si>
    <t>Retido cm agendamento de urgência para troca do modem</t>
  </si>
  <si>
    <t>ELONI DA SILVA</t>
  </si>
  <si>
    <t>(51) 99827-3797</t>
  </si>
  <si>
    <t>Entendi o lado do cliente e ele aceitou um novo agendamento</t>
  </si>
  <si>
    <t>Régis Felipe Both</t>
  </si>
  <si>
    <t>Não quis informar o motivo</t>
  </si>
  <si>
    <t>Vera Lucia Becker Farias</t>
  </si>
  <si>
    <t xml:space="preserve"> (51) 98348-3378</t>
  </si>
  <si>
    <t>Cliente cancelou em loja na praia</t>
  </si>
  <si>
    <t>Marlon Damasceno Acosta</t>
  </si>
  <si>
    <t>DANIELA OLIVEIRA DUARTE</t>
  </si>
  <si>
    <t>desistencia do cancelamento</t>
  </si>
  <si>
    <t>ADILSON DE OLIVEIRA</t>
  </si>
  <si>
    <t>(51) 99727-1569</t>
  </si>
  <si>
    <t>Desc. até dezembro de R$ 30,00 reais c/ renovação de fidelidade.</t>
  </si>
  <si>
    <t>Olesandra Costa Barreto</t>
  </si>
  <si>
    <t>Contra-oferta</t>
  </si>
  <si>
    <t>122326 - Greice Jaqueline de Lima do Nascimento</t>
  </si>
  <si>
    <t>Barnabé</t>
  </si>
  <si>
    <t>(51) 99270-6673</t>
  </si>
  <si>
    <t>Se separou e foi embora de casa e seu e desocbriu recentemente que seu ex marido também já não mora mais no local.</t>
  </si>
  <si>
    <t>117496 - Greice Jaqueline de Lima do Nascimento</t>
  </si>
  <si>
    <t>ALEX ALVES QUEIROGA DE SOUZA</t>
  </si>
  <si>
    <t>(51) 99115-3789</t>
  </si>
  <si>
    <t>Retido com VT de urgência para amanhã turno da manhã</t>
  </si>
  <si>
    <t>Mateus Monteiro Guimarãe</t>
  </si>
  <si>
    <t>Parque dos pinos</t>
  </si>
  <si>
    <t>NELSI MARIA KLEIN SCHONS</t>
  </si>
  <si>
    <t>Vinte e Cinco de Julho</t>
  </si>
  <si>
    <t>(51) 99830-1806</t>
  </si>
  <si>
    <t>Qualidade do sinal, já trocou de provedor.</t>
  </si>
  <si>
    <t>JAIRO ANTONIO DA CUNHA RIBEIRO</t>
  </si>
  <si>
    <t>(51) 98176-0031</t>
  </si>
  <si>
    <t>Reclama da demora do atendimento.</t>
  </si>
  <si>
    <t>JUSSARA FERREIRA</t>
  </si>
  <si>
    <t>Alcina Ramos Marcos</t>
  </si>
  <si>
    <t>(51) 99175-5683</t>
  </si>
  <si>
    <t>Problemas técnicos frequentes e está contratando outra provedora.</t>
  </si>
  <si>
    <t>Teve visita ontem, hoje voltou a dar problema. Problema reincidente.</t>
  </si>
  <si>
    <t>Milena Tayse Jardim Goettens</t>
  </si>
  <si>
    <t>(51) 98909-2015</t>
  </si>
  <si>
    <t>Mudança de endereço que já possui internet instalada.</t>
  </si>
  <si>
    <t>Retido com VT de urgência para análise do problema.</t>
  </si>
  <si>
    <t xml:space="preserve"> Marlene de Fátima de Lima</t>
  </si>
  <si>
    <t>Insatisfação (trocou porque suporte ofertou vaga para 2 dias a frente)</t>
  </si>
  <si>
    <t xml:space="preserve"> Karina Vitória Da Silva Dos Santos</t>
  </si>
  <si>
    <t>Vila fátima</t>
  </si>
  <si>
    <t>ZENIR DE OLIVEIRA BRITO</t>
  </si>
  <si>
    <t xml:space="preserve">Apenas informou que não quer mais. </t>
  </si>
  <si>
    <t xml:space="preserve"> Pedro Brasil Ramos Galvão dos Santo</t>
  </si>
  <si>
    <t>Alice da Rosa Agliardi</t>
  </si>
  <si>
    <t>Laura Glória Santana</t>
  </si>
  <si>
    <t>(51) 99980-7874</t>
  </si>
  <si>
    <t>Mudança de endereço para local que já tem internet da Claro.</t>
  </si>
  <si>
    <t>Geocaster Mumberger</t>
  </si>
  <si>
    <t>(51) 99651-6230</t>
  </si>
  <si>
    <t>Problemas familiares.</t>
  </si>
  <si>
    <t>CECILIA DA SILVA GIAPARELL</t>
  </si>
  <si>
    <t xml:space="preserve">Retido com bloqueio. </t>
  </si>
  <si>
    <t>Lenir Fatima Diering</t>
  </si>
  <si>
    <t>Solicitação de prioridade</t>
  </si>
  <si>
    <t>PEDRO HENRIQUE HANAUER</t>
  </si>
  <si>
    <t>(51) 99258-4058</t>
  </si>
  <si>
    <t>Alega problemas técnicos pela 3ª vez.</t>
  </si>
  <si>
    <t>Kauê Ramires de Souza</t>
  </si>
  <si>
    <t xml:space="preserve">Ipiranga </t>
  </si>
  <si>
    <t>(51) 98587-9389</t>
  </si>
  <si>
    <t xml:space="preserve">Isenção fatura negociação. </t>
  </si>
  <si>
    <t>Lucky Ariel Silva dos Santos</t>
  </si>
  <si>
    <t>(51) 99750-7336</t>
  </si>
  <si>
    <t>Troca de provedor. Motivo: Vantagens e qualidade.</t>
  </si>
  <si>
    <t>Retida com mudança de endereço com isenção da taxa.</t>
  </si>
  <si>
    <t>KATIELE ROSA DA COSTA</t>
  </si>
  <si>
    <t>Rincão Gaúcho</t>
  </si>
  <si>
    <t>(51) 99757-5056</t>
  </si>
  <si>
    <t>Mudança de endereço para Santa Catarina.</t>
  </si>
  <si>
    <t>Fábio Rogério Ayres de Pinho</t>
  </si>
  <si>
    <t>(51) 98165-8238</t>
  </si>
  <si>
    <t>Alega não estar utilizando o serviço nesse endereço. Ofertei suspensão, desconto, não quis.</t>
  </si>
  <si>
    <t>EDER DA SILVA</t>
  </si>
  <si>
    <t>(51) 99650-1104</t>
  </si>
  <si>
    <t>Sinal normalizou, desistiu de cancelar</t>
  </si>
  <si>
    <t>Paula Estaite Maciel</t>
  </si>
  <si>
    <t xml:space="preserve">Jardim Betania </t>
  </si>
  <si>
    <t>Bruno Jung Miguel</t>
  </si>
  <si>
    <t>Tiroleza</t>
  </si>
  <si>
    <t>(51) 99395-6069</t>
  </si>
  <si>
    <t>Cliente se mudou de estado.</t>
  </si>
  <si>
    <t>(51) 3684-1474</t>
  </si>
  <si>
    <t>Cliente mudou de estado.</t>
  </si>
  <si>
    <t>SABRINA DOS SANTOS RICARDO FOSS</t>
  </si>
  <si>
    <t>18/02</t>
  </si>
  <si>
    <t>Brenda Yasmin Moraes Saldanha</t>
  </si>
  <si>
    <t xml:space="preserve"> (51) 99998-6409</t>
  </si>
  <si>
    <t>Mudança para um endereço onde a internet está inclusa no aluguel.</t>
  </si>
  <si>
    <t xml:space="preserve"> (51) 98198-3146</t>
  </si>
  <si>
    <t>Cliente alega problémas tecnicos</t>
  </si>
  <si>
    <t>Gilson Brum Bobsin</t>
  </si>
  <si>
    <t>Leandro Kleim 2</t>
  </si>
  <si>
    <t>FABIO GUERREIRO DO AMARAL</t>
  </si>
  <si>
    <t>Mro Canoa</t>
  </si>
  <si>
    <t>(51) 99631-1747</t>
  </si>
  <si>
    <t>Sinal normalizou e precisa conversar com o morador da residência sobre o cancelamento (pode retornar para cancelar)</t>
  </si>
  <si>
    <t xml:space="preserve"> MICHELE TAMARA DOS SANTOS CAMARGO</t>
  </si>
  <si>
    <t>Recuperando dados. Aguarde alguns segundos e tente cortar ou copiar novamente.</t>
  </si>
  <si>
    <t>Selmar Osaris Rubattino Malta</t>
  </si>
  <si>
    <t>Enio da Silva</t>
  </si>
  <si>
    <t>(51) 98173-9885</t>
  </si>
  <si>
    <t>Cliente se mudou para o interior.</t>
  </si>
  <si>
    <t>Alexandre Fagundes Prates</t>
  </si>
  <si>
    <t>(51) 99515-7294</t>
  </si>
  <si>
    <t>Retido com VT de analise + R$ 20,00 de desconto na fatura de abril.</t>
  </si>
  <si>
    <t>Vivian da Silva Almendros</t>
  </si>
  <si>
    <t>(51) 98504-4184</t>
  </si>
  <si>
    <t>23/03</t>
  </si>
  <si>
    <t>Mudança de endereço para local que já tem internet.</t>
  </si>
  <si>
    <t xml:space="preserve"> Vera Lucia Broch De Oliveira</t>
  </si>
  <si>
    <t xml:space="preserve">Bloqueio 4 meses. </t>
  </si>
  <si>
    <t>João Batista Pires</t>
  </si>
  <si>
    <t>(51) 99808-1510</t>
  </si>
  <si>
    <t>Alega que apart. de veraneio só é usada por 3/4 meses, o restante do ano fica vazia. Argumentei, passei oferta sem sucesso.</t>
  </si>
  <si>
    <t>IZAIR PORTO DOS SANTOS</t>
  </si>
  <si>
    <t>(51) 98208-4391</t>
  </si>
  <si>
    <t>Fornecido 50% de desconto por 6 meses.</t>
  </si>
  <si>
    <t>Funcionário de outra provedora</t>
  </si>
  <si>
    <t>Kênia Roberta da Rosa Fialho</t>
  </si>
  <si>
    <t>Troca de provedor - Constantes quedas fizeram cliente optar por outra.</t>
  </si>
  <si>
    <t>Evelin Wolff Wurlitze</t>
  </si>
  <si>
    <t>Retido com alteração de data para remover o juros</t>
  </si>
  <si>
    <t>Manuella Duarte Filippelli Costa</t>
  </si>
  <si>
    <t>Morada do vale 2</t>
  </si>
  <si>
    <t>(51) 99513-6973</t>
  </si>
  <si>
    <t>Retida com agendamento da mudança de endereço para segunda 16/03 + 50% de desconto nas faturas de março e abril.</t>
  </si>
  <si>
    <t>MARIA JULEIDE PIRES</t>
  </si>
  <si>
    <t>(51) 99683-8233</t>
  </si>
  <si>
    <t>Alega que a provedora Netmit forneceu desconto na academia e já contratou o serviço deles.</t>
  </si>
  <si>
    <t>Ana Luiza Woloski Genari</t>
  </si>
  <si>
    <t>(51) 98250-0304</t>
  </si>
  <si>
    <t>Cliente havia combinado um horário para mudança de endereço ocorrer que não foi cumprido.</t>
  </si>
  <si>
    <t>Airton Ferreira</t>
  </si>
  <si>
    <t>Cássio Willian Teixeira Silveira</t>
  </si>
  <si>
    <t>(51) 99201-2586</t>
  </si>
  <si>
    <t>Agenda de encaixe para sábado a tarde</t>
  </si>
  <si>
    <t>Fabio dos Santos Jablonski</t>
  </si>
  <si>
    <t xml:space="preserve"> José Antonio Marques Soares</t>
  </si>
  <si>
    <t>(51) 98203-3929</t>
  </si>
  <si>
    <t>Cliente contratou outra provedora antes mesmo de ter cancelado seu contrato.</t>
  </si>
  <si>
    <t xml:space="preserve">CLAUDIO ROBERTO BECKER </t>
  </si>
  <si>
    <t>(51) 99776-5983</t>
  </si>
  <si>
    <t>Alega que bloquearam seu sinal mesmo estando em dia e possui muitos problemas técnicos, argumentei vt com desconto, sem sucesso.</t>
  </si>
  <si>
    <t>MARCELO BRESOLIN GANCINE</t>
  </si>
  <si>
    <t>(51) 99395-0945</t>
  </si>
  <si>
    <t>Mudança de endereço para o interior do Rio Grande do Sul onde seu filho titular já está morando.</t>
  </si>
  <si>
    <t>Irene Ester Santos Webery</t>
  </si>
  <si>
    <t>(51) 98652-2433</t>
  </si>
  <si>
    <t>Retida com desconto de 50% nas faturas de fevereiro e março e vt retenção para analise do problema.</t>
  </si>
  <si>
    <t>Izabel Cristina da Rosa Bitencourt</t>
  </si>
  <si>
    <t>(51) 98323-2502</t>
  </si>
  <si>
    <t>Retida com 50% nas próximas 4 faturas + vt de urgência para analise do problema.</t>
  </si>
  <si>
    <t>Leonardo Roque Gravina</t>
  </si>
  <si>
    <t>(51) 99696-4181</t>
  </si>
  <si>
    <t>Mantido oferta já existente no cadastro de R$ 59,90</t>
  </si>
  <si>
    <t>Denner Pinto da Rocha</t>
  </si>
  <si>
    <t>(51) 99391-3928</t>
  </si>
  <si>
    <t>Na sede</t>
  </si>
  <si>
    <t>Mudança de endereço para local não cabeado. (Enviou comprovante).</t>
  </si>
  <si>
    <t>Claudinei Tavares Romeiro</t>
  </si>
  <si>
    <t>(51) 98566-3789</t>
  </si>
  <si>
    <t>Vt para analise geral do problema + oferta de R$ 59,90 até dezembro/2026.</t>
  </si>
  <si>
    <t>JEFERSON CARLOS TAMINSKY</t>
  </si>
  <si>
    <t>(51) 99824-2902</t>
  </si>
  <si>
    <t>Com VT de urgência + 50% de desconto por 5 meses.</t>
  </si>
  <si>
    <t>Adriano Bião Freitas</t>
  </si>
  <si>
    <t>(51) 99708-7569</t>
  </si>
  <si>
    <t>Mantido oferta 420 mega por R$ 59,90</t>
  </si>
  <si>
    <t>Cliente insatisfeito em relação ao serviço técnico, informa que técnico esteve dia 12/03 e horas depois o LOS ficou vermelho e começou o problema novamente.</t>
  </si>
  <si>
    <t>RENATA JAHN</t>
  </si>
  <si>
    <t>(51) 99595-9423</t>
  </si>
  <si>
    <t>Queria 2º modem gratuito e que ele fosse instalado na casa de sua mãe</t>
  </si>
  <si>
    <t>Juliana Tomé Lourenço</t>
  </si>
  <si>
    <t>(51) 99952-8971</t>
  </si>
  <si>
    <t>Daiany da Silva Ferrão</t>
  </si>
  <si>
    <t>(51) 99783-3516</t>
  </si>
  <si>
    <t>Retida com 50% de desconto nas 3 próximas faturas.</t>
  </si>
  <si>
    <t>Pedro Viana dos Santos</t>
  </si>
  <si>
    <t>Nathalya Veloso Alves</t>
  </si>
  <si>
    <t xml:space="preserve">Retido com condições para troca de endereço. </t>
  </si>
  <si>
    <t xml:space="preserve"> ERIVELTO JÚNIOR VARGAS DOS SANTOS</t>
  </si>
  <si>
    <t>NATANI MOREIRA DE SOUZA</t>
  </si>
  <si>
    <t>Progresso</t>
  </si>
  <si>
    <t>Titular mudou-se e sogro ficou no endereço e contratou outro,.</t>
  </si>
  <si>
    <t>Morada do Vale 2</t>
  </si>
  <si>
    <t>Celi Teresinha Schuster</t>
  </si>
  <si>
    <t>Zova Nova</t>
  </si>
  <si>
    <t>Bloqueio de 4 meses</t>
  </si>
  <si>
    <t>JALDOIR DE MORAES</t>
  </si>
  <si>
    <t>(51) 99904-7852</t>
  </si>
  <si>
    <t>Cliente irá mudar de provedora.</t>
  </si>
  <si>
    <t>Jaine Silva Dos Santos</t>
  </si>
  <si>
    <t>(51) 98573-1502</t>
  </si>
  <si>
    <t>Alega estar se mudando para local onde já tem Fênix instalada.</t>
  </si>
  <si>
    <t>TIAGO HENRIQUE DULLIUS</t>
  </si>
  <si>
    <t>Dois Irmaõs</t>
  </si>
  <si>
    <t>Amanda Gabriela da Rosa</t>
  </si>
  <si>
    <t>(51) 99533-3764</t>
  </si>
  <si>
    <t>Mudança para local não cabeado. (Enviou contrato de locação).</t>
  </si>
  <si>
    <t>Gerusa de Ávila Ferreira</t>
  </si>
  <si>
    <t>(51) 98937-8552</t>
  </si>
  <si>
    <t>Mudança para local não cabeado e sem parceiro.</t>
  </si>
  <si>
    <t>Janete Teresinha da Silva</t>
  </si>
  <si>
    <t>São Francisco</t>
  </si>
  <si>
    <t>Paola Cristini Borba Pire</t>
  </si>
  <si>
    <t xml:space="preserve">Contenção de gasto. </t>
  </si>
  <si>
    <t xml:space="preserve"> CECILIA DA SILVA GIAPARELLI</t>
  </si>
  <si>
    <t xml:space="preserve">Bloqueio Temporario. </t>
  </si>
  <si>
    <t xml:space="preserve"> MISAEL DA SILVA</t>
  </si>
  <si>
    <t>VERA REGINA DE MATOS</t>
  </si>
  <si>
    <t>(51) 99519-1856</t>
  </si>
  <si>
    <t>Questões de atendimento técnico</t>
  </si>
  <si>
    <t>Sadi dos Santos</t>
  </si>
  <si>
    <t xml:space="preserve">Alegou que não vai mais utilizar. </t>
  </si>
  <si>
    <t>Fabiane Rosa Cavalheiro</t>
  </si>
  <si>
    <t>(51) 99756-4080</t>
  </si>
  <si>
    <t>Alega que recebeu oferta de outra provedora e contratou, argumentei com oferta e desconto, sem sucesso.</t>
  </si>
  <si>
    <t>JOCELI ROQUE CARVALHO SOARES</t>
  </si>
  <si>
    <t>(51) 99878-6815</t>
  </si>
  <si>
    <t>Retida com a mesma oferta que já estava vigente por R$ 59,90 até dezembro/2026.</t>
  </si>
  <si>
    <t>Jose de Sousa Sampaio</t>
  </si>
  <si>
    <t>DAIANE SILVA SANTOS</t>
  </si>
  <si>
    <t>Vila Bom Principio</t>
  </si>
  <si>
    <t>Eliane Silveira Vieira</t>
  </si>
  <si>
    <t xml:space="preserve">Cliente quis cancelar por causa de mudança, informado sobre troca de endereço e aceitou. </t>
  </si>
  <si>
    <t>Isenção da fatura de março devido ao não recebimento do carnê</t>
  </si>
  <si>
    <t>LUIZ HENRIQUE DA SILVA</t>
  </si>
  <si>
    <t>(51) 99624-9940</t>
  </si>
  <si>
    <t>Retido com VT com urgência + 50% de desconto nas próximas 2 faturas (março e abril).</t>
  </si>
  <si>
    <t>JOAO LUIZ BAUMGARTNER</t>
  </si>
  <si>
    <t>(51) 99940-3067</t>
  </si>
  <si>
    <t>Acreditou que voltaria a morar em Parobé, porém, não voltará mais.</t>
  </si>
  <si>
    <t>JONAS GOMES DA SILVA</t>
  </si>
  <si>
    <t>(51) 99271-5078</t>
  </si>
  <si>
    <t>Retido com suspensão temporária de 120 dias.</t>
  </si>
  <si>
    <t>Magda Chances de Almeida</t>
  </si>
  <si>
    <t>(51) 99340-7590</t>
  </si>
  <si>
    <t>Alega mudança de endereço para local que já possui internet.</t>
  </si>
  <si>
    <t>Carina dos Santos</t>
  </si>
  <si>
    <t xml:space="preserve"> (51) 98222-4992</t>
  </si>
  <si>
    <t xml:space="preserve"> Novo Hamburgo</t>
  </si>
  <si>
    <t>Retido com desconto nas proximas faturas e visita tec.</t>
  </si>
  <si>
    <t>Grasiele Rodrigues Peixoto</t>
  </si>
  <si>
    <t>Costa do Ipiranga</t>
  </si>
  <si>
    <t>(51) 99256-3322</t>
  </si>
  <si>
    <t>Retido com encaixe para visita técnica.</t>
  </si>
  <si>
    <t>Ivoni Zimmer</t>
  </si>
  <si>
    <t>(51) 99686-1776</t>
  </si>
  <si>
    <t>Cliente ja tinha contratado uma nova internet</t>
  </si>
  <si>
    <t xml:space="preserve"> Jaqueline Severo da Silva</t>
  </si>
  <si>
    <t xml:space="preserve">Parque Ipiranga </t>
  </si>
  <si>
    <t xml:space="preserve"> PAULO CESAR SCHOPF</t>
  </si>
  <si>
    <t>LEANDRO ELIAS SCHULING</t>
  </si>
  <si>
    <t>27/03</t>
  </si>
  <si>
    <t>LUCAS JERONIMO WECKER</t>
  </si>
  <si>
    <t xml:space="preserve"> (51) 98573-4293</t>
  </si>
  <si>
    <t>Inês Lúcia Tesser Garcia</t>
  </si>
  <si>
    <t>(51) 99281-6361</t>
  </si>
  <si>
    <t>entregar na sede</t>
  </si>
  <si>
    <t>Mudança de endereço para local não cabeado. (Enviou contrato de aluguel).</t>
  </si>
  <si>
    <t>AMANDA KLEIN</t>
  </si>
  <si>
    <t>(54) 99369-4246</t>
  </si>
  <si>
    <t>26/03</t>
  </si>
  <si>
    <t>Teve problemas técnicos ontem e não quis ouvir argumentos.</t>
  </si>
  <si>
    <t>Retido com VT de urgência para analise de roteador resetado.</t>
  </si>
  <si>
    <t>Maria Antônia Gonçalves</t>
  </si>
  <si>
    <t>(51) 99714-6095</t>
  </si>
  <si>
    <t>Cliente solicitou cancelamento por técnico não ir a sua casa resolver o problema, técnico chegou no local bem na hora.</t>
  </si>
  <si>
    <t>Graciele Teresinha de Moura Padilha</t>
  </si>
  <si>
    <t>(51) 99573-1561</t>
  </si>
  <si>
    <t>Mudança de endereço com isenção</t>
  </si>
  <si>
    <t xml:space="preserve"> Franciele Cristina Gomez Elias</t>
  </si>
  <si>
    <t>(51) 98143-2560</t>
  </si>
  <si>
    <t>Cliente contratou outra provedora.</t>
  </si>
  <si>
    <t>Alugou a casa e seu inquilino trouxe sua internet para o local.</t>
  </si>
  <si>
    <t>ILDO ANTONIO HECK</t>
  </si>
  <si>
    <t>(51) 99771-1844</t>
  </si>
  <si>
    <t>Gerado VT com encaixe para amanhã 18/03 + 50% de desc. por 4 meses.</t>
  </si>
  <si>
    <t>Bruna Maia Wurlitzer</t>
  </si>
  <si>
    <t>(51) 99833-9961</t>
  </si>
  <si>
    <t>Alega que já contratou outra provedora e não quis ouvir ofertas disponiveis.</t>
  </si>
  <si>
    <t>JOICE MORGANA DOS SANTOS FAGUNDES LTDA</t>
  </si>
  <si>
    <t>(51) 99788-0519</t>
  </si>
  <si>
    <t>Reduzido internet para 570 mega por R$ 99,90/mensais e isenta do mês de março devido a problemas técnicos.</t>
  </si>
  <si>
    <t xml:space="preserve"> ROBERTO MATHEUS FELTES</t>
  </si>
  <si>
    <t>(51) 99592-9862</t>
  </si>
  <si>
    <t>Aline de Souza da Silva</t>
  </si>
  <si>
    <t xml:space="preserve">Ajuste config roteador. </t>
  </si>
  <si>
    <t>PAULA PINIDO DA SILVA</t>
  </si>
  <si>
    <t>(51) 98024-3133</t>
  </si>
  <si>
    <t>Problemas técnicos. Se negou em enviar selfie.</t>
  </si>
  <si>
    <t>MARIO RAFAEL SANTOS PEREIRA</t>
  </si>
  <si>
    <t>Leidiana Teresa Sander da Silva</t>
  </si>
  <si>
    <t xml:space="preserve"> (51) 99778-0036</t>
  </si>
  <si>
    <t>Retido com VT de urgencia e desconto em fatura</t>
  </si>
  <si>
    <t>CLAIR DE OLIVEIRA SENARIO</t>
  </si>
  <si>
    <t>(51) 99794-3483</t>
  </si>
  <si>
    <t>Alega que ja contratou outro provedor e não quis ouvir ofertas.</t>
  </si>
  <si>
    <t xml:space="preserve"> Débora de Souza Radunz</t>
  </si>
  <si>
    <t xml:space="preserve"> (53) 99169-3119</t>
  </si>
  <si>
    <t xml:space="preserve"> JESSICA NARLO RODRIGUES</t>
  </si>
  <si>
    <t>Marcelo Pires</t>
  </si>
  <si>
    <t>ANDREIA DE MOURA MARTINS</t>
  </si>
  <si>
    <t>Antônio Carlos Eloy</t>
  </si>
  <si>
    <t>São Francisco II</t>
  </si>
  <si>
    <t>(51) 99872-1351</t>
  </si>
  <si>
    <t xml:space="preserve">GUILHERME RIBEIRO DE LIMA </t>
  </si>
  <si>
    <t>Andressa Esteves Iost</t>
  </si>
  <si>
    <t>Queria um pacote com plano de celular, acabou contratando outra provedora que fornece.</t>
  </si>
  <si>
    <t>CAMILA EDUARDA REIS DA SILVA</t>
  </si>
  <si>
    <t>(51) 99256-5775</t>
  </si>
  <si>
    <t>Problemas técnicos frequentes e dias sem sinal.</t>
  </si>
  <si>
    <t>OSEIAS CARVALHO DE SOUZA</t>
  </si>
  <si>
    <t>(51) 99432-4884</t>
  </si>
  <si>
    <t>Alega lentidão na internet, não quis ouvir argumentos e nem vt, quis cancelar.</t>
  </si>
  <si>
    <t>DJULIA SANTANA VARGAS</t>
  </si>
  <si>
    <t>(53) 98462-5919</t>
  </si>
  <si>
    <t>Retida com oferta especial para pagamento da divida + reinstalação, agendado modem.</t>
  </si>
  <si>
    <t xml:space="preserve"> JUVENI MACEDO DE VARGAS</t>
  </si>
  <si>
    <t>VERA JANETE LESSING</t>
  </si>
  <si>
    <t xml:space="preserve"> Nova Parobé</t>
  </si>
  <si>
    <t>(51) 99633-8189</t>
  </si>
  <si>
    <t>FRANCISCO ROGERIO POLY DA SILVA</t>
  </si>
  <si>
    <t>CAMILA RAQUEL ALVES FREESE</t>
  </si>
  <si>
    <t>(51) 99353-0990</t>
  </si>
  <si>
    <t>Agendamento VT + 50% por dois meses.</t>
  </si>
  <si>
    <t>Marione Hoffmeister Duarte</t>
  </si>
  <si>
    <t>(51) 98018-3763</t>
  </si>
  <si>
    <t>Problema técnico e trocou de provedora.</t>
  </si>
  <si>
    <t>FABIANA ALVES</t>
  </si>
  <si>
    <t>(51) 98024-1150</t>
  </si>
  <si>
    <t>Novo hamburgo</t>
  </si>
  <si>
    <t>Agendamento VT.</t>
  </si>
  <si>
    <t>JOSE LEANDRO FETTER</t>
  </si>
  <si>
    <t>(51) 99701-7401</t>
  </si>
  <si>
    <t>Alega problemas técnicos, muitos dias sem conexão.</t>
  </si>
  <si>
    <t>João Reinaldo de Lisa Farias</t>
  </si>
  <si>
    <t>(51) 99107-2392</t>
  </si>
  <si>
    <t>Problemas técnicos e demora no atendimento.</t>
  </si>
  <si>
    <t>Angela Marina de freitas</t>
  </si>
  <si>
    <t>(51) 99347-3858</t>
  </si>
  <si>
    <t>Foi embora para o Paraná, mas, irá manter ativo na casa dos sogros.</t>
  </si>
  <si>
    <t xml:space="preserve"> SERGIO ARONSIO MOUTINHO</t>
  </si>
  <si>
    <t>(51) 98034-7785</t>
  </si>
  <si>
    <t>Se mudou para local não cabiado.</t>
  </si>
  <si>
    <t>Franciele Vieira do Amarante</t>
  </si>
  <si>
    <t>(55) 99735-8029</t>
  </si>
  <si>
    <t>Retido com desconto nas prox faturas.</t>
  </si>
  <si>
    <t>Joice Da Silva Hagllin</t>
  </si>
  <si>
    <t>Bryan Dutra Dornelles</t>
  </si>
  <si>
    <t xml:space="preserve"> Parque Marechal Rondon</t>
  </si>
  <si>
    <t>Por ter 2 contratos foi mantido mais 12 meses por R$59,90</t>
  </si>
  <si>
    <t>Adriano Bandeira de Araújo</t>
  </si>
  <si>
    <t>(51) 92003-7910</t>
  </si>
  <si>
    <t>Cliente insatisfeito pois estava sem sinal, argumentei vt, o mesmo não quis, preferiu cancelar, mesmo com multa fidelidade vigente.</t>
  </si>
  <si>
    <t>ANGELA INES DA SILVA</t>
  </si>
  <si>
    <t>EDUARDO STORCK DOS SANTOS</t>
  </si>
  <si>
    <t>(51) 98108-9018</t>
  </si>
  <si>
    <t xml:space="preserve">Alega péssimo atendimento. </t>
  </si>
  <si>
    <t>Tais Kirch Soares</t>
  </si>
  <si>
    <t>(51) 99742-7903</t>
  </si>
  <si>
    <t>Retida com oferta especial para quitação dos débitos + suspensão temporária</t>
  </si>
  <si>
    <t xml:space="preserve">SELMO CORREIA TORRES </t>
  </si>
  <si>
    <t>(51) 99472-7458</t>
  </si>
  <si>
    <t>Solicitou cancelamento pelo não recebimento do carnê, fiz o envio de forma digital, cliente aceitou.</t>
  </si>
  <si>
    <t>Tatiane de Castro Leobet</t>
  </si>
  <si>
    <t>CENTRO</t>
  </si>
  <si>
    <t>(51) 99704-2205</t>
  </si>
  <si>
    <t>Cliente com dividas, deseja apenas pagar e cancelar, tentei argumentar, sem sucesso.</t>
  </si>
  <si>
    <t>Marcelo Renato da Silva Pereira</t>
  </si>
  <si>
    <t>(51) 92003-6321</t>
  </si>
  <si>
    <t>Alega problemas técnicos e  não quis esperar técnico até amanhã.</t>
  </si>
  <si>
    <t>CHENGZHI CHEN</t>
  </si>
  <si>
    <t>(11) 97710-0888</t>
  </si>
  <si>
    <t>Optou por agiuardar o atendimento técnico.</t>
  </si>
  <si>
    <t>GILMARA MIRIAN PEREIRA</t>
  </si>
  <si>
    <t>(51) 99763-3591</t>
  </si>
  <si>
    <t>Retida com VT de encaixe + 50% de desconto nas faturas de abril e maio.</t>
  </si>
  <si>
    <t>MARINICE MOURA DE OLIVEIRA</t>
  </si>
  <si>
    <t>(51) 99177-5840</t>
  </si>
  <si>
    <t>Gerado VT para análise da oscilação + 50% de desc na fatura de abril.</t>
  </si>
  <si>
    <t>Ana Maria Prado Pereira</t>
  </si>
  <si>
    <t>(51) 99853-3050</t>
  </si>
  <si>
    <t>Cliente alega instatisfação com os serviços e não quis VT.</t>
  </si>
  <si>
    <t xml:space="preserve"> Marcia Gabriela Ferreira</t>
  </si>
  <si>
    <t xml:space="preserve">Retido com visita </t>
  </si>
  <si>
    <t>Cintia Silva Gomes</t>
  </si>
  <si>
    <t>(51) 98486-8808</t>
  </si>
  <si>
    <t>Gerado VT para análise + 50% de desc.. nas faturas de abril e maio.</t>
  </si>
  <si>
    <t>João Demarchi</t>
  </si>
  <si>
    <t>Distrito De Santa Cristina Do</t>
  </si>
  <si>
    <t>(51) 99894-6303</t>
  </si>
  <si>
    <t>Insatisfação com os problemas técnicos.</t>
  </si>
  <si>
    <t xml:space="preserve"> Aurea Margarete Dias da Silva</t>
  </si>
  <si>
    <t xml:space="preserve"> (51) 99995-2907</t>
  </si>
  <si>
    <t>Cliente irá se mudar para local sem viabilidade.</t>
  </si>
  <si>
    <t xml:space="preserve"> MATEUS LIMA DE OLIVEIRA</t>
  </si>
  <si>
    <t>CILMA PAULINA MARKA</t>
  </si>
  <si>
    <t>Imigrante Sul</t>
  </si>
  <si>
    <t>Só quis cancelar</t>
  </si>
  <si>
    <t>VANESSA FERNANDES DA SILVA</t>
  </si>
  <si>
    <t>Visita tecnica</t>
  </si>
  <si>
    <t xml:space="preserve"> Katia Silene Martins Barbosa</t>
  </si>
  <si>
    <t>ROGERIO PEREIRA</t>
  </si>
  <si>
    <t>Argumentação sobre rompimento e desconto 50%, diversos dias com quedas</t>
  </si>
  <si>
    <t xml:space="preserve"> POLIANA FERREIRA DA SILV</t>
  </si>
  <si>
    <t>retido com ajuste de valor do plano</t>
  </si>
  <si>
    <t>SIMONE SCHILLING NASCIMENTO</t>
  </si>
  <si>
    <t>(51) 99664-1177</t>
  </si>
  <si>
    <t xml:space="preserve">Alega que já está com problemas técnicos há um bom tempo, normaliza, volta, normaliza, volta. </t>
  </si>
  <si>
    <t>Evelyn dos Santos Reis</t>
  </si>
  <si>
    <t>(51) 98034-8326</t>
  </si>
  <si>
    <t>Gerado VT de urgência + isenção da fatura de março.</t>
  </si>
  <si>
    <t xml:space="preserve"> JOAO CARLOS CAMPAGNONE MACHADO</t>
  </si>
  <si>
    <t>(51) 99929-9089</t>
  </si>
  <si>
    <t>Titular faleceu, enviou certidão de óbito. E o motivo foi devido a inúmeras manutenção na rede.</t>
  </si>
  <si>
    <t>PRISCILA OHANNA GOMES MICHELS</t>
  </si>
  <si>
    <t>LEONIR ADEMAR REUTER</t>
  </si>
  <si>
    <t>Loteamento Bela Vista</t>
  </si>
  <si>
    <t>(51) 99609-6285</t>
  </si>
  <si>
    <t>Optou por contratar uma provedora da Cidade porque está insatisfeito com o serviço fornecido.</t>
  </si>
  <si>
    <t>FERNANDA SAMANTA LEMOS</t>
  </si>
  <si>
    <t xml:space="preserve"> (51) 99985-9098</t>
  </si>
  <si>
    <t>Cliente irá se mudar para endereço sem viabilidade.</t>
  </si>
  <si>
    <t>CAROLINE CONSTANT DE OLIVEIRA</t>
  </si>
  <si>
    <t>(51) 98403-7048</t>
  </si>
  <si>
    <t>Troca e provedor - Alega muita inconsistência na conexão.</t>
  </si>
  <si>
    <t>JEFFERSON RAFAEL SOARES DA SILVA</t>
  </si>
  <si>
    <t>(51) 99141-9649</t>
  </si>
  <si>
    <t>Cliente se mudou para outro estado.</t>
  </si>
  <si>
    <t>IGOR ESTRADA DOS REIS</t>
  </si>
  <si>
    <t>(51) 99965-2195</t>
  </si>
  <si>
    <t>Problemas técnicos, negou agendamento técnico e desconto.</t>
  </si>
  <si>
    <t>Lisiane Mendes da Silva</t>
  </si>
  <si>
    <t>(51) 98260-2658</t>
  </si>
  <si>
    <t>Alega que desde a mudança de endereço, serviço nunca funcionou direito.</t>
  </si>
  <si>
    <t xml:space="preserve"> IVANIR ROGELSON RODRIGUE</t>
  </si>
  <si>
    <t xml:space="preserve"> Miguel Arcanjo Jesus De Oliveira</t>
  </si>
  <si>
    <t>Huberson Oliveira Leite</t>
  </si>
  <si>
    <t>(51) 99396-6862</t>
  </si>
  <si>
    <t>Retido com VT para troca do modem + 50% de desconto na fatura de abril.</t>
  </si>
  <si>
    <t xml:space="preserve"> JULIANO DA SILVA KASPPER</t>
  </si>
  <si>
    <t>Arroio Sol</t>
  </si>
  <si>
    <t>Visita e 50% OFF</t>
  </si>
  <si>
    <t>EDILAINE FERREIRA BITENCOURT</t>
  </si>
  <si>
    <t>(51) 99625-1057</t>
  </si>
  <si>
    <t>Retida com isenção da taxa de mudança de endereço.</t>
  </si>
  <si>
    <t>Rodrigo de Jesus Rodrigues Morais</t>
  </si>
  <si>
    <t>(51) 99249-3909</t>
  </si>
  <si>
    <t>Agendamento + 50% de desc. por 3 meses.</t>
  </si>
  <si>
    <t>ELIZANGELA ANDRADE DE MORAIS</t>
  </si>
  <si>
    <t>(51) 98198-0326</t>
  </si>
  <si>
    <t>Vt para analise + oferta R$ 99,90 até dezembro.</t>
  </si>
  <si>
    <t>Éder Nei Carvalho de Oliveira</t>
  </si>
  <si>
    <t>Débora Correa dos Santos</t>
  </si>
  <si>
    <t>(51) 99664-9219</t>
  </si>
  <si>
    <t>Retida com agendamento especial para após as 17:00 p/ 24/03.</t>
  </si>
  <si>
    <t>CINTIA CATIELE DA SILVA</t>
  </si>
  <si>
    <t>(51) 99518-0068</t>
  </si>
  <si>
    <t>Alega mudança de endereço para local que já tem internet.</t>
  </si>
  <si>
    <t>Felipe Mello de Oliveira</t>
  </si>
  <si>
    <t>(51) 99867-9653</t>
  </si>
  <si>
    <t>Retido com VT para amanhã 22/03 no turno da tarde.</t>
  </si>
  <si>
    <t>Rúbia Tanara Gomes Coelho</t>
  </si>
  <si>
    <t xml:space="preserve"> (51) 99469-6270</t>
  </si>
  <si>
    <t>Retido com VT para dia 23/03 no turno da tarde.</t>
  </si>
  <si>
    <t>VAGNER MATIAS AGALA SAMPAIO</t>
  </si>
  <si>
    <t>(51) 99555-0791</t>
  </si>
  <si>
    <t>Cliente relata que a internet nunca melhora com as manutenções.</t>
  </si>
  <si>
    <t xml:space="preserve"> (51) 9956-8188</t>
  </si>
  <si>
    <t>Cliente retido com visita tecnica marcada para 23/03</t>
  </si>
  <si>
    <t>TAIS VARGAS DOS SANTOS</t>
  </si>
  <si>
    <t>visita + isenção</t>
  </si>
  <si>
    <t xml:space="preserve"> MILTON NIGOLINO</t>
  </si>
  <si>
    <t>José Antonio Arnold</t>
  </si>
  <si>
    <t xml:space="preserve"> Roger Padilha Quinteiro</t>
  </si>
  <si>
    <t>Troca de titularidade para  Camille Pires Cunha</t>
  </si>
  <si>
    <t>Cliente foi retido sabado e agendado visitita, setor de agendamento subiu e o tecnico não fez a O.S. voltou para cancelar</t>
  </si>
  <si>
    <t>Alvino Moacir Soares</t>
  </si>
  <si>
    <t>visita</t>
  </si>
  <si>
    <t>Letícia da Silva Teixeira</t>
  </si>
  <si>
    <t>matriz</t>
  </si>
  <si>
    <t>visita+isenção</t>
  </si>
  <si>
    <t>Carla Caroline de Camargo Bueno</t>
  </si>
  <si>
    <t>ANA CAROLINE DA SILVA GARCIA</t>
  </si>
  <si>
    <t>Quintas</t>
  </si>
  <si>
    <t>Andressa Silva Souza</t>
  </si>
  <si>
    <t>(51) 98586-6569</t>
  </si>
  <si>
    <t>Agendamernto para amanhã 24/03, porém, precisa ocorrer, após as 17:00 + 3 meses de 50%</t>
  </si>
  <si>
    <t xml:space="preserve"> MARCELO DOS SANTOS</t>
  </si>
  <si>
    <t>Viaduto</t>
  </si>
  <si>
    <t>Quedas recorrentes</t>
  </si>
  <si>
    <t xml:space="preserve"> JULIANO PEREIRA</t>
  </si>
  <si>
    <t>Taís Marques Martins</t>
  </si>
  <si>
    <t>(51) 99378-8038</t>
  </si>
  <si>
    <t>Mudança de endereço para local que já tem internet, ciente da multa, optou por suspensão temporária.</t>
  </si>
  <si>
    <t>Eliane Tavares de Souza</t>
  </si>
  <si>
    <t>Retido com 40% 4 meses</t>
  </si>
  <si>
    <t>MONICA PRESTES</t>
  </si>
  <si>
    <t>(51) 98162-4873</t>
  </si>
  <si>
    <t>Reclama de oscilação de sinal e problema não é resolvido.</t>
  </si>
  <si>
    <t>TIAGO PEREIRA LOBLEIN</t>
  </si>
  <si>
    <t>(51) 99744-4855</t>
  </si>
  <si>
    <t>Serviço não estava atendendo suas necessidades.</t>
  </si>
  <si>
    <t>MARCIO LUIZ ZIMMERMANN</t>
  </si>
  <si>
    <t>(51) 99511-5039</t>
  </si>
  <si>
    <t>Troca de endereço para local não cabeado (foi analisado endereço novo).</t>
  </si>
  <si>
    <t>Miguel Arcanjo Jesus De Oliveira</t>
  </si>
  <si>
    <t xml:space="preserve"> (51) 98028-7695</t>
  </si>
  <si>
    <t>Cliente relatou demora pra conseguir uma VT e instatisfação com atendimento.</t>
  </si>
  <si>
    <t>Fabiana da Silva Nunes</t>
  </si>
  <si>
    <t>(51) 99500-6065</t>
  </si>
  <si>
    <t>Agendamento técnico + 2 meses com 50%</t>
  </si>
  <si>
    <t>SERGIO CARDOSO</t>
  </si>
  <si>
    <t xml:space="preserve">Argumentação + troca rot. </t>
  </si>
  <si>
    <t>Retido com vt de cabo de rede para amanhã com as observações de horário do cliente.</t>
  </si>
  <si>
    <t>EMERSON DE CRISTO ALVES</t>
  </si>
  <si>
    <t>(51) 99542-5545</t>
  </si>
  <si>
    <t>Se mudou e está pagando a internet sem usar, não quis realizar mudança de endereço.</t>
  </si>
  <si>
    <t>MARCELO FALCAO COSTA DA SILVEIRA</t>
  </si>
  <si>
    <t>Tucanos</t>
  </si>
  <si>
    <t>(51) 99702-5771</t>
  </si>
  <si>
    <t>Insatisfeita com o financeiro, fornecido desconto por R$ 99,90 até dezembro + agendamento de troca de comodo.</t>
  </si>
  <si>
    <t xml:space="preserve"> ELONI HUGENTOBLER</t>
  </si>
  <si>
    <t>(51) 99350-0642</t>
  </si>
  <si>
    <t>Queria cancelar devido ao não recebimento do carnê, enviado faturas de forma digital e fornecido desc. na fatura de março de R$ 20,00 reais.</t>
  </si>
  <si>
    <t>ADENIR GONZAGA HOFFMANN</t>
  </si>
  <si>
    <t>(51) 99856-1119</t>
  </si>
  <si>
    <t xml:space="preserve">Se mudou, casa ficará vazia para reforma. </t>
  </si>
  <si>
    <t xml:space="preserve"> Sabrine Viehl Saruiz</t>
  </si>
  <si>
    <t>CLAUDIA GOTTSCHALK</t>
  </si>
  <si>
    <t>15 De Novembro</t>
  </si>
  <si>
    <t>(51) 99776-7581</t>
  </si>
  <si>
    <t>Fornecido desconto de R$ 20,00 sobre a fatura de abril. Optou por não cancelar.</t>
  </si>
  <si>
    <t>Adriana Brito de Mello</t>
  </si>
  <si>
    <t>(51) 98573-8799</t>
  </si>
  <si>
    <t>28/03</t>
  </si>
  <si>
    <t>Alega estar sem mudando. Não quis entrar em detalhes.</t>
  </si>
  <si>
    <t>MATHEUS ANTONIO DE OLIVEIRA DA LUZ</t>
  </si>
  <si>
    <t>(51) 99868-4366</t>
  </si>
  <si>
    <t>Cliente não quis esperar a VT e optou pelo cancelamento e troca de provedora.</t>
  </si>
  <si>
    <t>Internet deixou muito a desejar, insatisfação, contratou outra provedora e não possui mais problemas técnicos.</t>
  </si>
  <si>
    <t xml:space="preserve"> Caroline da Silveira Souza</t>
  </si>
  <si>
    <t xml:space="preserve"> Carlos Magno Goulart Fernandes</t>
  </si>
  <si>
    <t>DANIEL SILVA DE ALMEIDA</t>
  </si>
  <si>
    <t>GREYCE NATIELLE SILVA</t>
  </si>
  <si>
    <t>Visita+ isenção</t>
  </si>
  <si>
    <t xml:space="preserve"> Victoria Mariano de Mattos Silva</t>
  </si>
  <si>
    <t>Visita+50% OFF</t>
  </si>
  <si>
    <t>Alcides Paulo Tavares Fraga</t>
  </si>
  <si>
    <t>(51) 99343-9154</t>
  </si>
  <si>
    <t>30/03</t>
  </si>
  <si>
    <t>Informa que sua irmã está idosa e foi morar com ele não sendo mais necessário dois contratos.</t>
  </si>
  <si>
    <t>Ajuste data faturas</t>
  </si>
  <si>
    <t>Fabiane Mayer</t>
  </si>
  <si>
    <t>São João</t>
  </si>
  <si>
    <t>TAIS ANDRESSA HIPOLITO BICUDO</t>
  </si>
  <si>
    <t>(51) 99924-1553</t>
  </si>
  <si>
    <t>Vt para análise + 2 meses com 50%</t>
  </si>
  <si>
    <t>Nicolas Fogaça Da Silva</t>
  </si>
  <si>
    <t>(51) 98042-2484</t>
  </si>
  <si>
    <t xml:space="preserve">Mudança para local que já possui outra provedora. </t>
  </si>
  <si>
    <t>Visita para revisão + 30% OFF</t>
  </si>
  <si>
    <t>IONE RITA BARTH SCHUTZ</t>
  </si>
  <si>
    <t>Sol Nascnete</t>
  </si>
  <si>
    <t>Fabiano Ribeiro Paiva</t>
  </si>
  <si>
    <t>Central Park</t>
  </si>
  <si>
    <t>(51) 99799-9795</t>
  </si>
  <si>
    <t>Alega mudança para Bahia.</t>
  </si>
  <si>
    <t>NADIR ELOIR BOMM</t>
  </si>
  <si>
    <t>Vila nova</t>
  </si>
  <si>
    <t>(51) 99879-1926</t>
  </si>
  <si>
    <t>Cliente insatisfeito, sem sinal desde sábado, ofertei agendamento técnico e desconto devido a situação, não aceitou.</t>
  </si>
  <si>
    <t xml:space="preserve"> (51) 99128-0632</t>
  </si>
  <si>
    <t>Cliente retido com VT de urgencia marcada para 24/03</t>
  </si>
  <si>
    <t>eliane ribeiro magagmin</t>
  </si>
  <si>
    <t>ROGERIO ADEMAR CARVALHO</t>
  </si>
  <si>
    <t> ISAIAS FELIPE MARTINS RODRIGUES</t>
  </si>
  <si>
    <t xml:space="preserve">Negociação das faturas. </t>
  </si>
  <si>
    <t>Nilton Roberto Moreira Filho</t>
  </si>
  <si>
    <t>(51) 99210-3821</t>
  </si>
  <si>
    <t>Retido com VT de urgência para amanhã.</t>
  </si>
  <si>
    <t xml:space="preserve">IEDA TEREZINHA VIEIRA </t>
  </si>
  <si>
    <t>rincão gaucho</t>
  </si>
  <si>
    <t>(51) 99760-0819</t>
  </si>
  <si>
    <t>Alega insatisfação no serviço prestado, quase sempre sem sinal.</t>
  </si>
  <si>
    <t>Talita Belmonte Bandeira</t>
  </si>
  <si>
    <t>Parque Residencial Itacolomi Itacolomi</t>
  </si>
  <si>
    <t>(51) 99453-7147</t>
  </si>
  <si>
    <t xml:space="preserve">Alega que sua conexão é muito ruim, não quis ouvir nenhuma proposta. </t>
  </si>
  <si>
    <t>Feito um novo acordo com vencimento em 05/04 e fornecido 30% de desconto em abril, maio e junho.</t>
  </si>
  <si>
    <t>CARLOS VICENTE HEMING</t>
  </si>
  <si>
    <t>São Jaco</t>
  </si>
  <si>
    <t>(51) 99693-2734</t>
  </si>
  <si>
    <t>rádio</t>
  </si>
  <si>
    <t>Na sua região é internet via rádio e quer mudar para fibra.</t>
  </si>
  <si>
    <t>EDER GALVANA DE JESUS</t>
  </si>
  <si>
    <t>(51) 98020-8733</t>
  </si>
  <si>
    <t>Cliente queria o cancelamento, mas direcionei ao bloqueio e depois irá fazer troca de endereço.</t>
  </si>
  <si>
    <t>Valmir José Malfatti</t>
  </si>
  <si>
    <t>(51) 98564-6394</t>
  </si>
  <si>
    <t>Cliente retido com encaixe para VT de urgência.</t>
  </si>
  <si>
    <t>Pablo Barbosa do Prado</t>
  </si>
  <si>
    <t>FERNANDO LUIZ DE SOUZA FILHO</t>
  </si>
  <si>
    <t>Visita + 40% OFF</t>
  </si>
  <si>
    <t>Alexandre de Souza Cardoso</t>
  </si>
  <si>
    <t>NEIDE SARAIVA</t>
  </si>
  <si>
    <t>(51) 99981-4673</t>
  </si>
  <si>
    <t>Oferta R$ 59,90 até dezembro</t>
  </si>
  <si>
    <t>Edi Onofre de Moraes</t>
  </si>
  <si>
    <t>(51) 98610-9549</t>
  </si>
  <si>
    <t>Teve visitas recentes e problema segue ocorrendo, está cansada e optou pelo cancelamento.</t>
  </si>
  <si>
    <t>Adriane Serafim</t>
  </si>
  <si>
    <t xml:space="preserve">Inviabilidade tecnica. </t>
  </si>
  <si>
    <t>Alega que ficou 4 dias sem sinal, técnico realizou troca do modem, ficou sem sinal novamente o fds todo e não quer mais internet.</t>
  </si>
  <si>
    <t>THAIS ALMEIDA DOS SANTOS</t>
  </si>
  <si>
    <t xml:space="preserve">Lira </t>
  </si>
  <si>
    <t>(51) 99735-0571</t>
  </si>
  <si>
    <t>Cliente relata que a internet caia toda hora e recebeu proposta melhor de outra provedora, não quis ouvir ofertas.</t>
  </si>
  <si>
    <t xml:space="preserve"> GABRIEL BOLL BERLITZ</t>
  </si>
  <si>
    <t>(51) 98033-9889</t>
  </si>
  <si>
    <t>Se mudou e relata que na residencia ja tem outra provedora de internet.</t>
  </si>
  <si>
    <t>Jessica dos Santos Kramer</t>
  </si>
  <si>
    <t>(51) 98063-3029</t>
  </si>
  <si>
    <t>Retida com mudança na data que ela iria ter que pagar o proporcionar por uso de internet.</t>
  </si>
  <si>
    <t>Pamela Barros Gelbhar</t>
  </si>
  <si>
    <t>(55) 99726-5004</t>
  </si>
  <si>
    <t>Retida com desconto na fatura e VT.</t>
  </si>
  <si>
    <t>NILMARYS DEL CARMEN CEDENO AULAR</t>
  </si>
  <si>
    <t>(95) 98400-3311</t>
  </si>
  <si>
    <t>Retida com VT para análise + 50% nos meses de abril, maio e junho.</t>
  </si>
  <si>
    <t>VALDERI MACHADO</t>
  </si>
  <si>
    <t>(51) 98424-3194</t>
  </si>
  <si>
    <t>Problemas técnicos, ofertei vt + desconto pela queda de sinal, não quis.</t>
  </si>
  <si>
    <t>MARIA HELENA DE SOUZA</t>
  </si>
  <si>
    <t xml:space="preserve"> (51) 99719-0974</t>
  </si>
  <si>
    <t xml:space="preserve"> Igrejinha - RS</t>
  </si>
  <si>
    <t>Cliente veio a óbito e os filhos desocuparam a residencia.</t>
  </si>
  <si>
    <t xml:space="preserve"> Juan da Silva Luciana</t>
  </si>
  <si>
    <t>Acordo+ ajuste de plano+ troca de vencimento</t>
  </si>
  <si>
    <t>GECI TEREZINHA DA SILVA</t>
  </si>
  <si>
    <t>Primavera</t>
  </si>
  <si>
    <t>Teve 3 visitasn recentes e o problema não foi solucionado, optou pelo cancelamento.</t>
  </si>
  <si>
    <t>ANDRESSA JULIANA BAUER HOERLLE</t>
  </si>
  <si>
    <t>(51) 99833-6249</t>
  </si>
  <si>
    <t>Retida com VT + 4 meses de 50%</t>
  </si>
  <si>
    <t>José Rocha Tavares</t>
  </si>
  <si>
    <t>(51) 98633-1645</t>
  </si>
  <si>
    <t>Troca de provedor devido a lentidão.</t>
  </si>
  <si>
    <t>Bruna Franciele Vieira de Azeredo</t>
  </si>
  <si>
    <t>(51) 99798-4846</t>
  </si>
  <si>
    <t>Denise Gomes Viegas</t>
  </si>
  <si>
    <t>Miraflores</t>
  </si>
  <si>
    <t xml:space="preserve"> RYAN KIRSCH DA SILVA</t>
  </si>
  <si>
    <t>Nossa senhora de Fátima</t>
  </si>
  <si>
    <t>Fernanda Gomes de Quadros Gonsalves</t>
  </si>
  <si>
    <t>(51) 99650-7370</t>
  </si>
  <si>
    <t>Desempregada. Ofertei suspensão temporária. Aceitou.</t>
  </si>
  <si>
    <t>JANDEISE SILVA DE MATOS</t>
  </si>
  <si>
    <t>(51) 99843-8989</t>
  </si>
  <si>
    <t>Reclama que técnicos não podem atender quando está chuvendo e alega que outras provedoras atendem, não quis ouvir propostas.</t>
  </si>
  <si>
    <t xml:space="preserve"> MAURICIO VALIM LABRES
</t>
  </si>
  <si>
    <t>PArobé</t>
  </si>
  <si>
    <t>Eliezer Alves Monteiro</t>
  </si>
  <si>
    <t>(51) 99018-2844</t>
  </si>
  <si>
    <t>Bloqueado por atraso, constatado que faturas estavam indevidas, feito ajustes, liberado sinal.</t>
  </si>
  <si>
    <t>Nova Paroé</t>
  </si>
  <si>
    <t>Visita + troca de plano</t>
  </si>
  <si>
    <t>Gislaine de Souza alves</t>
  </si>
  <si>
    <t>(51) 99285-4231</t>
  </si>
  <si>
    <t>Queria o cancelamento sem falar motivo, ofertei suspenção temporária e aceitou.</t>
  </si>
  <si>
    <t>LAERCIO JOSE WEBER</t>
  </si>
  <si>
    <t>(51) 98119-7028</t>
  </si>
  <si>
    <t xml:space="preserve">Ivoti </t>
  </si>
  <si>
    <t>Visita + desconto até final do ano</t>
  </si>
  <si>
    <t>Marco Antonio Furlanetto</t>
  </si>
  <si>
    <t>Mateus Bortolozo da Silva Farias</t>
  </si>
  <si>
    <t>(51) 98161-8736</t>
  </si>
  <si>
    <t>Cliente relata instabilidade e mais de dias sem internet, não quis ouvir ofertas.</t>
  </si>
  <si>
    <t>BRUNA BENDER DA SILVEIRA</t>
  </si>
  <si>
    <t>12370 - Leidiana Teresa Sander da Silva</t>
  </si>
  <si>
    <t>(51) 99778-0036</t>
  </si>
  <si>
    <t>Cancelamento por estar sem sinal. Formalizado acordo com vencimento em 30/03 e liberado o sinal.</t>
  </si>
  <si>
    <t>121647 - Leidiana Teresa Sander da Silva</t>
  </si>
  <si>
    <t>Agendado vt para analise + 35% de desconto nas faturas de abril, maio e junho.</t>
  </si>
  <si>
    <t>Amanda Collioni Roleto</t>
  </si>
  <si>
    <t>Insatisfação (suporte, atendimento)</t>
  </si>
  <si>
    <t>FELIPE KRUPP WAGNER</t>
  </si>
  <si>
    <t>estância Velha</t>
  </si>
  <si>
    <t>FINTEL SOLUÇÕES DE TECNOLOGIA PARA DADOS LTDA</t>
  </si>
  <si>
    <t>Estrela</t>
  </si>
  <si>
    <t>(42) 93301-9777</t>
  </si>
  <si>
    <t>Ponta Grossa - PR</t>
  </si>
  <si>
    <t>Funcionario foi desligado da empresa.</t>
  </si>
  <si>
    <t>ALEXANDRA DA CUNHA LOPES</t>
  </si>
  <si>
    <t>(51) 98654-8235</t>
  </si>
  <si>
    <t>Caixa fora em manutenção até amanhã 25/03 as 15:00 - Não quis aguardar.</t>
  </si>
  <si>
    <t>Fabiane surlemont</t>
  </si>
  <si>
    <t>(51) 98098-6612</t>
  </si>
  <si>
    <t>Solicitou cancelamento, pois não deseja pagar juros por pag em atraso, fornecido CHAVE PIX SANTANDER para pag sem juros.</t>
  </si>
  <si>
    <t>Giovanni Piccini</t>
  </si>
  <si>
    <t>(51) 98010-2119</t>
  </si>
  <si>
    <t>Alega que ninguém mais mora na casa, ofertei mudança de endereço, não aceitou. Transferência de titularidade, não aceitou.</t>
  </si>
  <si>
    <t>Adriano Adalberto Stuckmann</t>
  </si>
  <si>
    <t>(51) 98420-9867</t>
  </si>
  <si>
    <t>Questões financeiras. Pagou à vista pendências e fornecido 30% de desconto nas próximas 4 faturas.</t>
  </si>
  <si>
    <t>Elisandro Pio</t>
  </si>
  <si>
    <t>(51) 98513-8294</t>
  </si>
  <si>
    <t>Não aceitou VT para dia 27, ofertei vt para amanhã 26 e ofertei um possível encaixe, não aceitou e alega ter contratado outra provedora.</t>
  </si>
  <si>
    <t>Laura Regina Morais Espindola</t>
  </si>
  <si>
    <t>(51) 98962-4756</t>
  </si>
  <si>
    <t>Retida com VT de urgencia para o dia 27/03</t>
  </si>
  <si>
    <t xml:space="preserve"> (51) 98255-5075</t>
  </si>
  <si>
    <t>Retido com encaixe para VT.</t>
  </si>
  <si>
    <t>MARI SILVANA MARTINS JACQUES</t>
  </si>
  <si>
    <t>VANESSA CAVALHEIRO MARTINS</t>
  </si>
  <si>
    <t>Laranjeiras</t>
  </si>
  <si>
    <t>Não atendeu o tecnico e quis cancelar</t>
  </si>
  <si>
    <t xml:space="preserve"> Davi Pellisoli Junior</t>
  </si>
  <si>
    <t>Contra-oferta Algar telecom</t>
  </si>
  <si>
    <t>Raí Pereira</t>
  </si>
  <si>
    <t>Moarada do Vale 1</t>
  </si>
  <si>
    <t>Antônia Fabiana Teixeira de Sousa</t>
  </si>
  <si>
    <t>Mudança para SP</t>
  </si>
  <si>
    <t>Andressa Rocha Machado</t>
  </si>
  <si>
    <t>(51) 98129-2434</t>
  </si>
  <si>
    <t>Retida com VT para análise + 30% de desc. na 1ª fatura.</t>
  </si>
  <si>
    <t>Wagner Josiano Baraldi</t>
  </si>
  <si>
    <t>(51) 99392-1813</t>
  </si>
  <si>
    <t>Queria agendamento técnico para hoje, não sendo possível, cancelou.</t>
  </si>
  <si>
    <t>Jairo José Guimarães</t>
  </si>
  <si>
    <t>Ajuste e envio do carne</t>
  </si>
  <si>
    <t>Clenio moraes dos Santos</t>
  </si>
  <si>
    <t>Baixa nas faturas</t>
  </si>
  <si>
    <t>SANTO LEONEL SAIDLER</t>
  </si>
  <si>
    <t>Santa Terezinha</t>
  </si>
  <si>
    <t>(51) 99181-5176</t>
  </si>
  <si>
    <t>já foi retirado</t>
  </si>
  <si>
    <t>Cliente reclama da demora da visita técnica e que não vai aguardar até o próximo dia para receber técnico.</t>
  </si>
  <si>
    <t>ISAIAS MOURA DA SILVA</t>
  </si>
  <si>
    <t>08/03</t>
  </si>
  <si>
    <t>Não informou motivo</t>
  </si>
  <si>
    <t xml:space="preserve"> Selma Alice Hendz</t>
  </si>
  <si>
    <t>Vendeu a casa</t>
  </si>
  <si>
    <t>Darcimara Leal Neto</t>
  </si>
  <si>
    <t>(51) 98912-4950</t>
  </si>
  <si>
    <t>Aceitou a oferta. Retido.</t>
  </si>
  <si>
    <t>Vânia Cristina Pinto</t>
  </si>
  <si>
    <t>(51) 98289-1737</t>
  </si>
  <si>
    <t>Problemas relacionados a visita técnica</t>
  </si>
  <si>
    <t>(51) 98446-6043</t>
  </si>
  <si>
    <t>Insatisfeito com atendimento técnico, 1ª visita foi cancelada devido a chuva, 2ª visita técnico não compareceu dentro do prazo solicitado na os.</t>
  </si>
  <si>
    <t>Desconto por queda e liberado sinal.</t>
  </si>
  <si>
    <t>Diuly de Souza Gonçalves</t>
  </si>
  <si>
    <t>Michele Indiara Nunes Santos</t>
  </si>
  <si>
    <t xml:space="preserve"> (51) 99837-8484</t>
  </si>
  <si>
    <t>Retido com VT de urgencia para o dia 28/03.</t>
  </si>
  <si>
    <t>EDILSON DOS SANTOS NUNES</t>
  </si>
  <si>
    <t>Integração</t>
  </si>
  <si>
    <t xml:space="preserve"> (51) 99972-3544</t>
  </si>
  <si>
    <t>Visita não realizada no dia que o cliente queria.</t>
  </si>
  <si>
    <t>Bairro Parque dos Presidentes</t>
  </si>
  <si>
    <t>(51) 99221-2149</t>
  </si>
  <si>
    <t>Alega problemas ténicos e que sua mãe mora nesse endereço e a mesma optou por contratar outra provedora, argumentei multa fidelidade, optou por permanecer conosco</t>
  </si>
  <si>
    <t xml:space="preserve"> EVERTON JOAO PINHEIRO DA SILVEIRA</t>
  </si>
  <si>
    <t>Ilda Maria Araujo Andrade</t>
  </si>
  <si>
    <t>(51) 99967-5438</t>
  </si>
  <si>
    <t>Alega mudança de endereço para outra Cidade, não quis realizar troca de endereço.</t>
  </si>
  <si>
    <t>Kerolin Bianca dos Santos Campos</t>
  </si>
  <si>
    <t>Cliente deseja cancelamento, pois não conseguiu negociar e ter sinal habiliado. Negociei fatura para venc 31/03 e liberei seu sinal.</t>
  </si>
  <si>
    <t>121124 - Isoleide Rossi De Moraes</t>
  </si>
  <si>
    <t>(51) 98147-7256</t>
  </si>
  <si>
    <t>Motivo: Financeiro - Ofertado desconto, suspensão temporária, não aceitou. Optou pelo cancelamento.</t>
  </si>
  <si>
    <t>71351 - Isoleide Rossi De Moraes</t>
  </si>
  <si>
    <t>BEATRIZ DA COSTA CARVALHO LOPES</t>
  </si>
  <si>
    <t>(51) 99728-2328</t>
  </si>
  <si>
    <t>Fornecido 50% de desc. nas próximas 4 faturas. (Oferta fornecida antes das novas regras de desconto).</t>
  </si>
  <si>
    <t>JACY DA SILVA</t>
  </si>
  <si>
    <t>(51) 99648-4769</t>
  </si>
  <si>
    <t>Cliente solicitou cancelamento, pois estava sem sinal. Realizado liberação de sinal em confiança. Confirma pag de fatura.</t>
  </si>
  <si>
    <t>Neilor Fabio Menegotto</t>
  </si>
  <si>
    <t>(51) 99728-1573</t>
  </si>
  <si>
    <t>Pagava na oferta de R$ 59,90 por 12 meses e não aceita pagar mais caro e não quis redução do plano.</t>
  </si>
  <si>
    <t xml:space="preserve"> Daniela de Avila Machad</t>
  </si>
  <si>
    <t>Ajuste faturas</t>
  </si>
  <si>
    <t>Scarlet Shaiana da Costa Vieira</t>
  </si>
  <si>
    <t>(51) 98443-3305</t>
  </si>
  <si>
    <t>Gerado VT reincidência + 20% de desconto por 3 meses.</t>
  </si>
  <si>
    <t>Isadora gonçalves hochnadel</t>
  </si>
  <si>
    <t>(51) 99013-3334</t>
  </si>
  <si>
    <t>Mudança para outro estado, disse que não possui comprovante.</t>
  </si>
  <si>
    <t>Gerado nova vt de retenção reincidência + 20% de desc. nos próximos 3 meses.</t>
  </si>
  <si>
    <t xml:space="preserve"> Andreia Moraes dos Santo</t>
  </si>
  <si>
    <t>Recanto da Lagoa</t>
  </si>
  <si>
    <t>Somente informou que contratou outro provedor, contratou e não pagou nenhuma fatura e pediu para renegociar porque havia gastado demais, após nao pagar contratou outro provedor.</t>
  </si>
  <si>
    <t>Anderson Gilson Júnior Martins Ramiro</t>
  </si>
  <si>
    <t>(51) 98349-1729</t>
  </si>
  <si>
    <t>Retido no contrato nº 121475 - Abatido 47 dias sem sinal conforme histórico + agendamento de vt para analise do problema.</t>
  </si>
  <si>
    <t>Yasmine Buaes</t>
  </si>
  <si>
    <t>(51) 98105-0078</t>
  </si>
  <si>
    <t>Cliente de mudança para Porto Alegre, Zona Sul.</t>
  </si>
  <si>
    <t>Fornecido 15% de desconto sobre fatura de abril devido a problemas técnicos. Cliente aceitou.</t>
  </si>
  <si>
    <t>BIANCA LYZ LUCAS PADILHA</t>
  </si>
  <si>
    <t>(51) 99396-7489</t>
  </si>
  <si>
    <t>Alega problemas financeiros, mas, recursou as propostas.</t>
  </si>
  <si>
    <t>Marcelo Roding Malta</t>
  </si>
  <si>
    <t xml:space="preserve">Demora Agenda visita tecnica (visita com limitação de horario. </t>
  </si>
  <si>
    <t>Raiane Medeiros Pinheiro</t>
  </si>
  <si>
    <t>(51) 99891-3385</t>
  </si>
  <si>
    <t>vai entregar loja</t>
  </si>
  <si>
    <t xml:space="preserve">mudança sem viabilidade </t>
  </si>
  <si>
    <t>Leonardo Italo Gomes Barbosa</t>
  </si>
  <si>
    <t>Sarandi</t>
  </si>
  <si>
    <t>(51) 98171-8073</t>
  </si>
  <si>
    <t>porto alegre</t>
  </si>
  <si>
    <t>agendado</t>
  </si>
  <si>
    <t xml:space="preserve">agendou troca de endereço e não fomos no local , e não aceitou reagendar </t>
  </si>
  <si>
    <t>MARIA ALINE MORAES</t>
  </si>
  <si>
    <t>Jaqueline Buffe</t>
  </si>
  <si>
    <t>GABRIELA SILVA DOS SANTOS</t>
  </si>
  <si>
    <t>São jorge</t>
  </si>
  <si>
    <t>Não quis informar</t>
  </si>
  <si>
    <t>MAICON FERRAZ SUSIN</t>
  </si>
  <si>
    <t>HAYANNA ALVES MOTTA</t>
  </si>
  <si>
    <t>(51) 99936-9308</t>
  </si>
  <si>
    <t>Mudança de endereço para Dourados no Mato Grosso do Sul (enviou comprovante).</t>
  </si>
  <si>
    <t>Rosania Burnier de Souza</t>
  </si>
  <si>
    <t>(51) 99299-3800</t>
  </si>
  <si>
    <t>Matheus da Silva Lovato</t>
  </si>
  <si>
    <t>(51) 98521-3386</t>
  </si>
  <si>
    <t>Teve uma visita técnica e problema acabou ocorrendo novamente, reclama na demora do atendimento técnico.</t>
  </si>
  <si>
    <t>Simone Ribas Pantaleã</t>
  </si>
  <si>
    <t>Argumentação + visita</t>
  </si>
  <si>
    <t>Jorge Paulo Gonçalves Junior</t>
  </si>
  <si>
    <t>(51) 99754-6491</t>
  </si>
  <si>
    <t>150,00</t>
  </si>
  <si>
    <t>Fechou estabelecimento onde consta a internet, enviou prints onde mostram que não foi informado de fidelidade após a transferência de titularidade.</t>
  </si>
  <si>
    <t>CAMILA SERINI</t>
  </si>
  <si>
    <t>(51) 99533-0919</t>
  </si>
  <si>
    <t>Patrícia da Silva</t>
  </si>
  <si>
    <t>(51) 99011-9835</t>
  </si>
  <si>
    <t>Acordo financeiro + liberação de sinal.</t>
  </si>
  <si>
    <t xml:space="preserve"> Camille Gabriele Freitas</t>
  </si>
  <si>
    <t xml:space="preserve">Retido com ajuste de data da fatura e desconto de 23% do total, se enquandrando no limite maximo de 30% </t>
  </si>
  <si>
    <t>Rodrigo Zucatti</t>
  </si>
  <si>
    <t>(51) 99675-2206</t>
  </si>
  <si>
    <t>Insatisfação com atendimento técnico e demora no atendimento.</t>
  </si>
  <si>
    <t>Alega mudança de estado, foi informada da fidelidade e optou por aguardar o fim da fidelidade.</t>
  </si>
  <si>
    <t>Kamila Wielewiski de Azevedo</t>
  </si>
  <si>
    <t>Troca endereço</t>
  </si>
  <si>
    <t xml:space="preserve"> Gabriela Flores Facco</t>
  </si>
  <si>
    <t>Parque Espirito Santos</t>
  </si>
  <si>
    <t>Alteração de plano devido problemas financeiros</t>
  </si>
  <si>
    <t>DIENIFER OLIVEIRA DA SILVA</t>
  </si>
  <si>
    <t>Oeste</t>
  </si>
  <si>
    <t>(51) 99529-0602</t>
  </si>
  <si>
    <t>Não recebimento do carnê pela 4ª vez esse ano. Ofertado novamente carnê com a certeza que dessa vez vai chegar.</t>
  </si>
  <si>
    <t>Alega que optou por trocar para a vivo devido a problemas técnicos.</t>
  </si>
  <si>
    <t xml:space="preserve">Visita </t>
  </si>
  <si>
    <t>LAYENE NATHALIA BOTELHO MACHADO</t>
  </si>
  <si>
    <t>Bruna Becher Pion</t>
  </si>
  <si>
    <t>Courhassa</t>
  </si>
  <si>
    <t xml:space="preserve">Cliente retida ontem com visita onde o tecnico não foi, se tratava de reincidencia. Hoje entrou para cancelar novamente. </t>
  </si>
  <si>
    <t>Cátia Floriano Osorio</t>
  </si>
  <si>
    <t>Retorno do tecnico no endereç da cliente</t>
  </si>
  <si>
    <t xml:space="preserve"> Agripino Machado de Oliveira</t>
  </si>
  <si>
    <t>Cliente foi uma negociação de dias atras (antes da limitação de desconto) e devido insatisfação eu havia ofertado o desconto e cliente ficou de verificar com outros provedores e retornar, retornou e a oferta foi mantida</t>
  </si>
  <si>
    <t xml:space="preserve"> Suelen Sales Souza Alves</t>
  </si>
  <si>
    <t xml:space="preserve"> (51) 98549-856</t>
  </si>
  <si>
    <t>Troca titularidade</t>
  </si>
  <si>
    <t xml:space="preserve"> Nelci Maria Kasper Gil</t>
  </si>
  <si>
    <t>Ramon Franesmar Rosalo Da Silva</t>
  </si>
  <si>
    <t>Tamires Rodrigues de Oliveira</t>
  </si>
  <si>
    <t>GLACI TERESINHA CORNELIUS</t>
  </si>
  <si>
    <t>(51) 99795-5161</t>
  </si>
  <si>
    <t>Retida com oferta de troca de plano.</t>
  </si>
  <si>
    <t>TIMOTEO OTTO</t>
  </si>
  <si>
    <t>(51) 99601-9575</t>
  </si>
  <si>
    <t>Alega emocional abalado por ter ficado 1 semana sem internet, não quis descontos e nem uma nova vt.</t>
  </si>
  <si>
    <t>Alega problemas financeiros. Em extremo carater de excessão, formalizado novo acordo com vencimento em 10/04.</t>
  </si>
  <si>
    <t>MARILENE IZABEL DA LUZ</t>
  </si>
  <si>
    <t>(51) 99689-6135</t>
  </si>
  <si>
    <t>Entregar na loja</t>
  </si>
  <si>
    <t>Mudança de endereço devido a segurança da família, não quis suspender e mesmo com fidelidade optou pelo cancelamento.</t>
  </si>
  <si>
    <t>DAIANE PERES</t>
  </si>
  <si>
    <t>(51) 99708-8807</t>
  </si>
  <si>
    <t>Cancelamento por questões financeiros, reduzido plano para 100 mega por R$ 69,90.</t>
  </si>
  <si>
    <t>Valdemira da Silva Branco Santos</t>
  </si>
  <si>
    <t>(51) 99692-4721</t>
  </si>
  <si>
    <t>Insatisfação com o serviço prestado pela area técnica.</t>
  </si>
  <si>
    <t>Carlos Mateus CorrÃªa Rodrigues</t>
  </si>
  <si>
    <t>(51) 99632-9669</t>
  </si>
  <si>
    <t>COBRANÇA</t>
  </si>
  <si>
    <t>Neiva Silva Do Carmo</t>
  </si>
  <si>
    <t>(51) 98584-1894</t>
  </si>
  <si>
    <t>Carina Riquelme Bilhalba</t>
  </si>
  <si>
    <t>(55) 99178-5502</t>
  </si>
  <si>
    <t>Cleide Vieira de Souza</t>
  </si>
  <si>
    <t>(51) 98179-9030</t>
  </si>
  <si>
    <t>Alice da Rosa</t>
  </si>
  <si>
    <t>(51) 99378-3838</t>
  </si>
  <si>
    <t>Andrieli Aquilar Ribeiro</t>
  </si>
  <si>
    <t>(51) 99011-3830</t>
  </si>
  <si>
    <t>Brenda Alves da Silva</t>
  </si>
  <si>
    <t>(51) 99271-1586</t>
  </si>
  <si>
    <t>Franklyn Oliveira dos Santos</t>
  </si>
  <si>
    <t>(51) 98621-6140</t>
  </si>
  <si>
    <t>VitÃ³ria Machado do Amaral</t>
  </si>
  <si>
    <t>(51) 98179-5814</t>
  </si>
  <si>
    <t>ROSELAINE VIEIRA GONCALVES</t>
  </si>
  <si>
    <t>(51) 99940-6248</t>
  </si>
  <si>
    <t>Mariangela Pereira Bittencourt</t>
  </si>
  <si>
    <t>(51) 99632-3724</t>
  </si>
  <si>
    <t>Ã‰der da Silva Fortes</t>
  </si>
  <si>
    <t>(51) 98022-8308</t>
  </si>
  <si>
    <t>Guilherme Santos Carvalho</t>
  </si>
  <si>
    <t>(51) 99003-6472</t>
  </si>
  <si>
    <t>Eli da Motta Macedo</t>
  </si>
  <si>
    <t>(51) 99193-0916</t>
  </si>
  <si>
    <t>Catielem GonÃ§alves de Souza</t>
  </si>
  <si>
    <t>(51) 99948-2131</t>
  </si>
  <si>
    <t>Rafael Pinheiro Alves</t>
  </si>
  <si>
    <t>(51) 99569-1740</t>
  </si>
  <si>
    <t>JosÃ© Ricardo Alves Rodrigues</t>
  </si>
  <si>
    <t>(51) 98142-7065</t>
  </si>
  <si>
    <t>PatrÃ­cia Pope Lopes dos Santos</t>
  </si>
  <si>
    <t>(51) 98019-3377</t>
  </si>
  <si>
    <t>Paola Rodrigues da Silva</t>
  </si>
  <si>
    <t>(51) 99576-2808</t>
  </si>
  <si>
    <t>Giovana Monteiro Gerber</t>
  </si>
  <si>
    <t>(51) 98035-5142</t>
  </si>
  <si>
    <t>Franciele Tamara Martins Da Silva</t>
  </si>
  <si>
    <t>(51) 99567-0657</t>
  </si>
  <si>
    <t>Ana Paula Brum</t>
  </si>
  <si>
    <t>(51) 99690-4142</t>
  </si>
  <si>
    <t>BEATRIS DIAS DA SILVA</t>
  </si>
  <si>
    <t>(51) 99017-2197</t>
  </si>
  <si>
    <t>Francieli Ortiz da Silva</t>
  </si>
  <si>
    <t>(51) 99589-4909</t>
  </si>
  <si>
    <t>Luis Andre Machado de Souza</t>
  </si>
  <si>
    <t>Jardim VitÃ³ria</t>
  </si>
  <si>
    <t>(51) 99891-4535</t>
  </si>
  <si>
    <t>Sandro Gilberto dos Santos</t>
  </si>
  <si>
    <t>(51) 99663-7445</t>
  </si>
  <si>
    <t>Suelen Jessica de Souza Torquato</t>
  </si>
  <si>
    <t>(51) 98510-7730</t>
  </si>
  <si>
    <t>Mariane Bianchini Tormes</t>
  </si>
  <si>
    <t>(51) 98913-9455</t>
  </si>
  <si>
    <t>Paola Roberta Gomes Gomes</t>
  </si>
  <si>
    <t>(51) 99424-5829</t>
  </si>
  <si>
    <t>Maria Elizete Cardoso dos Santos</t>
  </si>
  <si>
    <t>(51) 99491-9022</t>
  </si>
  <si>
    <t>Maria Eduarda Silva dos Santos</t>
  </si>
  <si>
    <t>(51) 99286-0960</t>
  </si>
  <si>
    <t>Pedro Miguel Da Silva Crestani</t>
  </si>
  <si>
    <t>(51) 98588-9963</t>
  </si>
  <si>
    <t>Graciele dos Santos Rodrigues</t>
  </si>
  <si>
    <t>(51) 99335-0717</t>
  </si>
  <si>
    <t>Israel Batista de Oliveira</t>
  </si>
  <si>
    <t>(51) 99226-6467</t>
  </si>
  <si>
    <t>Gabriel de Moraes Godoi</t>
  </si>
  <si>
    <t>(51) 98971-1951</t>
  </si>
  <si>
    <t>Marisa Fernandes de Aguiar Fonseca</t>
  </si>
  <si>
    <t>(51) 99542-4279</t>
  </si>
  <si>
    <t>JAQUELINE MICHELE DOS SANTOS DO PRADO</t>
  </si>
  <si>
    <t>(51) 99117-5868</t>
  </si>
  <si>
    <t>JAIRO DA SILVA CANTARELLI</t>
  </si>
  <si>
    <t>(51) 99583-8708</t>
  </si>
  <si>
    <t>Fernanda Gastia Bianchini</t>
  </si>
  <si>
    <t>(51) 98103-2512</t>
  </si>
  <si>
    <t>Eliege da Silva</t>
  </si>
  <si>
    <t>(51) 98447-9345</t>
  </si>
  <si>
    <t>Luany de jesus da Silva</t>
  </si>
  <si>
    <t>JoÃ£o Clemente</t>
  </si>
  <si>
    <t>(51) 99936-8418</t>
  </si>
  <si>
    <t>iMBE</t>
  </si>
  <si>
    <t>Marcel Martins</t>
  </si>
  <si>
    <t>(51) 99669-4994</t>
  </si>
  <si>
    <t>NOVO HAMBURGO</t>
  </si>
  <si>
    <t>JOSÃ‰ MOACIR MATHIAS JUNIOR</t>
  </si>
  <si>
    <t>(51) 98918-0652</t>
  </si>
  <si>
    <t>LUIZ CASTANHO</t>
  </si>
  <si>
    <t>(51) 99687-5100</t>
  </si>
  <si>
    <t>WAGNER DOS SANTOS ERBE</t>
  </si>
  <si>
    <t>(51) 99325-1128</t>
  </si>
  <si>
    <t>Marinez ferreira</t>
  </si>
  <si>
    <t>(51) 98658-4142</t>
  </si>
  <si>
    <t>Bruno da Mota Ortiz</t>
  </si>
  <si>
    <t>(51) 99288-5260</t>
  </si>
  <si>
    <t>Marcio Reinaldo Gross</t>
  </si>
  <si>
    <t>PetrÃ³polis</t>
  </si>
  <si>
    <t>(51) 98625-5630</t>
  </si>
  <si>
    <t>TAQUARA</t>
  </si>
  <si>
    <t>Maicon Pereira Bittencourt</t>
  </si>
  <si>
    <t>(51) 99242-3230</t>
  </si>
  <si>
    <t>CLAUDIO RIBEIRO DAMER</t>
  </si>
  <si>
    <t>Vila Jardim</t>
  </si>
  <si>
    <t>(51) 98345-6639</t>
  </si>
  <si>
    <t>SAMARA VERIDIANA DIAS</t>
  </si>
  <si>
    <t>(51) 98038-4309</t>
  </si>
  <si>
    <t>GRAZIELA DA SILVA DE BORBA</t>
  </si>
  <si>
    <t>(51) 98994-0400</t>
  </si>
  <si>
    <t xml:space="preserve">JESSICA KAROLINE DA SILVA </t>
  </si>
  <si>
    <t>(51) 99823-1011</t>
  </si>
  <si>
    <t>Marilian Do Matto Menger</t>
  </si>
  <si>
    <t>(51) 99401-1087</t>
  </si>
  <si>
    <t>Cristiano Jordan Freitas</t>
  </si>
  <si>
    <t>(51) 98545-7773</t>
  </si>
  <si>
    <t>Alexandro Carvalho Maciel</t>
  </si>
  <si>
    <t>(51) 98912-3027</t>
  </si>
  <si>
    <t>Antonio de Jesus Alves</t>
  </si>
  <si>
    <t>(51) 98514-7075</t>
  </si>
  <si>
    <t>Taise maria Goulart selau</t>
  </si>
  <si>
    <t>SÃ£o Vicente</t>
  </si>
  <si>
    <t>(51) 98443-0875</t>
  </si>
  <si>
    <t>Giliam Madsen Luz Da Silva</t>
  </si>
  <si>
    <t>(51) 99728-7450</t>
  </si>
  <si>
    <t>Gabriel Mariano Bengua</t>
  </si>
  <si>
    <t>(51) 99011-8911</t>
  </si>
  <si>
    <t>NILCE EVANGELISTA DE PAULA</t>
  </si>
  <si>
    <t>(51) 99373-8632</t>
  </si>
  <si>
    <t>Gloria Judith Castro Ospina</t>
  </si>
  <si>
    <t>SÃ£o Francisco 2</t>
  </si>
  <si>
    <t>(51) 99292-5112</t>
  </si>
  <si>
    <t>Glaci Coelho Nunes</t>
  </si>
  <si>
    <t>(51) 98270-7173</t>
  </si>
  <si>
    <t>SABRINA DE FREITAS BRASIL</t>
  </si>
  <si>
    <t>(51) 99187-8382</t>
  </si>
  <si>
    <t>Francielle Nunes da Cunha</t>
  </si>
  <si>
    <t>(51) 99498-4041</t>
  </si>
  <si>
    <t>Iliane Terezinha SimÃµes Mendes</t>
  </si>
  <si>
    <t>(51) 98940-9721</t>
  </si>
  <si>
    <t>Danilo Couto Luz</t>
  </si>
  <si>
    <t>(51) 98527-2433</t>
  </si>
  <si>
    <t>Alanda de Jesus Mota</t>
  </si>
  <si>
    <t>(51) 99778-5117</t>
  </si>
  <si>
    <t>Marcelo Santos Muniz</t>
  </si>
  <si>
    <t>(51) 98512-1433</t>
  </si>
  <si>
    <t>Daniela Silva Lara</t>
  </si>
  <si>
    <t>(51) 99689-9843</t>
  </si>
  <si>
    <t>Simone Fanfa Otharan</t>
  </si>
  <si>
    <t>(48) 99197-4875</t>
  </si>
  <si>
    <t>VitÃ³ria de Macedo dos Santos</t>
  </si>
  <si>
    <t>(51) 98013-7958</t>
  </si>
  <si>
    <t>Mireli Rodrigues da Silva</t>
  </si>
  <si>
    <t>(51) 99576-0522</t>
  </si>
  <si>
    <t>Luiz Carlos Santos Lima</t>
  </si>
  <si>
    <t>(55) 99936-3463</t>
  </si>
  <si>
    <t>Bruno Gabriel da Costa</t>
  </si>
  <si>
    <t>(51) 98253-6479</t>
  </si>
  <si>
    <t>Thaiany Michelle Morais Link</t>
  </si>
  <si>
    <t>(51) 99684-5245</t>
  </si>
  <si>
    <t>Gabriel Muniz Perez</t>
  </si>
  <si>
    <t>(55) 99620-9817</t>
  </si>
  <si>
    <t>Vanderlei da Silva</t>
  </si>
  <si>
    <t>(51) 98467-0879</t>
  </si>
  <si>
    <t>PatrÃ­cia Silva da Silva</t>
  </si>
  <si>
    <t>(51) 99982-2081</t>
  </si>
  <si>
    <t>Gabriel Bergental Costa</t>
  </si>
  <si>
    <t>(51) 99707-5988</t>
  </si>
  <si>
    <t>NELSON DA COSTA</t>
  </si>
  <si>
    <t>UniÃ£o</t>
  </si>
  <si>
    <t>(51) 98207-6210</t>
  </si>
  <si>
    <t>Roselaine Da Silva Gomes</t>
  </si>
  <si>
    <t>(51) 98659-4111</t>
  </si>
  <si>
    <t>Daniel cavalheiro Amaro</t>
  </si>
  <si>
    <t>(51) 99342-3215</t>
  </si>
  <si>
    <t>Cristiane Soares da Silva</t>
  </si>
  <si>
    <t>(51) 98111-1316</t>
  </si>
  <si>
    <t>FRANCIELE STEFANI PADILHA</t>
  </si>
  <si>
    <t>(51) 98196-5971</t>
  </si>
  <si>
    <t>Marcos Antonio Dorneles da Silva</t>
  </si>
  <si>
    <t>Ponta PorÃ£</t>
  </si>
  <si>
    <t>(51) 98062-0506</t>
  </si>
  <si>
    <t>Jorge Luis Viana de Lima</t>
  </si>
  <si>
    <t>(51) 99262-7218</t>
  </si>
  <si>
    <t>Amanda Nunes AlcarÃ¡s Gubert</t>
  </si>
  <si>
    <t>(51) 99551-6373</t>
  </si>
  <si>
    <t>Aline Piquitita dos Santos</t>
  </si>
  <si>
    <t>(51) 98933-5626</t>
  </si>
  <si>
    <t>Luiz Henrique Peres Rosa</t>
  </si>
  <si>
    <t>(51) 99990-7530</t>
  </si>
  <si>
    <t>Claudio Vinicius Ramos da Rosa</t>
  </si>
  <si>
    <t>(51) 99118-1121</t>
  </si>
  <si>
    <t>Isaura Maria Rodrigues</t>
  </si>
  <si>
    <t>(51) 99503-2848</t>
  </si>
  <si>
    <t>Vitor Mateus Soares dos Santos</t>
  </si>
  <si>
    <t>(51) 99391-4483</t>
  </si>
  <si>
    <t>Maria Aparecida Muller da Silva</t>
  </si>
  <si>
    <t>cruzeiro do sul</t>
  </si>
  <si>
    <t>(51) 99486-5920</t>
  </si>
  <si>
    <t>VitÃ³ria Gabriela Guedes da Silva</t>
  </si>
  <si>
    <t>(51) 98610-3197</t>
  </si>
  <si>
    <t>Cristina da Silva reinheimer</t>
  </si>
  <si>
    <t>(51) 98108-0637</t>
  </si>
  <si>
    <t>LuÃ­s Roberto Assis de Souza</t>
  </si>
  <si>
    <t>(51) 98566-2395</t>
  </si>
  <si>
    <t>Paola VitorÃ­a de Souza Finott</t>
  </si>
  <si>
    <t>(51) 99368-6126</t>
  </si>
  <si>
    <t>JosÃ© Arthur Ramos Gomes</t>
  </si>
  <si>
    <t>(51) 99514-5145</t>
  </si>
  <si>
    <t>Maria Cristina Machado Gomes</t>
  </si>
  <si>
    <t>(51) 98934-4139</t>
  </si>
  <si>
    <t>Maria Eduarda da Silva Pereira</t>
  </si>
  <si>
    <t>(51) 99851-3503</t>
  </si>
  <si>
    <t>Jonathan Giovanni Vieira Janes</t>
  </si>
  <si>
    <t>(51) 99378-7140</t>
  </si>
  <si>
    <t>Ana Luiza Garcia da Silva</t>
  </si>
  <si>
    <t>(51) 99001-2276</t>
  </si>
  <si>
    <t>Emerson Lima Machado</t>
  </si>
  <si>
    <t>(51) 98515-8020</t>
  </si>
  <si>
    <t>Catiane Pujol De Souza</t>
  </si>
  <si>
    <t>(51) 99206-2756</t>
  </si>
  <si>
    <t>Juraci da Costa de Castro</t>
  </si>
  <si>
    <t>(51) 99778-1764</t>
  </si>
  <si>
    <t>NatÃ¡lia Santos dos Reis</t>
  </si>
  <si>
    <t>(51) 98610-0111</t>
  </si>
  <si>
    <t>PatrÃ­cia Meireles Cavalheiro</t>
  </si>
  <si>
    <t>(51) 98414-1676</t>
  </si>
  <si>
    <t>IGOR HENRIQUE FONSECA LARREIA</t>
  </si>
  <si>
    <t>(51) 98014-4681</t>
  </si>
  <si>
    <t>Maria Eva dos Santos Baum</t>
  </si>
  <si>
    <t>(51) 99109-6282</t>
  </si>
  <si>
    <t>Jessica Teixeira da Rosa</t>
  </si>
  <si>
    <t>(51) 99597-6539</t>
  </si>
  <si>
    <t>Michelle Helena Luiz</t>
  </si>
  <si>
    <t>(51) 98115-5163</t>
  </si>
  <si>
    <t>Andreia dos Santos da Silva</t>
  </si>
  <si>
    <t>(51) 99745-8241</t>
  </si>
  <si>
    <t xml:space="preserve"> Rodrigo Fedatto Cabral</t>
  </si>
  <si>
    <t>Entregue em loja</t>
  </si>
  <si>
    <t>Se mudou para magisterio</t>
  </si>
  <si>
    <t>LAURO BENDER</t>
  </si>
  <si>
    <t>(51) 99904-0406</t>
  </si>
  <si>
    <t>Cliente retido com VT marcada para dia 02/04</t>
  </si>
  <si>
    <t>(54) 98141-9931</t>
  </si>
  <si>
    <t xml:space="preserve">Cliente com oferta de 12 meses, acabou e ofertei renovação por 6 e cliente não aceitou. Culpou o governo devido aos impostos. </t>
  </si>
  <si>
    <t xml:space="preserve"> (51) 98659-9829</t>
  </si>
  <si>
    <t>Cliente retida com uma visita de urgencia para segunda dia 06/04.</t>
  </si>
  <si>
    <t>(51) 99128-0632</t>
  </si>
  <si>
    <t>VT com urgência + 20% desc. por 2 meses.</t>
  </si>
  <si>
    <t>Ricardo Braga Ramos</t>
  </si>
  <si>
    <t>(51) 98120-0677</t>
  </si>
  <si>
    <t>Gerado de VT de urgência para atendimento, cliente aceitou.</t>
  </si>
  <si>
    <t>FEVEREIRO</t>
  </si>
  <si>
    <t>02/02</t>
  </si>
  <si>
    <t>Marcelo Ott Rosa</t>
  </si>
  <si>
    <t xml:space="preserve"> (51) 99693-0619</t>
  </si>
  <si>
    <t xml:space="preserve">Tramandai </t>
  </si>
  <si>
    <t>02/02/2026</t>
  </si>
  <si>
    <t xml:space="preserve">Sem viabilidade, se trata de condominio e precisa de caixa interna. </t>
  </si>
  <si>
    <t>JOSE BRAULIO TEIXEIRA</t>
  </si>
  <si>
    <t>(51) 99806-8532</t>
  </si>
  <si>
    <t>24/03/2026</t>
  </si>
  <si>
    <t xml:space="preserve">Cliente informa que se separou e não tem previsão de utilizar serviço novamente </t>
  </si>
  <si>
    <t>NATALIA MARGARETE DA SILVA</t>
  </si>
  <si>
    <t>(51) 99918-7055</t>
  </si>
  <si>
    <t xml:space="preserve">Cliente se mudou para o interior, sem interesse em troca de endereço e sem novo morador na sua atual casa. 
Sem valor e sem retirada. 
</t>
  </si>
  <si>
    <t>CRISTIANO DOS REIS</t>
  </si>
  <si>
    <t>(51)996846429</t>
  </si>
  <si>
    <t>23/03/2026</t>
  </si>
  <si>
    <t>Quedas de conexão constantes</t>
  </si>
  <si>
    <t>SOELI RITTER</t>
  </si>
  <si>
    <t>São Luiz</t>
  </si>
  <si>
    <t xml:space="preserve"> (51) 99642-2418</t>
  </si>
  <si>
    <t>Sem Retirada</t>
  </si>
  <si>
    <t xml:space="preserve">Vendeu a casa e o inquilo não quis continuar devido a qualidade, cliente via rádio... Sem valor e sem retirada. </t>
  </si>
  <si>
    <t>Maximiliano Job</t>
  </si>
  <si>
    <t xml:space="preserve"> (51) 98424-0122</t>
  </si>
  <si>
    <t>06/02/2026</t>
  </si>
  <si>
    <t>vendeu a casa na praia, ofertado o bloqueio porque falou que iria contratar depois, não quis e solicitou o cancelamento</t>
  </si>
  <si>
    <t>Lucas Gabriel Martins Cardoso</t>
  </si>
  <si>
    <t>(51) 99175-9922</t>
  </si>
  <si>
    <t>04/02/2026</t>
  </si>
  <si>
    <t xml:space="preserve">Mudança para Santa catarina. </t>
  </si>
  <si>
    <t>Daiane Arezi Ferreira</t>
  </si>
  <si>
    <t xml:space="preserve"> (51) 99319-7668</t>
  </si>
  <si>
    <t xml:space="preserve">Cliente alegou diversos atendimentos sem resolução, não aceitou que enviasse uma equipe para resolver o problema. </t>
  </si>
  <si>
    <t>Patricia da Silva Cardoso</t>
  </si>
  <si>
    <t>(51) 98596-4020</t>
  </si>
  <si>
    <t>Muriel Walcher da Silva Guaranha</t>
  </si>
  <si>
    <t>(51)997424704</t>
  </si>
  <si>
    <t>não atendeu</t>
  </si>
  <si>
    <t>Tatiana Fernandes de Souza</t>
  </si>
  <si>
    <t>(51)996316015</t>
  </si>
  <si>
    <t xml:space="preserve">Apenas informou que contratou outro provedor. </t>
  </si>
  <si>
    <t>Cliente informa se mudou para local que já possui outro provedor</t>
  </si>
  <si>
    <t>GRACE KELLY DE MEDEIROS</t>
  </si>
  <si>
    <t>(51) 99571-3324</t>
  </si>
  <si>
    <t>Atendiemento demorado e falta de visita tecnica para solucionar quedas conexão</t>
  </si>
  <si>
    <t>Thais Da Silva Carvalho</t>
  </si>
  <si>
    <t>(51)993248923</t>
  </si>
  <si>
    <t>11/02/2026</t>
  </si>
  <si>
    <t xml:space="preserve">Cancelamentro devido mudança de endereço </t>
  </si>
  <si>
    <t xml:space="preserve"> GLAURA POHLMANN SANTOS MUNHOZ</t>
  </si>
  <si>
    <t xml:space="preserve">Cliente se mudou para cidade flores da cunha, informou que não vai ficar ninguém em sua antiga casa. </t>
  </si>
  <si>
    <t xml:space="preserve">       Leandro Rodrigo Gonçalves</t>
  </si>
  <si>
    <t>(51) 99206-9102</t>
  </si>
  <si>
    <t xml:space="preserve">Demora na visita, cliente com problemas recorrentes e não tinha vagas. Conseguido um encaixe. </t>
  </si>
  <si>
    <t>GABRIELA CAROLINA DA SILVA</t>
  </si>
  <si>
    <t>(51) 99901-6909</t>
  </si>
  <si>
    <t xml:space="preserve">Demora na agenda, cliente ficou sem conexão após bloqueio, demora no atendimento e também para visita. Conseguido encaixe e cliente aceitou com 50% por 3 meses. </t>
  </si>
  <si>
    <t>Cliente alega quedas e velocidade de 300mb por 109,90 ofertei plano 570 mb por 99,90 e visita tecnica aceitou</t>
  </si>
  <si>
    <t>DANIELA ISIDORO</t>
  </si>
  <si>
    <t>(51) 99518-9818</t>
  </si>
  <si>
    <t xml:space="preserve">Devido valor do plano cobrado errado, fiz ajuste </t>
  </si>
  <si>
    <t>03/02</t>
  </si>
  <si>
    <t>CARLA DAIANE SCHLINDWEIN</t>
  </si>
  <si>
    <t xml:space="preserve">Cliente via-rádio com a ponteira queimada, foi informado para a cliente que não teríamos o que fazer para realizar a manutenção e reestabelecer sua conexão, houve uma chance de migração para FTTC, mas a cliente não aceitou. </t>
  </si>
  <si>
    <t>JAIR SOARES</t>
  </si>
  <si>
    <t>10/02</t>
  </si>
  <si>
    <t xml:space="preserve">Cliente alegou estar sempre sem conexão e teve interesse total em cancelar, voltando a um provedor mais próximo da sua região com o suporte mais ágil. </t>
  </si>
  <si>
    <t xml:space="preserve"> JANETE APARECIDA LUIZ</t>
  </si>
  <si>
    <t xml:space="preserve">Cliente estava com problemas em sua conexão e entrou em contato com o suporte e informou isso e pediu aumento de plano, suporte não questionou o motivo e o que estava acontecendo, cliente alterou o plano e o problema persistiu e por isso ela quis cancelar.
</t>
  </si>
  <si>
    <t xml:space="preserve"> GENESIO FIDENCIO DE OLIVEIRA</t>
  </si>
  <si>
    <t xml:space="preserve">Cliente se mudou para um endereço que não temos viabilidade no endereço. </t>
  </si>
  <si>
    <t>Marlon Ribeiro Pereira</t>
  </si>
  <si>
    <t xml:space="preserve"> (51) 99129-6460</t>
  </si>
  <si>
    <t xml:space="preserve">Alegou mudança para outro estado, solicitado endereço e se negou a passar porque já havia internet em novo endereço. </t>
  </si>
  <si>
    <t>RUDINEI KLEINSCHMITT</t>
  </si>
  <si>
    <t>(51)997458261</t>
  </si>
  <si>
    <t>Cliente alega mudança de endereço, ofertei troca de titularidade disse que casa vai ficar vazia</t>
  </si>
  <si>
    <t>Antônio Augusto Fialho</t>
  </si>
  <si>
    <t>(51)981812671</t>
  </si>
  <si>
    <t xml:space="preserve">Trocou de provedor devido a quedas. Ja esta com outroprovedor instalado </t>
  </si>
  <si>
    <t>DILCEU RODRIGUES FERREIRA</t>
  </si>
  <si>
    <t>(51) 98102-8322</t>
  </si>
  <si>
    <t>Pede cancelamento devido a quedas oferei visita argumentei tempo de cliente</t>
  </si>
  <si>
    <t>EROLTILDES WITT RODRIGUES</t>
  </si>
  <si>
    <t>09/02/2026</t>
  </si>
  <si>
    <t xml:space="preserve">Quedas constantes,preferiu trocar de provedor. </t>
  </si>
  <si>
    <t xml:space="preserve"> LEANI DA SILVA</t>
  </si>
  <si>
    <t>Cliente quis cancelar porque vai se mudar para Sapiranga, foi ofertado para ela para podermos  realizar uma troca de endereço e cliente informou morar com mais pessoa e não era de interesse mutuo continuar conosco.</t>
  </si>
  <si>
    <t>CLAUDETE SILVEIRA DA ROSA</t>
  </si>
  <si>
    <t xml:space="preserve">Quedas constantes/Cliente cancelou por conta de diversos problemas em sua conexão, optou por conta de alterar seu plano e isso não solucionou porque era uma problema técnico, com a troca de plano e sem resolução do problema ela preferiu cancelar, foi informado sobre que o problema era técnico e cliente não aceitou. </t>
  </si>
  <si>
    <t>GRASIELA DOS SANTOS MACHADO</t>
  </si>
  <si>
    <t xml:space="preserve">Quedas constantes. </t>
  </si>
  <si>
    <t>VASCOCIVITAS EMPREENDIMENTOS IMOBILIÁRIOS LTDA</t>
  </si>
  <si>
    <t>Cedic</t>
  </si>
  <si>
    <t>(51)999385062</t>
  </si>
  <si>
    <t>Cliente informa que esta sem sinal, ocorre visita e não soluciona questão, ja contratou outro provedor</t>
  </si>
  <si>
    <t>Keila Silveira Ferreir</t>
  </si>
  <si>
    <t>(51) 98904-8431</t>
  </si>
  <si>
    <t xml:space="preserve">Cancelamento Lucas/ Cancelado por não termos viabilidade em seu novo endereço, </t>
  </si>
  <si>
    <t>LUCIANO MENDES DA SILVEIRA</t>
  </si>
  <si>
    <t xml:space="preserve">Cliente solicitou o cancelamento devido a mudança, não aceitou realizar uma troca de endereço. Não há interesse. </t>
  </si>
  <si>
    <t xml:space="preserve"> NELDE MAAS</t>
  </si>
  <si>
    <t xml:space="preserve">visita não realizada/ Cliente cancelou porque precisava de manutenção, técnico não foi ao endereço no dia agendado e o setor de agendamento não chamou para reagendar. 
Sem multa ou pro-rata. </t>
  </si>
  <si>
    <t>JOISE WIEDERKEHR</t>
  </si>
  <si>
    <t>Cardoso</t>
  </si>
  <si>
    <t xml:space="preserve">Quedas constantes/ teve manutenções e sempre apresentou o mesmo problema. </t>
  </si>
  <si>
    <t>Nei de Souza Barbosa</t>
  </si>
  <si>
    <t xml:space="preserve">Cliente entrou em contato solicitando o bloqueio de 6 meses, foi verificado todo o histórico e nunca fez bloqueio, fez menção de cancelar o que já era um desejo antigo e por isso foi aberto essa exceção e bloqueado por 6 meses. </t>
  </si>
  <si>
    <t xml:space="preserve">Cliente insatisfeita com diversas quedas, foi acordado uma visita e revisão completa da sua instalação e 50% de desconto por 1 mês. </t>
  </si>
  <si>
    <t>Bruno Silveira de Borb</t>
  </si>
  <si>
    <t>(51) 98213-4610</t>
  </si>
  <si>
    <t xml:space="preserve">Cliente ligou querendo cancelar devido a não terem dado baixa em seu pagamento, já havia sido bloqueado e enviou o comprovante, não deram baixa e foi bloqueado novamente, dei baixa e alterei os boletos para o sicoob para não ocorrer mais e também uma troca de data de vencimento. </t>
  </si>
  <si>
    <t xml:space="preserve"> Epitacio Bueno Pereira</t>
  </si>
  <si>
    <t>Jardim do prado</t>
  </si>
  <si>
    <t xml:space="preserve">Cliente teve desconto em suas faturas de 30% por 4 meses, o sistema gerou faturas errada e ele pagou o valor proporcional e quis cancelar porque havia gerado errado, explicado e ajustado no sistema. </t>
  </si>
  <si>
    <t>Karem Carboni</t>
  </si>
  <si>
    <t>(51) 99904-9498</t>
  </si>
  <si>
    <t>cliente pede cancelamento informei multa fidelidade de R$ 458,34 trocou para plano 100 mb por 69,90</t>
  </si>
  <si>
    <t>Aline Alves da Silva</t>
  </si>
  <si>
    <t xml:space="preserve">Cliente quis cancelar devido a limitação de horario, suporte entendeu que só poderia receebr até as 15:30 e depois a cliente explicou que poderia após as 15:30, feito isso conseguimos um encaixe para o dia 03/02 no turno da tarde. </t>
  </si>
  <si>
    <t>Marcelino Mello Oliveira</t>
  </si>
  <si>
    <t>Vila Carlos Antônio Wilkens</t>
  </si>
  <si>
    <t>(51) 98502-6965</t>
  </si>
  <si>
    <t>cliente retido com reagendamento visita loss e atualziação endereço que estava errado após mudança de endereço</t>
  </si>
  <si>
    <t>Joici Barboza da Rosa</t>
  </si>
  <si>
    <t>(51) 98683-1830</t>
  </si>
  <si>
    <t xml:space="preserve">Retido pelo Lucas/ isenção de fatura e visita técnica. </t>
  </si>
  <si>
    <t xml:space="preserve"> (51) 99952-1671</t>
  </si>
  <si>
    <t xml:space="preserve">Retido pelo Lucas/ Argumentação devido oferta de outro provedor. </t>
  </si>
  <si>
    <t xml:space="preserve"> DARLEI FERREIRA</t>
  </si>
  <si>
    <t>Problemas na conexão</t>
  </si>
  <si>
    <t>Jalda Vera de Oliveira</t>
  </si>
  <si>
    <t xml:space="preserve">Morada do Vale </t>
  </si>
  <si>
    <t>11/02</t>
  </si>
  <si>
    <t xml:space="preserve">Quedas constantes em horarios especificos. </t>
  </si>
  <si>
    <t>MARIA ELENA DIAS DE OLIVEIRA</t>
  </si>
  <si>
    <t>Alegou não precisar mais da conexão</t>
  </si>
  <si>
    <t>ANA PAULA DO NASCIMENTO LOPES</t>
  </si>
  <si>
    <t>09/02</t>
  </si>
  <si>
    <t xml:space="preserve">Quedas, sem sinal. </t>
  </si>
  <si>
    <t>Sergio Eduardo Lacerda Martins</t>
  </si>
  <si>
    <t>(51) 98940-6765</t>
  </si>
  <si>
    <t>Quedas constantes de sinal</t>
  </si>
  <si>
    <t>ROSEMARI DE OLIVEIRA DA FONTOURA</t>
  </si>
  <si>
    <t>(51) 98992-6263</t>
  </si>
  <si>
    <t>JOAO ALBERI FIUZA</t>
  </si>
  <si>
    <t>(51) 99172-9520</t>
  </si>
  <si>
    <t>16/02</t>
  </si>
  <si>
    <t xml:space="preserve"> Sandra Goulart</t>
  </si>
  <si>
    <t xml:space="preserve">Problemas na conexão. </t>
  </si>
  <si>
    <t>Cachoeriinha</t>
  </si>
  <si>
    <t>Retido com um encaixe</t>
  </si>
  <si>
    <t>Troca de endereço rede parceira.</t>
  </si>
  <si>
    <t>CEZIO LEOBORA</t>
  </si>
  <si>
    <t xml:space="preserve">Cliente solicitou o cancelamento porque estava sem sinal, alegou problemas de serviço recorrentes, ofertei uma revisão na sua instalação completa e 50% off por 1 mês. </t>
  </si>
  <si>
    <t>Douglas Gabriel Prado da Rosa</t>
  </si>
  <si>
    <t>Isento fatura.</t>
  </si>
  <si>
    <t>LORENI TEREZINHA DO AMARAL PIMENTEL</t>
  </si>
  <si>
    <t xml:space="preserve">Jardins </t>
  </si>
  <si>
    <t xml:space="preserve">Quis cancelar porque ficou sem conexão 16H, foi retido com visita. </t>
  </si>
  <si>
    <t xml:space="preserve"> Jessica Almada de Andrade</t>
  </si>
  <si>
    <t>(51) 98968-5585</t>
  </si>
  <si>
    <t xml:space="preserve">visita não realizada, conseguido enviar tecnico. </t>
  </si>
  <si>
    <t>Ana Paula Vieira</t>
  </si>
  <si>
    <t>Cliente quis cancelar pq desde a instalação não bateu velocidade, enviado tecnico para revisão</t>
  </si>
  <si>
    <t>05/02</t>
  </si>
  <si>
    <t>ROSELAINE MORBENE BECKER</t>
  </si>
  <si>
    <t>(51) 99359-2850</t>
  </si>
  <si>
    <t xml:space="preserve">Cliente havia sido retida, problema na CTO FTTC que não voltou e por estar a 4 dias sem conexão e não ser solucionado quis cancelar. </t>
  </si>
  <si>
    <t xml:space="preserve"> LUCILENE MARIA DA CRUZ EBERHARDT</t>
  </si>
  <si>
    <t xml:space="preserve">Demora no prazo e atendimento. </t>
  </si>
  <si>
    <t>ELIAKIM FREDES ORESTES</t>
  </si>
  <si>
    <t>(53) 99708-4351</t>
  </si>
  <si>
    <t>Problemas constante de oscilação no sinal</t>
  </si>
  <si>
    <t>Pamela Gonçalves da Costa</t>
  </si>
  <si>
    <t>(51) 99408-8143</t>
  </si>
  <si>
    <t>Alega problemas de oscilação e troca de opeadora</t>
  </si>
  <si>
    <t>Dercilei Solano dos Santos</t>
  </si>
  <si>
    <t>(51) 99887-0858</t>
  </si>
  <si>
    <t xml:space="preserve">Cliente trocou de operadora por lentidão mas nunca abriu uma OS de Suporte.  Não aceitou retenção por já ter instalado a VIVO. </t>
  </si>
  <si>
    <t>CLAUDEMIR INACIO KRONBAUER</t>
  </si>
  <si>
    <t>(51) 98585-7599</t>
  </si>
  <si>
    <t>Cliente trocou de opedora, por ter ficado 7 dias sem sinal</t>
  </si>
  <si>
    <t>DEBORA BRIZOLA DILL</t>
  </si>
  <si>
    <t>(51) 99591-1059</t>
  </si>
  <si>
    <t>Novo endereço já possuí conexão</t>
  </si>
  <si>
    <t>Jéssica Shaiane Dornelles da Rosa Santo</t>
  </si>
  <si>
    <t>(51) 99568-5877</t>
  </si>
  <si>
    <t>Mudança de endereço para CEP não cabeado</t>
  </si>
  <si>
    <t>NELSON CLEBIS ROSA DE LARA</t>
  </si>
  <si>
    <t>Roselândia</t>
  </si>
  <si>
    <t>(51) 99761-4127</t>
  </si>
  <si>
    <t>Mudança de endereço para CEP não cabeado. Cidade de Erval Seco</t>
  </si>
  <si>
    <t xml:space="preserve"> LC LOJA CIÇA LTDA</t>
  </si>
  <si>
    <t>FELIPE DA ROSA</t>
  </si>
  <si>
    <t>Retido com visita e 4 meses 50% OF</t>
  </si>
  <si>
    <t>Patrícia Soares Talovitz</t>
  </si>
  <si>
    <t>(51) 99010-7591</t>
  </si>
  <si>
    <t>Cliente retido com mudança de endereço sem taxa</t>
  </si>
  <si>
    <t>VERONICA DA LUZ BOTELHO</t>
  </si>
  <si>
    <t xml:space="preserve">Bloqueio temporario 4 meses. </t>
  </si>
  <si>
    <t>JAIR DE LIMA DA SILVA</t>
  </si>
  <si>
    <t>DIEHL</t>
  </si>
  <si>
    <t>(51) 99838-8963</t>
  </si>
  <si>
    <t>Alega problemas financeiros. Retido com 50% de desc por 6 meses</t>
  </si>
  <si>
    <t>Marco Antônio Lago da Silva</t>
  </si>
  <si>
    <t xml:space="preserve">Quis cancelar por mal atendimento e por ter manteção e ficar sem sinal, retido com visita e isenção. </t>
  </si>
  <si>
    <t>Marina Silva de Almeida</t>
  </si>
  <si>
    <t>(51) 98268-0077</t>
  </si>
  <si>
    <t>Lentidão e cobranças frequentes indevidas</t>
  </si>
  <si>
    <t>Dyego Barrero Azevedo</t>
  </si>
  <si>
    <t>Mudança sem interesse na troca</t>
  </si>
  <si>
    <t>JAIR ALESSANDRO SCHONS</t>
  </si>
  <si>
    <t>Tarciso Da Rosa</t>
  </si>
  <si>
    <t>Monte Belo</t>
  </si>
  <si>
    <t>Alega problemas frequentes no sinal, está convicto da sua decisão e já contratou outra operadora</t>
  </si>
  <si>
    <t>ROVANI ROMEI KLEI</t>
  </si>
  <si>
    <t>(51) 98460-1298</t>
  </si>
  <si>
    <t>Problemas em sua conexão, alegou que teve que comprar um aaprelho</t>
  </si>
  <si>
    <t>RENATA QUEIROZ BONES</t>
  </si>
  <si>
    <t>Rio dos Sainos</t>
  </si>
  <si>
    <t>Mora em um apartamento alugado, terá que devolver e está se mudando para o interior.</t>
  </si>
  <si>
    <t>LADEMIR ASSUNCAO MARTINS</t>
  </si>
  <si>
    <t xml:space="preserve">Se mudou para um endereço sem viabilidade. </t>
  </si>
  <si>
    <t>Arlete de Vargas Santos</t>
  </si>
  <si>
    <t>Atendimento muito demorado da área técnica e que seu filho já contratou outra operadora para ela.</t>
  </si>
  <si>
    <t>CLARICE REGINA WELTER SCHALLENBERGER</t>
  </si>
  <si>
    <t>Alega viagem para fora do País, ninguém ficará na residência.</t>
  </si>
  <si>
    <t>ELIZANDRA DE ALMEIDA CRUZ</t>
  </si>
  <si>
    <t>Não quis abrir detalhes, apenas alegou motivos pessoais.</t>
  </si>
  <si>
    <t>CRISTIANE CLARICE MILBRADT SCHMENGLER</t>
  </si>
  <si>
    <t>Alega motivos pessoais.</t>
  </si>
  <si>
    <t>Vila Carlos Wilkens</t>
  </si>
  <si>
    <t xml:space="preserve"> Maria Oglaci Lopes do Amaral</t>
  </si>
  <si>
    <t>(55) 51860-1384</t>
  </si>
  <si>
    <t>SIMONE WAGNER</t>
  </si>
  <si>
    <t>cliente não quis enviar o novo endereço</t>
  </si>
  <si>
    <t>EDILA LOLITA DA SILVA</t>
  </si>
  <si>
    <t xml:space="preserve">Irmão foi morar com ela e levou o provedor que já tinha. </t>
  </si>
  <si>
    <t>Brenda Hiasmin Bortollo</t>
  </si>
  <si>
    <t>Campo BeloLago AzulLago Azul</t>
  </si>
  <si>
    <t>(51) 98655-7778</t>
  </si>
  <si>
    <t>Retido com visita e 50% OFF na próxima fatura</t>
  </si>
  <si>
    <t xml:space="preserve">Cliente teve visita e depois do tecnico sair ficou LOS, solicitou cancelamento e quando foi atendida o tecnico já havai retornado, não quis mais cancelar. </t>
  </si>
  <si>
    <t>DARLEI FERREIRA</t>
  </si>
  <si>
    <t>Cliente com problema técnico reincidente, retido com visita que não resolveu problema.</t>
  </si>
  <si>
    <t>Cliente retida com visita técnica de urgência para análise do problema reincidente.</t>
  </si>
  <si>
    <t>ELEN PAMELA DUARTE</t>
  </si>
  <si>
    <t>Visita+isenção</t>
  </si>
  <si>
    <t>Ariane da Rosa Bernardin</t>
  </si>
  <si>
    <t>Retido com 30% de desconto nas faturas de março, abril e maio</t>
  </si>
  <si>
    <t>Roseli Teresinha Krás da Silva</t>
  </si>
  <si>
    <t>Retida com mudança de endereço sem taxa e 59,90 por 12 meses</t>
  </si>
  <si>
    <t>Vitória Carolina Dias Pinheiro</t>
  </si>
  <si>
    <t xml:space="preserve">Quis cancelar porque achou que não tinhamos rede em taquara, troca de endereço e isenção da taxa foi usado para reter a cliente. </t>
  </si>
  <si>
    <t>07/02</t>
  </si>
  <si>
    <t>ADELIRA MARIA BRUTSCHER SCHONBERGER</t>
  </si>
  <si>
    <t xml:space="preserve">Retido com argumentação e visita. </t>
  </si>
  <si>
    <t>MARIA NUNES DUARTE MACHADO</t>
  </si>
  <si>
    <t>Se mudou para o Paraná</t>
  </si>
  <si>
    <t>JULIANE DE MELLO DA SILVEIRA</t>
  </si>
  <si>
    <t xml:space="preserve">Cliente teve diversas manutenções, técnico ia e falava que o problema era no poste. Foi passado para a infra e a infra passava para o tecnico de campo, deixamos a cliente 17 dias sem conexão. </t>
  </si>
  <si>
    <t>GRAZIELA DE VARGA</t>
  </si>
  <si>
    <t>Quedas frequentes</t>
  </si>
  <si>
    <t>ANDREA MIRANDA SERRAO</t>
  </si>
  <si>
    <t xml:space="preserve">Alega estar indo embora de Novo Hamburgo, ofereci mudança de endereço, transferência de titiularidade, sem sucesso. </t>
  </si>
  <si>
    <t>Marcolino de Fraga Message</t>
  </si>
  <si>
    <t xml:space="preserve">Cliente vai se mudar para a praia. </t>
  </si>
  <si>
    <t>JOAREZ TADEU WICIENSKI</t>
  </si>
  <si>
    <t>Arroio do Sol</t>
  </si>
  <si>
    <t>Em janeiro pago R$ 99,90 sendo que seu plano é de R$ 49,90. Realizado ajustes e cancelado fatura de fevereiro.</t>
  </si>
  <si>
    <t>Tais dos Santos Ebertz</t>
  </si>
  <si>
    <t xml:space="preserve">Cliente estava deprovisionada, falado com o NOC e ajustado. </t>
  </si>
  <si>
    <t>KATIELLEN DE AVILA</t>
  </si>
  <si>
    <t xml:space="preserve">Cliente cancelou devido a não resolução do suporte técnico em seus atendimentos. </t>
  </si>
  <si>
    <t>Marli de Oliveira Massaia</t>
  </si>
  <si>
    <t>Várias semanas com lentidão na internet</t>
  </si>
  <si>
    <t>CELSO ALVES</t>
  </si>
  <si>
    <t>Vôo Livre</t>
  </si>
  <si>
    <t xml:space="preserve">Sapiranga </t>
  </si>
  <si>
    <t xml:space="preserve">Cliente via rádio com problemas em sua conexão, decidiu cancelar. </t>
  </si>
  <si>
    <t>Vitor Garcia Teixeira</t>
  </si>
  <si>
    <t>Trocou para vivo</t>
  </si>
  <si>
    <t>ARLETE VARGAS DE OLIVEIRA</t>
  </si>
  <si>
    <t>(51) 99880-1468</t>
  </si>
  <si>
    <t>CARLOS SOARES MARTINS</t>
  </si>
  <si>
    <t>(51) 99522-1448</t>
  </si>
  <si>
    <t>Mudança de endereço para CEP, já possuí conexão no novo endereço.</t>
  </si>
  <si>
    <t>REINALDO MARQUES DE SOUZA</t>
  </si>
  <si>
    <t>Demora no atendimento e problemas de conexão.</t>
  </si>
  <si>
    <t>Igrejnha</t>
  </si>
  <si>
    <t>Retida com isenção da fatura de fevereiro + Visita tecnica com encaixe</t>
  </si>
  <si>
    <t>MAURICIO RAMOS CORREA</t>
  </si>
  <si>
    <t>Alega mudança de cidade, casa alugada, irá devolver.</t>
  </si>
  <si>
    <t>ROSA CLAUDETE CAMARGO</t>
  </si>
  <si>
    <t>(51) 99661-4738</t>
  </si>
  <si>
    <t>Sem sinal.</t>
  </si>
  <si>
    <t>VERA REGINA DOS SANTOS MORAES</t>
  </si>
  <si>
    <t xml:space="preserve"> (51) 99697-9432</t>
  </si>
  <si>
    <t>Alegou que vai se mudar para o interior</t>
  </si>
  <si>
    <t>Cliente queria cancelar devido a rompimento, sinal reestabelecido e 50% de desconto</t>
  </si>
  <si>
    <t>MARCELO FELIPE SEVERO DAMIANI</t>
  </si>
  <si>
    <t>(51) 99352-6346</t>
  </si>
  <si>
    <t>Mudança de endereço para CEP não cabeado (interior)</t>
  </si>
  <si>
    <t>ROBERTO FRANZMANN</t>
  </si>
  <si>
    <t>(51) 99690-8676</t>
  </si>
  <si>
    <t>Julia Santiago Custódio</t>
  </si>
  <si>
    <t>(51) 99764-4463</t>
  </si>
  <si>
    <t xml:space="preserve"> MARIVANIA ANTUNES DA SILVA</t>
  </si>
  <si>
    <t>Maria de Fátima Goulart</t>
  </si>
  <si>
    <t>Retida c/ visita para 14/02 e desconto de 50% na fatura de fevereiro devido a problemas técnicos</t>
  </si>
  <si>
    <t>Andrei Gomes Dutra</t>
  </si>
  <si>
    <t xml:space="preserve">Sem sinal por causa de sinal alto, cliente subiu e vai ser agendado visita. </t>
  </si>
  <si>
    <t>PATRICK MOURA DA SILVA</t>
  </si>
  <si>
    <t>(51) 99628-6764</t>
  </si>
  <si>
    <t>Mudança de endeço e novo endereço já tem Fênix internet.</t>
  </si>
  <si>
    <t>Juliane Almeida Maine</t>
  </si>
  <si>
    <t>Retida com visita tecnica com urgência e reincidencia</t>
  </si>
  <si>
    <t>Iara Macêdonio da Silva</t>
  </si>
  <si>
    <t>Alega que seu neto que mora com ela, é técnico da concorrente e instalou a internet na casa.</t>
  </si>
  <si>
    <t>Renata de Souza Maia</t>
  </si>
  <si>
    <t>Não mora mais no local</t>
  </si>
  <si>
    <t>ELAINE DOS SANTOS</t>
  </si>
  <si>
    <t xml:space="preserve"> São Jorge</t>
  </si>
  <si>
    <t>(51) 98037-1306</t>
  </si>
  <si>
    <t>Rivelino Teixeira</t>
  </si>
  <si>
    <t>(51) 99892-3598</t>
  </si>
  <si>
    <t xml:space="preserve"> ELIZANDRA SOARES DE SOUZA</t>
  </si>
  <si>
    <t>Retdio revisão e 5 meses de 50% com desconto</t>
  </si>
  <si>
    <t>ANA MARA RODRIGUES</t>
  </si>
  <si>
    <t>Ira entregar loja e deseja cancelamento.</t>
  </si>
  <si>
    <t>Dilce Clarice Silveira da Silva</t>
  </si>
  <si>
    <t>(51) 98597-6799</t>
  </si>
  <si>
    <t>Retida com desconto em fatura por 6 meses de R$ 89,90 por R$ 59,90</t>
  </si>
  <si>
    <t xml:space="preserve">Retido com suporte + 50% de desconto na próxima fatura </t>
  </si>
  <si>
    <t>Sílvio Henrique Teixeira Soare</t>
  </si>
  <si>
    <t>BECO DO DÉRCIO</t>
  </si>
  <si>
    <t>GRAVATAÍ</t>
  </si>
  <si>
    <t>Mudança para endereço não cabeado.</t>
  </si>
  <si>
    <t>FLAVIA CATIANE MULLER</t>
  </si>
  <si>
    <t>Não quis especificar o motivo, apenas disse deseja cancelar .</t>
  </si>
  <si>
    <t>Amanda Lemos da Silva Verissimo</t>
  </si>
  <si>
    <t>vila fátima</t>
  </si>
  <si>
    <t>cachoeirinha</t>
  </si>
  <si>
    <t>Retida com VT com urgência</t>
  </si>
  <si>
    <t xml:space="preserve">Cliente havia sido retida com 16h DOWN  conseguimos encaixe com ajuda do comercial, depois informou que contratou outra, expliquei sobre SLA e o que fizemos nenhum outro provedor vai fazer e cliente quis cancelar, não teve intervenção tecnica e o sinal subiu e cliente não enviou os dados para cancelar. </t>
  </si>
  <si>
    <t xml:space="preserve"> NAIR FERREIRA MACHADO</t>
  </si>
  <si>
    <t xml:space="preserve">Perdeu a confiança na empresa devido a promessas não cumpridas. </t>
  </si>
  <si>
    <t>SHIRLEI TERESINHA MARTINS</t>
  </si>
  <si>
    <t>lago azul</t>
  </si>
  <si>
    <t>Problemas técnicos e fcou muito insatisfeita quando causou problemas com o trabalho dos filhos na escola e optou por trocar de opedoradora.</t>
  </si>
  <si>
    <t>Elsa Salete Monteiro</t>
  </si>
  <si>
    <t>parque ipiranga</t>
  </si>
  <si>
    <t>Mudança de endereço para a casa da filha, onde já possui internet.</t>
  </si>
  <si>
    <t>ACPM ASSOCIACAO CIRCULO DE PAIS E MESTRES DA ESCOLA</t>
  </si>
  <si>
    <t>24/02</t>
  </si>
  <si>
    <t xml:space="preserve">Encerrou atividade da escola e contrato com a prefeitura. </t>
  </si>
  <si>
    <t>AGENOR DOS SANTOS</t>
  </si>
  <si>
    <t xml:space="preserve"> (51) 99737-6079</t>
  </si>
  <si>
    <t>Garces Ortiz</t>
  </si>
  <si>
    <t>Chacará das Rosas</t>
  </si>
  <si>
    <t>Mudança para outro estado</t>
  </si>
  <si>
    <t>Kelly Vitória Rodrigues dos Santos</t>
  </si>
  <si>
    <t>VILA NOVA</t>
  </si>
  <si>
    <t>RETIDA C/ MUDANÇA DE ENDEREÇO SEM COBRANÇA DE TAXA</t>
  </si>
  <si>
    <t>LUIS KOCHHANN</t>
  </si>
  <si>
    <t xml:space="preserve">Problema com sua conxão, contratou outro provedor. </t>
  </si>
  <si>
    <t>Talissa Gabrielli da Silva HorÃ¡cio</t>
  </si>
  <si>
    <t>(51) 99243-6014</t>
  </si>
  <si>
    <t>90 + INADIMPLÊNCIA</t>
  </si>
  <si>
    <t>Bruna Ravazzoli Frutuoso</t>
  </si>
  <si>
    <t>(51) 99172-3024</t>
  </si>
  <si>
    <t>NEUSA KRAY DOS SANTOS</t>
  </si>
  <si>
    <t>(51) 99273-3492</t>
  </si>
  <si>
    <t>Internet lenta - FTTC + roteador fast num plano de 570 mb = Trocou pra claro.</t>
  </si>
  <si>
    <t>Priscila Giele Pereira</t>
  </si>
  <si>
    <t xml:space="preserve">Sem viabilidade. </t>
  </si>
  <si>
    <t xml:space="preserve">Foi retida e agora está sendo cancelado porque o tecnico não foi na visita. Não foi cumprido o combinado. </t>
  </si>
  <si>
    <t>SHEILA BRIZOLA HOFFELDER HAAG</t>
  </si>
  <si>
    <t>(51) 99956-3801</t>
  </si>
  <si>
    <t xml:space="preserve">Cliente queria cancelar ou reduzir as faturas, dei R$20 de desconto pelos próximos 12 meses no plano dela de 570 MB. </t>
  </si>
  <si>
    <t>NEURI ANTONIO DALLA CORTE</t>
  </si>
  <si>
    <t>(51) 99714-9958</t>
  </si>
  <si>
    <t xml:space="preserve">Cleonice Siqueira da Cruz </t>
  </si>
  <si>
    <t xml:space="preserve">Não vai fazer mais uso. </t>
  </si>
  <si>
    <t>MICHELE FERNANDA NARCIZO</t>
  </si>
  <si>
    <t>17/02</t>
  </si>
  <si>
    <t xml:space="preserve">Alegou que a internet não funciona. </t>
  </si>
  <si>
    <t>MARCOS WASCHBURGER</t>
  </si>
  <si>
    <t xml:space="preserve">Desconto. </t>
  </si>
  <si>
    <t>VERA REGINA MACHADO</t>
  </si>
  <si>
    <t>Canudos Marisol</t>
  </si>
  <si>
    <t>(51) 99609-6127</t>
  </si>
  <si>
    <t>Mudança de endereço, já possuí conexão no novo endereço.</t>
  </si>
  <si>
    <t>JOANA MARIA DE MORAES</t>
  </si>
  <si>
    <t xml:space="preserve">Não quis informar motivo real da situação, mesmo eu quesitonando. </t>
  </si>
  <si>
    <t>RUBEM ENCARNAÇÃO DOS SANTOS</t>
  </si>
  <si>
    <t xml:space="preserve">Cliente via rádio com problemas da tecnologia, cancelou e vai contratar uma empresa com fibra. </t>
  </si>
  <si>
    <t>ELOI MENDES DE BORBA</t>
  </si>
  <si>
    <t>RETIDO COM VT DE ENCAIXE E 20% DE DESCONTO NA FATURA DE FEVEREIRO</t>
  </si>
  <si>
    <t>NOEMI TERESINHA AZEREDO DA SILVA</t>
  </si>
  <si>
    <t>Alega que já havia pedido cancelamento, não quis especificar o real motivo, apenas disse que quando precisar de novo, entra em contato, que por agora não quer mais.</t>
  </si>
  <si>
    <t>Carmen Rosane Dos Santos Abreu</t>
  </si>
  <si>
    <t xml:space="preserve">Mudança para o interior. </t>
  </si>
  <si>
    <t>NILVA JACOBSEN DA SILVA</t>
  </si>
  <si>
    <t>jardim do bosque</t>
  </si>
  <si>
    <t>Mudança para area não cabeada. Interior</t>
  </si>
  <si>
    <t>Claudia Santos Musa</t>
  </si>
  <si>
    <t>mudança de endereço s/ taxa c/ renovação de fidelidade</t>
  </si>
  <si>
    <t>VERA LUCIA FORTES</t>
  </si>
  <si>
    <t>IMIGRANTE</t>
  </si>
  <si>
    <t>CAMPO BOM</t>
  </si>
  <si>
    <t>Cliente rádio c/ 4 mega, recebeu oferta para fibra de concorrente.</t>
  </si>
  <si>
    <t>SUELI GOULART</t>
  </si>
  <si>
    <t>(48) 99800-9897</t>
  </si>
  <si>
    <t>Trocou de provedor insatisfeita com as quedas e lentidão.</t>
  </si>
  <si>
    <t>DEBORA THAIS PUHL KUNZLER</t>
  </si>
  <si>
    <t>HAMBURGO VELHO</t>
  </si>
  <si>
    <t>Cliente cancelou devido a problemas no FTTC que se tornaram frequentes.</t>
  </si>
  <si>
    <t>Wanderlei Bennemann dos Santos</t>
  </si>
  <si>
    <t>(51) 99983-3411</t>
  </si>
  <si>
    <t>Entregou em loja</t>
  </si>
  <si>
    <t>Cliente vendeu o imóvel e novo endereço não tem cobertura - SC.</t>
  </si>
  <si>
    <t>KETLYN ADRIANA PEREIRA</t>
  </si>
  <si>
    <t xml:space="preserve">Cliente alega mudança de endereço. </t>
  </si>
  <si>
    <t>Rosane de Fátima Honório Rodrigue</t>
  </si>
  <si>
    <t>Santo afonso</t>
  </si>
  <si>
    <t xml:space="preserve">Cliente com 3 faturas em aberto e o setor de cobrança passou para o cancelamento, cliente alegou que nunca fez uso e eles disseram que nenhuma fatura é devida, não sendo 90+. </t>
  </si>
  <si>
    <t>CRISTIANE BARBOSA</t>
  </si>
  <si>
    <t>(51) 99609-8335</t>
  </si>
  <si>
    <t>Cliente Los - consegui suporte para o dia seguinte e apliquei 50% de desconto nas próximas 2 mensalidades.</t>
  </si>
  <si>
    <t>OZELIA MARQUES DA SILVA</t>
  </si>
  <si>
    <t xml:space="preserve">Sem sinal, informou que foi negado manutenção e contratou outro provedor. </t>
  </si>
  <si>
    <t>DAVID DANIEL DA ROSA</t>
  </si>
  <si>
    <t>Cebtenario</t>
  </si>
  <si>
    <t xml:space="preserve">Cliente via rádio. </t>
  </si>
  <si>
    <t>Antonio Claro Rodrigues do Amaral</t>
  </si>
  <si>
    <t>VILA ANAIR</t>
  </si>
  <si>
    <t>RETIDO COM R$ 59,90 POR 12 MESES</t>
  </si>
  <si>
    <t>Maria Eduarda Moreira Paes</t>
  </si>
  <si>
    <t>EMANCIPAÇÃO</t>
  </si>
  <si>
    <t>RETIDA COM VT ENCAIXE PARA 11/02 TURNO TARDE</t>
  </si>
  <si>
    <t>Lucas Rodrigues</t>
  </si>
  <si>
    <t>(51) 99999-9999</t>
  </si>
  <si>
    <t>JoÃ£o AntÃ´nio da Silva</t>
  </si>
  <si>
    <t>(51) 99533-6665</t>
  </si>
  <si>
    <t>Rosane de FÃ¡tima HonÃ³rio Rodrigues</t>
  </si>
  <si>
    <t>(51) 99750-7093</t>
  </si>
  <si>
    <t>Felipe Costa Da Silva pinto</t>
  </si>
  <si>
    <t>(51) 99482-9361</t>
  </si>
  <si>
    <t>ANDRE LOUREIRA ALVES</t>
  </si>
  <si>
    <t>(51) 99227-1656</t>
  </si>
  <si>
    <t>Kauane Victoria Da Silva</t>
  </si>
  <si>
    <t>(51) 99526-3467</t>
  </si>
  <si>
    <t>Bruno de Souza Santos</t>
  </si>
  <si>
    <t>(51) 99723-3960</t>
  </si>
  <si>
    <t>Carolina Fraga Fernandes</t>
  </si>
  <si>
    <t>(51) 99179-1117</t>
  </si>
  <si>
    <t>Daiane Ernesto GuimarÃ£es</t>
  </si>
  <si>
    <t>(51) 98070-7503</t>
  </si>
  <si>
    <t>Kelvin Cristiano Brechsler Borsekowski</t>
  </si>
  <si>
    <t>(51) 99527-3783</t>
  </si>
  <si>
    <t>PATRICIA ESTEVAM</t>
  </si>
  <si>
    <t>(51) 99882-7501</t>
  </si>
  <si>
    <t>Thaynan Alves Oliveira</t>
  </si>
  <si>
    <t>(63) 99281-5744</t>
  </si>
  <si>
    <t>Marcel moraes Lopes</t>
  </si>
  <si>
    <t>(51) 98194-0439</t>
  </si>
  <si>
    <t>Carina Harsteln Pereira</t>
  </si>
  <si>
    <t>(51) 99165-5560</t>
  </si>
  <si>
    <t>Daniel Alves</t>
  </si>
  <si>
    <t>(51) 99487-8511</t>
  </si>
  <si>
    <t>Adrielle Luzardo dos Santos Teixeira</t>
  </si>
  <si>
    <t>(51) 98432-1174</t>
  </si>
  <si>
    <t>EDERSON ROSA</t>
  </si>
  <si>
    <t>(51) 99506-6751</t>
  </si>
  <si>
    <t>RAFAEL MAGALHAES DE OLIVEIRA</t>
  </si>
  <si>
    <t>(51) 99285-8579</t>
  </si>
  <si>
    <t>Fernanda Vargas Kittelmann</t>
  </si>
  <si>
    <t>(51) 98147-2934</t>
  </si>
  <si>
    <t>Herick Marllon Bernardo Klein</t>
  </si>
  <si>
    <t>(51) 98455-4302</t>
  </si>
  <si>
    <t>JOAO CLAIR MALLMANN</t>
  </si>
  <si>
    <t>(51) 99172-7668</t>
  </si>
  <si>
    <t>Josselaine Ferreira da Silva</t>
  </si>
  <si>
    <t>(51) 99605-5204</t>
  </si>
  <si>
    <t>PatrÃ­cia GonÃ§alves da Cruz</t>
  </si>
  <si>
    <t>(51) 98174-3650</t>
  </si>
  <si>
    <t>ELIZABETE SANTOS DOS SANTOS</t>
  </si>
  <si>
    <t>(54) 99223-0065</t>
  </si>
  <si>
    <t>EDERSON DA CUNHA</t>
  </si>
  <si>
    <t>(51) 98147-3204</t>
  </si>
  <si>
    <t>KEVEN LUCAS DA CUNHA CARDOZO</t>
  </si>
  <si>
    <t>Padre Reus</t>
  </si>
  <si>
    <t>(51) 98528-1986</t>
  </si>
  <si>
    <t>CÃ©sar Augusto da Silva Flores</t>
  </si>
  <si>
    <t>(51) 99241-1540</t>
  </si>
  <si>
    <t>Marlon Louzada Trindade</t>
  </si>
  <si>
    <t>(51) 99623-4891</t>
  </si>
  <si>
    <t>Cristiano Machado Barcelos</t>
  </si>
  <si>
    <t>(51) 98538-5930</t>
  </si>
  <si>
    <t>Davi Reck Mayer</t>
  </si>
  <si>
    <t>(51) 98563-0569</t>
  </si>
  <si>
    <t>PALMIRA DE DEUS PIRES</t>
  </si>
  <si>
    <t>(51) 99693-2637</t>
  </si>
  <si>
    <t>OSMILDA MARIA WISSMANN</t>
  </si>
  <si>
    <t>(51) 99644-1682</t>
  </si>
  <si>
    <t>ANTONIA DE OLIVEIRA VIANA</t>
  </si>
  <si>
    <t>(51) 98429-7852</t>
  </si>
  <si>
    <t>JOEL LUIZ DA SILVEIRA</t>
  </si>
  <si>
    <t>Lira</t>
  </si>
  <si>
    <t>(51) 98250-0859</t>
  </si>
  <si>
    <t>NADIA OLIVEIRA BARROS WAGNER</t>
  </si>
  <si>
    <t>(51) 99512-1621</t>
  </si>
  <si>
    <t>ELIEL MACHADO DE OLIVEIRA</t>
  </si>
  <si>
    <t>(51) 99748-3431</t>
  </si>
  <si>
    <t>CAMILA AZEREDO DA SILVA</t>
  </si>
  <si>
    <t>(51) 99939-9128</t>
  </si>
  <si>
    <t>VALDIR SILVEIRA RAMOS</t>
  </si>
  <si>
    <t>(51) 99894-5659</t>
  </si>
  <si>
    <t>MAICON DA SILVA PINHEIRO</t>
  </si>
  <si>
    <t>(51) 99300-1747</t>
  </si>
  <si>
    <t>Gilmar GonÃ§alves dos Santos</t>
  </si>
  <si>
    <t>CHÃCARA DO LEÃƒO</t>
  </si>
  <si>
    <t>(51) 99686-1027</t>
  </si>
  <si>
    <t>JOSUE MEDEIROS</t>
  </si>
  <si>
    <t>(51) 99949-3435</t>
  </si>
  <si>
    <t>MARILISE TIRK</t>
  </si>
  <si>
    <t>(51) 99797-9665</t>
  </si>
  <si>
    <t>Quedas constantes - principalmente nos finais de semana.</t>
  </si>
  <si>
    <t>Grasielli de Oliveira Miranda</t>
  </si>
  <si>
    <t xml:space="preserve">Pai da titular que utililava a conexão, tinha dois serviços e preferiu. </t>
  </si>
  <si>
    <t>Flavio da Silva</t>
  </si>
  <si>
    <t>(51) 98581-1140</t>
  </si>
  <si>
    <t>Retido com suporte + 50% de desconto nas próximas 2 mensalidades + R$10 de desconto nos próximos 12 meses para renovar a fidelidade.</t>
  </si>
  <si>
    <t>Christian Giacomelli</t>
  </si>
  <si>
    <t>Imbuí</t>
  </si>
  <si>
    <t>Retido com encaixe</t>
  </si>
  <si>
    <t>(51) 99630-1648</t>
  </si>
  <si>
    <t>TIAGO GOTTARDI RIGOTTI</t>
  </si>
  <si>
    <t>Rosas</t>
  </si>
  <si>
    <t xml:space="preserve">Visita ocorreu fora do combinado, alega o cliente. </t>
  </si>
  <si>
    <t>MARIZANE ROSA</t>
  </si>
  <si>
    <t>Colina do Leão</t>
  </si>
  <si>
    <t>(51) 99865-1476</t>
  </si>
  <si>
    <t>Problemas financeiros - Já tinha o plano reduzido.</t>
  </si>
  <si>
    <t>JANETE DA SILVA</t>
  </si>
  <si>
    <t>(51) 98933-3601</t>
  </si>
  <si>
    <t>Filha trocou de provedor para testar outro. Não aceitou retenção.</t>
  </si>
  <si>
    <t>CINTIA ROSA DE OLIVEIRA</t>
  </si>
  <si>
    <t>XV de Junho</t>
  </si>
  <si>
    <t>(51) 99716-5485</t>
  </si>
  <si>
    <t>Cliente com visitas frequentes para solução do problema técnico, diz estar cansada de ficar sem internet e sempre ter que pedir um técnico.</t>
  </si>
  <si>
    <t xml:space="preserve"> Evelin Back Noguei</t>
  </si>
  <si>
    <t>Moradas</t>
  </si>
  <si>
    <t xml:space="preserve">Cliente quis cancelar </t>
  </si>
  <si>
    <t>EDI NOACK WEIMER</t>
  </si>
  <si>
    <t>(51) 99532-7323</t>
  </si>
  <si>
    <t>Cliente alega que trocou de provedor devido a problemas de conexão.</t>
  </si>
  <si>
    <t>Rosane Marilei de Aguiar</t>
  </si>
  <si>
    <t>(51) 99781-6597</t>
  </si>
  <si>
    <t>Retida com desconto de R$ 20,00 reais nas próximas 3 faturas: março, abril e maio</t>
  </si>
  <si>
    <t>NARA ELIZ OLIVEIRA LORD</t>
  </si>
  <si>
    <t>(51) 92000-8033</t>
  </si>
  <si>
    <t>Retida com desconto de R$ 30,00 reais pelos próximos 6 meses: Fevereiro a Julho</t>
  </si>
  <si>
    <t>Evelin Back Nogueira</t>
  </si>
  <si>
    <t xml:space="preserve">Cliente com problemas para conectar o wi-fi na TV, queria cancelar porque em outro provedor não acontecia, foi ofertado cabear tudo, identifiquei algumas configurações pendentes no roteador e ajustei, cliente não respondeu mais sobre cancelar e nem minha mensagem após dias. </t>
  </si>
  <si>
    <t>VANESSA DA SILVA</t>
  </si>
  <si>
    <t>(51) 99392-1580</t>
  </si>
  <si>
    <t>Vai trocar de operadora. Vai contratar de uma provedora de Taquara.</t>
  </si>
  <si>
    <t>ROSA MARIA LOPES DE MATTOS</t>
  </si>
  <si>
    <t>(51) 98162-5901</t>
  </si>
  <si>
    <t>Não temos cobertura pra fibra.</t>
  </si>
  <si>
    <t xml:space="preserve">Parque Granja Esperança </t>
  </si>
  <si>
    <t>SILMAR BERTOLINO KIEVEL</t>
  </si>
  <si>
    <t>(51) 99508-1023</t>
  </si>
  <si>
    <t>Quedas e oscilações.</t>
  </si>
  <si>
    <t>ALINE MARIN</t>
  </si>
  <si>
    <t>(51) 99797-1893</t>
  </si>
  <si>
    <t>Quedas, oscilações e cobranças indevidas.</t>
  </si>
  <si>
    <t>ELIANE DE SOUZA MARTINS</t>
  </si>
  <si>
    <t>(51) 98949-7549</t>
  </si>
  <si>
    <t>Mudança de endereço para CEP não cabeado.</t>
  </si>
  <si>
    <t>Vagner Jesus Nonnemacher</t>
  </si>
  <si>
    <t xml:space="preserve">Fechou estabelecimento. </t>
  </si>
  <si>
    <t>IVANETE LOURENÇO ZANETTI</t>
  </si>
  <si>
    <t>(51) 98939-9324</t>
  </si>
  <si>
    <t>Sem sinal - CTO Los e cliente não quer esperar, contratou outra operadora.</t>
  </si>
  <si>
    <t>ROMILDO DA ROSA FISCHER</t>
  </si>
  <si>
    <t>Retido com troca de plano para 570 mega c/ oferta por 12 meses de R$ 89,90.</t>
  </si>
  <si>
    <t>Fabiana Marques Alves da Costa</t>
  </si>
  <si>
    <t>(51) 98508-2238</t>
  </si>
  <si>
    <t>Retida com visita técnica com urgência para 12/02/2026</t>
  </si>
  <si>
    <t xml:space="preserve"> TERESINHA NUNES DA FONSECA</t>
  </si>
  <si>
    <t xml:space="preserve">Fechou escritorio e por esse motivo precisa cancelar. </t>
  </si>
  <si>
    <t xml:space="preserve"> SONIA DENISE ROMANO JACOBS</t>
  </si>
  <si>
    <t>Quedas e sem sinal FTTC</t>
  </si>
  <si>
    <t>JOAO PASTORIZZ</t>
  </si>
  <si>
    <t xml:space="preserve">Perdeu a confiança na empresa por não ter material e não cumprir com o prometido. </t>
  </si>
  <si>
    <t>Rodrigo Riffatti de Oliveira</t>
  </si>
  <si>
    <t>(51) 99930-2268</t>
  </si>
  <si>
    <t>Sem internet e sem agenda verificação da rede antes de sábado após as 18h.</t>
  </si>
  <si>
    <t>Rosane Souza Teixeira</t>
  </si>
  <si>
    <t>(51) 98492-7611</t>
  </si>
  <si>
    <t>Cliente ciente da multa fidelidade, disse que irá retornar em outro momento para formalizar cancelamento</t>
  </si>
  <si>
    <t>ARIEL CARLOS ANGELI</t>
  </si>
  <si>
    <t>Retido com visita técnica para análise do problema.</t>
  </si>
  <si>
    <t>Isento fatura janeiro</t>
  </si>
  <si>
    <t>12/02</t>
  </si>
  <si>
    <t>DANIELA VIERA FOSS</t>
  </si>
  <si>
    <t xml:space="preserve"> (51) 99869-7434</t>
  </si>
  <si>
    <t>Já possui conexão no novo endereço.</t>
  </si>
  <si>
    <t>BRYAN LUCAS MACHADO DE MESQUITA</t>
  </si>
  <si>
    <t xml:space="preserve">30% off 6 meses. </t>
  </si>
  <si>
    <t>DIEGO BONATO SANTOS</t>
  </si>
  <si>
    <t>(51) 99361-1346</t>
  </si>
  <si>
    <t xml:space="preserve">Sem sinal. </t>
  </si>
  <si>
    <t>MARIA SELOI MOURA DOS SANTOS</t>
  </si>
  <si>
    <t>Acácias</t>
  </si>
  <si>
    <t>(51) 99882-1129</t>
  </si>
  <si>
    <t>19/02</t>
  </si>
  <si>
    <t>Lentidão e oscilação e o técnico não aparece para resolver.</t>
  </si>
  <si>
    <t>ANA JOSIE FRIEDRICH</t>
  </si>
  <si>
    <t>(51) 99147-3231</t>
  </si>
  <si>
    <t>Retida com vt de reinicidencia com urgência</t>
  </si>
  <si>
    <t xml:space="preserve"> CESAR ADRIANO SCHNEIDER</t>
  </si>
  <si>
    <t xml:space="preserve">Cliente FTTC 100 mega recebeu proposta da concorrente para fibra e 800 mega, impossibilitando qualquer negociação com oferta maior que 800 mega ou próximo. </t>
  </si>
  <si>
    <t>BRANCA TEODOLINDA AFFONSO</t>
  </si>
  <si>
    <t>Juarez Junior Kempfer de Fraga</t>
  </si>
  <si>
    <t>(51) 99431-7137</t>
  </si>
  <si>
    <t>Se mudou, na casa onde foi morar já foi alugado com plano de internet.</t>
  </si>
  <si>
    <t>Claucea Suane Menezes Faria</t>
  </si>
  <si>
    <t>(51) 98521-9265</t>
  </si>
  <si>
    <t>Insatisfação com o atendimento no geral.</t>
  </si>
  <si>
    <t>Andreia Beatriz dos Santos</t>
  </si>
  <si>
    <t>(51) 98014-6547</t>
  </si>
  <si>
    <t>Retido com visita.</t>
  </si>
  <si>
    <t xml:space="preserve"> Rui Santos Chagas Júnior
</t>
  </si>
  <si>
    <t xml:space="preserve">Vila Princesa Isabel </t>
  </si>
  <si>
    <t>Retido com isenção e 50% 3 meses</t>
  </si>
  <si>
    <t>Luana Fortes dos Santos</t>
  </si>
  <si>
    <t>(51) 99855-4736</t>
  </si>
  <si>
    <t>Cristiane Ferrão da Silva</t>
  </si>
  <si>
    <t>(51) 99011-7452</t>
  </si>
  <si>
    <t>Retida com instalação de segundo modem + 50% de desconto nos 3 primeiros meses, após R$ 99,90 c/ 570 mega.</t>
  </si>
  <si>
    <t>THAIS ISABEL DE OLIVEIRA</t>
  </si>
  <si>
    <t>(51) 99138-4919</t>
  </si>
  <si>
    <t xml:space="preserve">Cliente reclama do atendimento técnico, da ausência de sinal, da frequencias de técnicos sem solução. </t>
  </si>
  <si>
    <t>13/02</t>
  </si>
  <si>
    <t>Geni dos Santos Pereira</t>
  </si>
  <si>
    <t>25/02</t>
  </si>
  <si>
    <t xml:space="preserve">Alegou mal atendimento da I.A e não tinha vaga para o mesmo dia. </t>
  </si>
  <si>
    <t xml:space="preserve"> ADEL FERNANDES GONCALVES DOS SANTOS</t>
  </si>
  <si>
    <t xml:space="preserve"> Alisson da Silveira Lopes Bidinoto</t>
  </si>
  <si>
    <t>(51) 99773-4692</t>
  </si>
  <si>
    <t>Cliente trabalha em um provedor e ganhou internet.</t>
  </si>
  <si>
    <t>Erinéia Beatriz Ruivo</t>
  </si>
  <si>
    <t>(51) 99258-4911</t>
  </si>
  <si>
    <t>Canoas - RS</t>
  </si>
  <si>
    <t>Sem sinal, cliente via rádio. Não aceitou visita técnica.</t>
  </si>
  <si>
    <t>Jenifer Bastos da Silva</t>
  </si>
  <si>
    <t>(51) 99151-8082</t>
  </si>
  <si>
    <t>Retida com visita técnica para troca do equipamento com urgência.</t>
  </si>
  <si>
    <t>Camila Borba da Cunha</t>
  </si>
  <si>
    <t>(51) 98424-5808</t>
  </si>
  <si>
    <t>Insastifação c/ o atendimento</t>
  </si>
  <si>
    <t>Kevin Alves da Silva</t>
  </si>
  <si>
    <t>(51) 98424-6003</t>
  </si>
  <si>
    <t>Cliente pediu cancelamento pq vai se mudar, informei do bloqueio na hora do cancelamento, desistiu, irá retornar + para frente</t>
  </si>
  <si>
    <t>Kalebe Teixeira Raphaelli</t>
  </si>
  <si>
    <t>(51) 99243-4318</t>
  </si>
  <si>
    <t>Irá entregar ponto, possui 3 contratos e devido a isso não consegue realizar mudança de endereço.</t>
  </si>
  <si>
    <t>Retido com suporte + 50% de desconto nas próximas 3 faturas.</t>
  </si>
  <si>
    <t>Enildo dos Santos</t>
  </si>
  <si>
    <t>(51) 98636-1936</t>
  </si>
  <si>
    <t>IVACI TERESINHA CERUTTI</t>
  </si>
  <si>
    <t xml:space="preserve">Argumentação. </t>
  </si>
  <si>
    <t>Simone Terezinha Lorenzi de Souza</t>
  </si>
  <si>
    <t xml:space="preserve">Costa Ipiranga </t>
  </si>
  <si>
    <t>Mariane Maiara Tavares Barbosa</t>
  </si>
  <si>
    <t>(51) 99459-3485</t>
  </si>
  <si>
    <t>Retida com vt para troca do modem com urgência.</t>
  </si>
  <si>
    <t>DANIELLE N FURUSHO ESTETICA LTDA ME</t>
  </si>
  <si>
    <t>(51) 99527-5763</t>
  </si>
  <si>
    <t xml:space="preserve">Cliente fechou o estabelecimento e não vai mais precisar da conexão. </t>
  </si>
  <si>
    <t>Michelle Santiago</t>
  </si>
  <si>
    <t>(51) 99298-6035</t>
  </si>
  <si>
    <t>Pediu cancelamento, porém, técnico chegou e arrumou o problema</t>
  </si>
  <si>
    <t>Indianara Maria Silva Da Silva</t>
  </si>
  <si>
    <r>
      <t> </t>
    </r>
    <r>
      <rPr>
        <sz val="9"/>
        <color theme="1"/>
        <rFont val="Open-Sans"/>
        <charset val="1"/>
      </rPr>
      <t>Vila Anair</t>
    </r>
  </si>
  <si>
    <r>
      <t> </t>
    </r>
    <r>
      <rPr>
        <sz val="9"/>
        <color theme="1"/>
        <rFont val="Open-Sans"/>
        <charset val="1"/>
      </rPr>
      <t>(51) 98942-8084</t>
    </r>
  </si>
  <si>
    <t>ADRIANO MARCIO PEREIRA</t>
  </si>
  <si>
    <r>
      <t> </t>
    </r>
    <r>
      <rPr>
        <sz val="9"/>
        <color theme="1"/>
        <rFont val="Open-Sans"/>
        <charset val="1"/>
      </rPr>
      <t>(51) 99183-5381</t>
    </r>
  </si>
  <si>
    <t>Sérgio Ricardo Lopes</t>
  </si>
  <si>
    <t>(51) 98031-2654</t>
  </si>
  <si>
    <t>Cliente se mudando para local não cabeado (enviou comprovante).</t>
  </si>
  <si>
    <t>(51) 98942-8084</t>
  </si>
  <si>
    <t>(51) 99183-5381</t>
  </si>
  <si>
    <t>LUANA FORTES DOS SANTOS</t>
  </si>
  <si>
    <t>MARIA ROSELI KUNZLER</t>
  </si>
  <si>
    <t>Alugou a casa</t>
  </si>
  <si>
    <t>EDUARDO JOSUE PEREZ ROMERO</t>
  </si>
  <si>
    <t xml:space="preserve"> (51) 99817-1530</t>
  </si>
  <si>
    <t>ELOI FLORES DE SOUZA</t>
  </si>
  <si>
    <t>São josé</t>
  </si>
  <si>
    <t>Problema financeiro</t>
  </si>
  <si>
    <t>Delsoni Ferreira Vaghetti</t>
  </si>
  <si>
    <t>(51) 99806-2807</t>
  </si>
  <si>
    <t>Retido com vt para análise do problema com urgência. Lentidão.</t>
  </si>
  <si>
    <t>14/02</t>
  </si>
  <si>
    <t>Barbara Raquel Martins da Silva</t>
  </si>
  <si>
    <t xml:space="preserve"> Diego Dionatan de Lima</t>
  </si>
  <si>
    <t xml:space="preserve">Estancia Velha. </t>
  </si>
  <si>
    <t>ADELMAR LUIS DE FREITAS</t>
  </si>
  <si>
    <t>GABRIEL DE OLIVEIRA HOFFMANN</t>
  </si>
  <si>
    <t>(51) 99110-8093</t>
  </si>
  <si>
    <t>Palavras do cliente: Toda semana cai a internet e leva dias para retornar</t>
  </si>
  <si>
    <t>PAULO ROGERIO STEFFENS</t>
  </si>
  <si>
    <t>Novo Hamurgo</t>
  </si>
  <si>
    <t>Cancelou por não ter mais o plano de 1GB</t>
  </si>
  <si>
    <t>ROBSON MORAIS DE OLIVEIRA</t>
  </si>
  <si>
    <t>(51) 99974-2537</t>
  </si>
  <si>
    <t>Cliente com inúmeras visitas sem solução definitiva do problema, não quer mais o serviço.</t>
  </si>
  <si>
    <t>LUCAS MICAEL DA SILVA</t>
  </si>
  <si>
    <t>Funil</t>
  </si>
  <si>
    <t>(51) 99810-0275</t>
  </si>
  <si>
    <t>Retido com isenção de fatura + desconto nas próximas 6 mensalidades</t>
  </si>
  <si>
    <t>RAQUEL PEREIRA</t>
  </si>
  <si>
    <t>(51) 99558-9225</t>
  </si>
  <si>
    <t>Redução de custos, informei valor da mensalidade comparado a concorrente. parou de responder. aguardei 48 horas sem resposta</t>
  </si>
  <si>
    <t>CARLOS ALBERTO AIROLDI</t>
  </si>
  <si>
    <t>Parque dos Eucaliptos</t>
  </si>
  <si>
    <t>PAULO CESAR DA SILVA CORREA</t>
  </si>
  <si>
    <t>união</t>
  </si>
  <si>
    <t>(51) 99696-0050</t>
  </si>
  <si>
    <t xml:space="preserve">Mudança para Presidente Lucena, não quis enviar comprovante. </t>
  </si>
  <si>
    <t>GRACIELE LUDWIG</t>
  </si>
  <si>
    <t>(51) 99331-7766</t>
  </si>
  <si>
    <t>JOAO PAULO PRASS</t>
  </si>
  <si>
    <t>(47) 98846-2604</t>
  </si>
  <si>
    <t>Trocou pra Vivo devido o plano com combo fibra mais móvel.</t>
  </si>
  <si>
    <t>Everton Luis de Souza Rosa</t>
  </si>
  <si>
    <t>Villa Bella</t>
  </si>
  <si>
    <t>(51) 98049-3345</t>
  </si>
  <si>
    <t>Retido com mensalidade reduzida para R$59,90 por 12 meses (mas não será usada mais esse tipo de oferta)</t>
  </si>
  <si>
    <t>ANIELY CARRASCO DA CUNHA</t>
  </si>
  <si>
    <t>(51) 99271-7942</t>
  </si>
  <si>
    <t>Retida com mudança de endereço + cobrança de taxa normal R$150/5 = R$30 nas faturas.</t>
  </si>
  <si>
    <t>NEUSA DE OLIVEIRA</t>
  </si>
  <si>
    <t xml:space="preserve">Alegou demora no atendimento e informou que não teve suporte quando precisou. </t>
  </si>
  <si>
    <t xml:space="preserve"> DOUGLAS RAFAEL DA SILVA FREIRE</t>
  </si>
  <si>
    <t xml:space="preserve"> (51) 99856-5746</t>
  </si>
  <si>
    <t>Joeceli Salete de Carvalho</t>
  </si>
  <si>
    <t>Insatisfeita com o atendimento da I.A</t>
  </si>
  <si>
    <t>Cristiano Cardoso Pires da Silva</t>
  </si>
  <si>
    <t>(51) 99711-1333</t>
  </si>
  <si>
    <t xml:space="preserve">Não resolveram o problema e nem marcaram suporte para o cliente. </t>
  </si>
  <si>
    <t xml:space="preserve"> Andriele Jenifer Padilha Martins</t>
  </si>
  <si>
    <t>(51) 98920-2921</t>
  </si>
  <si>
    <t>Novo endereço já possuí conexão.</t>
  </si>
  <si>
    <t>JESSICA LAUANA FARIAS AMARO</t>
  </si>
  <si>
    <t>(51) 99758-5286</t>
  </si>
  <si>
    <t>Contratou para casa da mãe que se mudou e contratou no nome dela no novo endereço</t>
  </si>
  <si>
    <t>MIRIAN RICARDA DOS SANTOS DA SILVA</t>
  </si>
  <si>
    <t>(48) 99177-9499</t>
  </si>
  <si>
    <t>Expliquei multa fidelidade até 20/08/2026 - Parou de responder. Aguardei 48 horas e encerrei atendimento</t>
  </si>
  <si>
    <t>Mary Huly Sena Peres</t>
  </si>
  <si>
    <t>(51) 99235-0003</t>
  </si>
  <si>
    <t>Expliquei multa fidelidade até 09/09/2026 - Parou de responder. Aguardei 48 horas e encerrei atendimento</t>
  </si>
  <si>
    <t>ALINE DE MOURA REIS</t>
  </si>
  <si>
    <t xml:space="preserve">Imigrante Sul </t>
  </si>
  <si>
    <t xml:space="preserve"> (51) 98416-26</t>
  </si>
  <si>
    <t>Cliente sempre fica de 3 a 4 dias sem conexão devido ao FTTC</t>
  </si>
  <si>
    <t>TAIS CAMILA SILVA DE LIMA</t>
  </si>
  <si>
    <t>(51) 99598-4951</t>
  </si>
  <si>
    <t>ROSANGELA PATRICIA DA SILVA</t>
  </si>
  <si>
    <t>(51) 99698-1896</t>
  </si>
  <si>
    <t>Retido com suporte + 50% de desconto nas próximas 2 faturas.</t>
  </si>
  <si>
    <t>Retido com bloqueio temporada por 4 meses. Alega redução de custos.</t>
  </si>
  <si>
    <t>Luciana Cleci Alves Flores</t>
  </si>
  <si>
    <t>(51) 98054-7002</t>
  </si>
  <si>
    <t>Fidelidade encerra em março, a mesma irá aguardar para não pagar multa.</t>
  </si>
  <si>
    <t>Retido com suporte + 50% de desconto na próxima fatura.</t>
  </si>
  <si>
    <t>Camila Julia Silva Domingos</t>
  </si>
  <si>
    <t>(51) 98158-8433</t>
  </si>
  <si>
    <t>Mudança para local que já possui internet instalada.</t>
  </si>
  <si>
    <t>CAROLINE DE QUADROS</t>
  </si>
  <si>
    <t>(51) 99939-2311</t>
  </si>
  <si>
    <t>Retida com ajusta na fatura devido ao aumento de R$ 99,90 para R$ 119,90.</t>
  </si>
  <si>
    <t>Sheila Peres Freitas</t>
  </si>
  <si>
    <t xml:space="preserve"> Jardim do Bosque</t>
  </si>
  <si>
    <t>(51) 99905-4169</t>
  </si>
  <si>
    <t xml:space="preserve">Mudança de endereço para sem viabilidade. Mas ainda ficou 1 contrato conosco. </t>
  </si>
  <si>
    <t xml:space="preserve"> JOSE LUIS VAGI</t>
  </si>
  <si>
    <t>Cancelou devido aos problemas recorrentes com o FTTC</t>
  </si>
  <si>
    <t>Gerson Walter Ceccon</t>
  </si>
  <si>
    <t>(51) 99255-3804</t>
  </si>
  <si>
    <t>Cliente 90+</t>
  </si>
  <si>
    <t>EDUARDO FERREIRA DE SOUZA</t>
  </si>
  <si>
    <t xml:space="preserve">Problemas FTTC e insatisfação com o suporte tecnico. </t>
  </si>
  <si>
    <t>ZENILDA TEREZINHA DE OLIVEIRA VIEIRA</t>
  </si>
  <si>
    <t>(51) 99688-3663</t>
  </si>
  <si>
    <t>Willian Viegas Francisco</t>
  </si>
  <si>
    <t>(51) 99330-7383</t>
  </si>
  <si>
    <t>Não quis dizer o motivo do cancelamento.</t>
  </si>
  <si>
    <t>AMAURI RODRIGUES DE OLIVEIRA</t>
  </si>
  <si>
    <t>(51) 99302-4004</t>
  </si>
  <si>
    <t>Mudança de endereço para local não cabeado.</t>
  </si>
  <si>
    <t>Marcela Francine kayser</t>
  </si>
  <si>
    <t>(51) 99506-6980</t>
  </si>
  <si>
    <t>VLADEMIR DA SILVA RODRIGUES</t>
  </si>
  <si>
    <t>(51) 98037-6955</t>
  </si>
  <si>
    <t>Mateus Gonçalves Leal</t>
  </si>
  <si>
    <t>ADAIR FRANCISCO FLECK FARIAS</t>
  </si>
  <si>
    <t>(51) 99915-3038</t>
  </si>
  <si>
    <t>Victor Gabriel Pereira da Rosa</t>
  </si>
  <si>
    <t>20/02</t>
  </si>
  <si>
    <t>MAURO LEANDRO LUDWIG</t>
  </si>
  <si>
    <t>(51) 99849-2371</t>
  </si>
  <si>
    <t>Márcio Roberto Lima</t>
  </si>
  <si>
    <t>Chácara Das Rosas</t>
  </si>
  <si>
    <t xml:space="preserve"> (51) 98546-9097</t>
  </si>
  <si>
    <t xml:space="preserve"> Reni Moreira dos Santos</t>
  </si>
  <si>
    <t> Ivette lima Barreto</t>
  </si>
  <si>
    <t>BRUNO ARNOLD SILVEIRA</t>
  </si>
  <si>
    <t>DANIEL STAUDT</t>
  </si>
  <si>
    <t>Troca de provedor devido a demora no atenimento</t>
  </si>
  <si>
    <t>Irene Fagundes Nunes</t>
  </si>
  <si>
    <t xml:space="preserve"> (51) 99286-8323</t>
  </si>
  <si>
    <t xml:space="preserve">Retido com entrega de carnê atrasado. </t>
  </si>
  <si>
    <t>FABIO CRISTIAN DA SILVA</t>
  </si>
  <si>
    <t xml:space="preserve"> (51) 99599-7775</t>
  </si>
  <si>
    <t>Araricá - RS</t>
  </si>
  <si>
    <t>Cliente via radio, quedas constantes e falta de suporte técnico.</t>
  </si>
  <si>
    <t>LUIZ CARLOS GIRARDELL</t>
  </si>
  <si>
    <t>3L</t>
  </si>
  <si>
    <t>51) 99508-4765</t>
  </si>
  <si>
    <t>Parpobé</t>
  </si>
  <si>
    <t xml:space="preserve">Se mudou e não poderá levar a conexão junto, está passando por reformas na casa; </t>
  </si>
  <si>
    <t>GUILHERME MACHADO NOVAK</t>
  </si>
  <si>
    <t>(51) 99900-6327</t>
  </si>
  <si>
    <t xml:space="preserve">Fatura havia mudado o valor sozinha. Ajustei o valor para o valor antigo para reter o cliente. </t>
  </si>
  <si>
    <t>Jessica Valdeci Lima</t>
  </si>
  <si>
    <t>(51) 98129-8376</t>
  </si>
  <si>
    <t>Cabo que rompeu do poste e ouve demora na solução do problema</t>
  </si>
  <si>
    <t>LEONILDA VALIM RODRIGUES</t>
  </si>
  <si>
    <t>(51) 99428-1040</t>
  </si>
  <si>
    <t>Não quis dar detalhes dos motivos, alegou apenas que não está usando muito</t>
  </si>
  <si>
    <t>(51) 98138-1927</t>
  </si>
  <si>
    <t>Cliente alegando quedas constantes e oscilação, retida com suporte + 50% de desc. na próxima fatura + troca de rot. de fast pra giga.</t>
  </si>
  <si>
    <t>JULIANO DA SILVA DE MEDEIROS</t>
  </si>
  <si>
    <t>(51) 98327-4321</t>
  </si>
  <si>
    <t>Alega que já contratou outro provedor, devido aos problemas constantes de conexão.</t>
  </si>
  <si>
    <t>JULIO CESAR ALVES SCARMAGNAN</t>
  </si>
  <si>
    <t>Cliente com oferta da DEEP TELECOM oferta 300MB R$79,90, retido com 570MB por R$79,90</t>
  </si>
  <si>
    <t>Cliente alegando quedas constantes e oscilação, retida com suporte + 50% de desc. nas próximas 2 faturas + manutenção geral devido a rede antiga.</t>
  </si>
  <si>
    <t>RUBENS ISMAEL SOARES SCHONS</t>
  </si>
  <si>
    <t>(51) 99954-9184</t>
  </si>
  <si>
    <t>Alega problemas frequentes de sinal, visitas técnicas frequentes.</t>
  </si>
  <si>
    <t>ALAN MICHEL DOS SANTOS</t>
  </si>
  <si>
    <t>(51) 98117-1100</t>
  </si>
  <si>
    <t>Cliente ciente da manutenção na região e irá aguardar o prazo de normalização.</t>
  </si>
  <si>
    <t xml:space="preserve"> CLAIRE SALETE LOSS</t>
  </si>
  <si>
    <t xml:space="preserve"> (51) 99121-1844</t>
  </si>
  <si>
    <t>Trocou de provedor por estar 4 dias sem internet e sem suporte.</t>
  </si>
  <si>
    <t>Rene Madruga da Silva</t>
  </si>
  <si>
    <t>(51) 98108-8922</t>
  </si>
  <si>
    <t>Retido com isenção da taxa de mudança de endereço c/ renovação de fidelidade e isenção da fatura de fevereiro.</t>
  </si>
  <si>
    <t>IURI MUSA TERRA</t>
  </si>
  <si>
    <t xml:space="preserve"> JOHESLY DEL CARMEN DURAN FLORES</t>
  </si>
  <si>
    <t>Cliente cancelou devido a "troca"</t>
  </si>
  <si>
    <t>VANDERLEI FERREIRA</t>
  </si>
  <si>
    <t>(51) 99311-2626</t>
  </si>
  <si>
    <t>Trocou de provedor devido a oscilação e quedas frequentes.</t>
  </si>
  <si>
    <t xml:space="preserve"> AMAURI JOSE DE CARVALHO</t>
  </si>
  <si>
    <t xml:space="preserve">Problemas na tecnologia FTTC. </t>
  </si>
  <si>
    <t xml:space="preserve"> DIENIFER DIAS</t>
  </si>
  <si>
    <t xml:space="preserve">Sem viabildade no centro de EV. </t>
  </si>
  <si>
    <t>Alexandre Pereira</t>
  </si>
  <si>
    <t xml:space="preserve">Cliente estava bravo devido a problema recorrentes do FTTC e disse que iria quebrar o equipamento, explicado que não era por conta do equipamento e ETC... Cliente somente visualizou e sinal retornou. </t>
  </si>
  <si>
    <t>Karolayne dos Santos Pereira</t>
  </si>
  <si>
    <t>(51) 99197-9400</t>
  </si>
  <si>
    <t>Não quis dar mais detalhes, perguntei se estava tendo algum problema com a Fênix e respondeu que não.</t>
  </si>
  <si>
    <t>VAGNER FRUTUOSO DA COSTA</t>
  </si>
  <si>
    <t>(51) 99135-0115</t>
  </si>
  <si>
    <t>NIKOLAS SCHROPFER FLORES</t>
  </si>
  <si>
    <t>(51) 99759-8660</t>
  </si>
  <si>
    <t>Retido com suporte técnico + desconto 50% nas próximas 3 mensalidades.</t>
  </si>
  <si>
    <t>CATIA ELLWANGER</t>
  </si>
  <si>
    <t>(51) 99731-8505</t>
  </si>
  <si>
    <t xml:space="preserve">Insatisfação com o serviço, tanto técnico quanto atendimento ao cliente. </t>
  </si>
  <si>
    <t>MICHELE POOL</t>
  </si>
  <si>
    <t>Problemas devido a oscilação e quedas</t>
  </si>
  <si>
    <t>Alan Schmitt Capelão</t>
  </si>
  <si>
    <t>(51) 99165-8582</t>
  </si>
  <si>
    <t>Retido com bloqueio temporário por 120 dias / 4 meses.</t>
  </si>
  <si>
    <t>NELMO MACIEL DE SOUZA</t>
  </si>
  <si>
    <t>(51) 99608-3941</t>
  </si>
  <si>
    <t>Região em manutenção, cliente insatisfeito, manutenção foi concluída, porém, continuou sem sinal.</t>
  </si>
  <si>
    <t>Argumentei vt para análise, porém, cliente parou de responder quando sinal normalizou</t>
  </si>
  <si>
    <t>PEDRO GEFERSON DE SOUZA</t>
  </si>
  <si>
    <t>(51) 98479-6340</t>
  </si>
  <si>
    <t xml:space="preserve">Trocou de operadora, recebeu uma oferta melhor. 
</t>
  </si>
  <si>
    <t>Krzysztof Michal Klacewicz</t>
  </si>
  <si>
    <t>(51) 99836-0204</t>
  </si>
  <si>
    <t>Pendente!</t>
  </si>
  <si>
    <t>Mudou-se de estado.</t>
  </si>
  <si>
    <t>Leandro Rodrigo Gonçalves</t>
  </si>
  <si>
    <t>Retido com acordo financeiro para venc dia 25/02 e liberado sinal que estava bloqueado.</t>
  </si>
  <si>
    <t>MARILEIA APARECIDA HEMING ROCKENBACH</t>
  </si>
  <si>
    <t>(51) 99623-1333</t>
  </si>
  <si>
    <t xml:space="preserve">Queria mudar pra fibra mais a Fênix não atendeu a cliente - sem via. </t>
  </si>
  <si>
    <t>Gilmara da Cunha Corrêa</t>
  </si>
  <si>
    <t>Cacchoeirinha</t>
  </si>
  <si>
    <t xml:space="preserve">Cliente Gilamara quis cancelard evido a sepração, troca de titularidade de um dos pontos para o seu ex marido Rodrigo. </t>
  </si>
  <si>
    <t>Vera Lucia Broch De Oliveira</t>
  </si>
  <si>
    <t>(51) 99534-7868</t>
  </si>
  <si>
    <t>Cliente aluga casa e nesse momento não está alugando para ninguém, porém, está em negociação, irá retornar caso não consiga alugar</t>
  </si>
  <si>
    <t>Salete Ballin</t>
  </si>
  <si>
    <t>(47) 99176-9536</t>
  </si>
  <si>
    <t>Cliente realizou mudança de endereço e no novo endereo já possui internet.</t>
  </si>
  <si>
    <t>Natália Monteiro de Oliveira</t>
  </si>
  <si>
    <t>(51) 98584-8972</t>
  </si>
  <si>
    <t>CLIENTE 90+</t>
  </si>
  <si>
    <t>RODRIGO FURTADO</t>
  </si>
  <si>
    <t>Rua Deputado Dorival C ndido Luz de Oliveira</t>
  </si>
  <si>
    <t>(51) 98461-4372</t>
  </si>
  <si>
    <t>Retido com VT c/ URGÊNCIA para hoje 18/02 e 50% de desconto na fatura de fevereiro e março.</t>
  </si>
  <si>
    <t>WANDERSON DOS SANTOS ERBE</t>
  </si>
  <si>
    <t xml:space="preserve"> Lago Azul</t>
  </si>
  <si>
    <t xml:space="preserve"> (51) 99502-8900</t>
  </si>
  <si>
    <t>Jessica Tatiane Monteiro Correa</t>
  </si>
  <si>
    <t>Vila Silveira</t>
  </si>
  <si>
    <t xml:space="preserve">90+ E SE MUDOU PARA ONDE NÃO TEMOS REDE, SENDO ASSIM INVIABILIDADE TECNICA. </t>
  </si>
  <si>
    <t> FERNANDO OTT AZEREDO</t>
  </si>
  <si>
    <t xml:space="preserve">Cancelando tecnologia de rádio, tecnico informou que seria melhor cancelar. </t>
  </si>
  <si>
    <t>ROSANA SIQUEIRA DE OLIVEIRA</t>
  </si>
  <si>
    <t>(51) 99275-5915</t>
  </si>
  <si>
    <t>Cliente trocou de operadora, disse estar insatisfeita com a conexão, quedas e oscilações.</t>
  </si>
  <si>
    <t>MARIA CRECEOLI CARDOSO DALLA CORTE</t>
  </si>
  <si>
    <t>Retida com visita técnica de encaixe com urgência para hoje 18/02.</t>
  </si>
  <si>
    <t>VALMIR DA SILVA ARAUJO</t>
  </si>
  <si>
    <t>(51) 99827-5456</t>
  </si>
  <si>
    <t>Nova Hartz</t>
  </si>
  <si>
    <t>Cliente via rádio, com problemas de conexão, alega que trocou de provedora para ter fibra.</t>
  </si>
  <si>
    <t>Retida fcom instalação de modem extra.</t>
  </si>
  <si>
    <t xml:space="preserve"> Larri Vilmar Ignacio da Silva</t>
  </si>
  <si>
    <t>(51) 99570-9732</t>
  </si>
  <si>
    <t xml:space="preserve">Retido com redução de plano devido a ter contratado plano de celular. </t>
  </si>
  <si>
    <t>Gabriela Karina Pinto Machi</t>
  </si>
  <si>
    <t>(51) 98175-3161</t>
  </si>
  <si>
    <t xml:space="preserve"> desconto de 50% nas próximas 3 faturas + renovação de 12 meses de fidelidade com R$30 de desc. nas próximas 9 mensalidades.</t>
  </si>
  <si>
    <t>MARCIO DOS SANTOS</t>
  </si>
  <si>
    <t>(51) 98046-4401</t>
  </si>
  <si>
    <t>Alega muita interrupção de sinal e falta de informação da empresa.</t>
  </si>
  <si>
    <t>Patrique Lopes de Souza</t>
  </si>
  <si>
    <t>(51) 99585-7371</t>
  </si>
  <si>
    <t>Mudança de endereço com isenção e desconto até dezembro na mensalidade</t>
  </si>
  <si>
    <t xml:space="preserve"> Flavio da Silva</t>
  </si>
  <si>
    <t xml:space="preserve">Cliente havia sido retido com reparo em toda a rede + troca de equipamentos + desconto nas faturas. Entrou 2 dias depois pra cancelar sem explicar motivo. </t>
  </si>
  <si>
    <t xml:space="preserve"> ADEMAR STEILL</t>
  </si>
  <si>
    <t>Canuidos</t>
  </si>
  <si>
    <t xml:space="preserve">Cliente alegou que havia solicitado cancelamento no mês passado. </t>
  </si>
  <si>
    <t>CLEITON DA SILVA</t>
  </si>
  <si>
    <t>(51) 99703-6693</t>
  </si>
  <si>
    <t xml:space="preserve">Quedas e oscilação, não aceitou retenção. </t>
  </si>
  <si>
    <t>ANGELICA PATRICIA TAVARES</t>
  </si>
  <si>
    <t xml:space="preserve">Retido com visita de encaixe. </t>
  </si>
  <si>
    <t>Ana Carolina de Oliveira Pedroso</t>
  </si>
  <si>
    <t>Contratou a OI</t>
  </si>
  <si>
    <t>Imbé - RS</t>
  </si>
  <si>
    <t>Sinal do wifi não está pegando direito marquei um suporte + troca de equipamento se necessário.</t>
  </si>
  <si>
    <t>RUTH MADALENA DE OLIVEIRA BARCELOS</t>
  </si>
  <si>
    <t xml:space="preserve">queria cancelar devido so ter agenda para amanhã , ofertado para hoje a tarde cliente aceitou </t>
  </si>
  <si>
    <t xml:space="preserve"> LARISSA GOMES DE ALMEIDA</t>
  </si>
  <si>
    <t xml:space="preserve">7 dias sem conexão, tecnico colocou no relato que não foi atendido e fez somente parte externa e o sinal não subiu, cliente entrou em contato para cancelar e passou informações diferentes que o técnico entrou da casa. </t>
  </si>
  <si>
    <t>Shana Schuster de Figueiredo</t>
  </si>
  <si>
    <t>(51) 99100-0225</t>
  </si>
  <si>
    <t>Vai entregar na Matriz</t>
  </si>
  <si>
    <t>Porto alegre.</t>
  </si>
  <si>
    <t>Jaqueline Schmitz</t>
  </si>
  <si>
    <t>(51) 98433-2555</t>
  </si>
  <si>
    <t>Mora de aluguel, se mudou e a nova casa já possui internet instalada.</t>
  </si>
  <si>
    <t>VANDERLEI FINATTO</t>
  </si>
  <si>
    <t>(51) 99926-0270</t>
  </si>
  <si>
    <t>Problemas técnicos, problemas com agendamento.</t>
  </si>
  <si>
    <t>CLEITON ZARDINELLO PADILHA</t>
  </si>
  <si>
    <t>(51) 98054-5289</t>
  </si>
  <si>
    <t>Trocou de provedor, alega ser mais velocidade e menor custo, não quis ouvir oferta.</t>
  </si>
  <si>
    <t>ITAMAR SILVEIRA SIMOES</t>
  </si>
  <si>
    <t>(51) 98291-6736</t>
  </si>
  <si>
    <t>Trocou de provedor, lentidão e quedas constantes.</t>
  </si>
  <si>
    <t xml:space="preserve"> Fabiana Gilmara Costa dos Santos</t>
  </si>
  <si>
    <t>EDERSON ISAIAS DE QUADROS ARRUDA</t>
  </si>
  <si>
    <t>(51) 99623-4508</t>
  </si>
  <si>
    <t>No local tinha um estabelecimento que acabou fechando e já possui internet na residência.</t>
  </si>
  <si>
    <t>Claudio Ferreira Nunes</t>
  </si>
  <si>
    <t xml:space="preserve">retido com ajuste de faturas atrasadas e também com redução de plano. </t>
  </si>
  <si>
    <t>Gedion Longaray Fernandez</t>
  </si>
  <si>
    <t xml:space="preserve">Gravatai </t>
  </si>
  <si>
    <t>demora na agenda</t>
  </si>
  <si>
    <t>Micael Thierry Almeida dos Santos</t>
  </si>
  <si>
    <t>(51) 99321-3145</t>
  </si>
  <si>
    <t xml:space="preserve">Cliente sem contrato, não quis dizer o motivo do cancelamento. </t>
  </si>
  <si>
    <t>Rafael Zaqueo de Souza</t>
  </si>
  <si>
    <t>Vila Ponta Porã</t>
  </si>
  <si>
    <t>(51) 98156-0510</t>
  </si>
  <si>
    <t>Troca de endereço sem cobertura. Foi constatada pelo técnico na hora e no local.</t>
  </si>
  <si>
    <t>Sol Nascimento</t>
  </si>
  <si>
    <t xml:space="preserve">Estancia </t>
  </si>
  <si>
    <t xml:space="preserve">Ficou sem conexão 1 semana. </t>
  </si>
  <si>
    <t>Tatiana Lima Pereira</t>
  </si>
  <si>
    <t>Avenida Los Angeles</t>
  </si>
  <si>
    <t>(51) 99158-1887</t>
  </si>
  <si>
    <t>Insatisfação com o serviço prestado e a qualidade do sinal.</t>
  </si>
  <si>
    <t>Thomaz Junior de Oliveira</t>
  </si>
  <si>
    <t>Marechal Floriano</t>
  </si>
  <si>
    <t>(51) 99650-0769</t>
  </si>
  <si>
    <t>Retido com reagendamento da visita LOS para Juliano retenção.</t>
  </si>
  <si>
    <t>DENIS VALCIR DOS SANTOS</t>
  </si>
  <si>
    <t>(51) 99622-5904</t>
  </si>
  <si>
    <t>Retida com visita de urgência para 20/02/2026 no turno manhã. Rian pediu que eu passasse a OS para o BEZZA, assim feito</t>
  </si>
  <si>
    <t>LUIZ CARLOS FERREIRA</t>
  </si>
  <si>
    <t>(51) 98205-0529</t>
  </si>
  <si>
    <t>Para outro País.</t>
  </si>
  <si>
    <t>Michele Muniz Pires</t>
  </si>
  <si>
    <t>(51) 98234-1135</t>
  </si>
  <si>
    <t>Cliente iria cancelar pois perdeu o comprovante de pagamento (print), mas como todas as faturas sempre foram pagas em dia eu isentei ela da fatura.</t>
  </si>
  <si>
    <t xml:space="preserve"> Ana Paula Vieira</t>
  </si>
  <si>
    <t>(51) 99390-8263</t>
  </si>
  <si>
    <t>Retido com revisão em sua instalação nova devdo a instabilidades</t>
  </si>
  <si>
    <t>REJANE MACHADO SIMON</t>
  </si>
  <si>
    <t>Jardim Bauer</t>
  </si>
  <si>
    <t>(51) 99538-6019</t>
  </si>
  <si>
    <t xml:space="preserve">Retido com entrega </t>
  </si>
  <si>
    <t>Aline Schossler Rodrigues</t>
  </si>
  <si>
    <t>26/02</t>
  </si>
  <si>
    <t>Mudou e não tem interesse</t>
  </si>
  <si>
    <t>JAIR ROBERTO TRASEL BOHN</t>
  </si>
  <si>
    <t>(51) 99664-8439</t>
  </si>
  <si>
    <t>Sem suporte técnico.</t>
  </si>
  <si>
    <t>Roseni Gonçalves Viana</t>
  </si>
  <si>
    <t>(51) 98102-3750</t>
  </si>
  <si>
    <t>Suporte agendou errado e retida com agendamento de urgência (encaixe) usado a mesma OS gerada pelo suporte</t>
  </si>
  <si>
    <t>LUCA VALDAIR MACALAI DE ALMEIDA</t>
  </si>
  <si>
    <t>(51) 98610-7516</t>
  </si>
  <si>
    <t>Apenas disse que não gostaria de seguir com o serviço.</t>
  </si>
  <si>
    <t>Ana Caroline dos Santos leal Maciel</t>
  </si>
  <si>
    <t>(51) 98983-1269</t>
  </si>
  <si>
    <t>Ciente da multa fidelidade, informa que vai pensar no que irá fazer que retornará mais para frente, por hora, segue tudo como está</t>
  </si>
  <si>
    <t xml:space="preserve"> (51) 98587-9389</t>
  </si>
  <si>
    <t xml:space="preserve">Cliente entrou em contato porque ficou desempregado e queria saber se poderíamos ajudar, isentei a fatura de fevereiro que estava em aberto e será aplicado um desconto de 50% por 4 meses. </t>
  </si>
  <si>
    <t xml:space="preserve">Retido com visita para instalar roteador extra. </t>
  </si>
  <si>
    <t>LUCAS ROGERIO KRUMMENAUER PEREIRA</t>
  </si>
  <si>
    <t>(51) 99544-6051</t>
  </si>
  <si>
    <t>Mudança de endereço já possuí conexão no novo endereço.</t>
  </si>
  <si>
    <t>(51) 99451-7171</t>
  </si>
  <si>
    <t>Não quis explicar.</t>
  </si>
  <si>
    <t>LUIS FERNANDO HENZ</t>
  </si>
  <si>
    <t>(51) 99870-4010</t>
  </si>
  <si>
    <t xml:space="preserve"> Novo Hamburgo - RS</t>
  </si>
  <si>
    <t>Vai se mudar para outro estado.</t>
  </si>
  <si>
    <t>TATIANE MORAES PIRES ROTHEN</t>
  </si>
  <si>
    <t>concordia</t>
  </si>
  <si>
    <t>(51) 99848-7108</t>
  </si>
  <si>
    <t>Mudança de endereço para local que já possui internet instalada.</t>
  </si>
  <si>
    <t>Mariza Escopelli</t>
  </si>
  <si>
    <t>(51) 99994-7012</t>
  </si>
  <si>
    <t>Vai morar com a irmã em Brasília.</t>
  </si>
  <si>
    <t>Jorge Reni Avila Flores</t>
  </si>
  <si>
    <t>(48) 99961-0523</t>
  </si>
  <si>
    <t>Ciente da multa fidelidade, vai aguardar, está para se mudar</t>
  </si>
  <si>
    <t xml:space="preserve"> Ana Paula Garcez Pinheiro</t>
  </si>
  <si>
    <t xml:space="preserve">Cliente cancelou devido a troca de provedor. </t>
  </si>
  <si>
    <t>LUIS CARLOS GUALHONI</t>
  </si>
  <si>
    <t>Avenida Pres Lucena</t>
  </si>
  <si>
    <t>(51) 99561-8390</t>
  </si>
  <si>
    <t>Apenas alegou mudança, não quis dar mais detalhes.</t>
  </si>
  <si>
    <t>Daiane Silveira dos Santos</t>
  </si>
  <si>
    <t xml:space="preserve">retido com encaixe. </t>
  </si>
  <si>
    <t>Elmita Roland Antoine</t>
  </si>
  <si>
    <t xml:space="preserve">Cliente solicitou o cancelamento devido as vagas serem somente apartir do dia 23, sendo assim consegui um encaixe para o dia 21/02 no turno da manhã e mais 50% de desconto na fatura da cliente. </t>
  </si>
  <si>
    <t>SILVANA PEREIRA BITENCOURT</t>
  </si>
  <si>
    <t>(51) 98530-6837</t>
  </si>
  <si>
    <t>Alegou motivos pessoais.</t>
  </si>
  <si>
    <t xml:space="preserve"> Yunaykel Daniel Rivas Mendez</t>
  </si>
  <si>
    <t>Problemas financeiros, 2 meses 50% OFF</t>
  </si>
  <si>
    <t>EDSON DOS SANTOS SOUZA</t>
  </si>
  <si>
    <t>(51) 98088-4384</t>
  </si>
  <si>
    <t>Mudança para Imbé onde já possui outra provedora.</t>
  </si>
  <si>
    <t>Célia Terezinha Da Silva Pacheco</t>
  </si>
  <si>
    <t>(51) 98489-2297</t>
  </si>
  <si>
    <t>Visita técnica com urgência RET para 21/02 turno tarde</t>
  </si>
  <si>
    <t>Julio Cezar Salini</t>
  </si>
  <si>
    <t>(51) 99969-2567</t>
  </si>
  <si>
    <t>Retido com suspensão temporária</t>
  </si>
  <si>
    <t>21/02</t>
  </si>
  <si>
    <t xml:space="preserve"> Anderson Daniel Rosman Golindano</t>
  </si>
  <si>
    <t xml:space="preserve">Endereço sem vibilidade. </t>
  </si>
  <si>
    <t>ANDRESSA BAZANELLA</t>
  </si>
  <si>
    <t>(51) 99701-146</t>
  </si>
  <si>
    <t>Não informou o motivo</t>
  </si>
  <si>
    <t>Lidio José Szarblewski</t>
  </si>
  <si>
    <t>(51) 99736-1070</t>
  </si>
  <si>
    <t>Mudança para outra Cidade.</t>
  </si>
  <si>
    <t>(51) 99563-2177</t>
  </si>
  <si>
    <t>Retida com visita técnica c/ urgência.</t>
  </si>
  <si>
    <t>ODILON SILVA DE OLIVEIRA</t>
  </si>
  <si>
    <t>(51) 9340-4026</t>
  </si>
  <si>
    <t>Retido com isenção da fatura em aberto.</t>
  </si>
  <si>
    <t>Carlos Alberto Trindade Cordeiro</t>
  </si>
  <si>
    <t xml:space="preserve">Mudança de endereço sem interesse. </t>
  </si>
  <si>
    <t>Anderson Luiz dos Santos Padia</t>
  </si>
  <si>
    <t>(51) 98034-7718</t>
  </si>
  <si>
    <t>Sua mãe contratou uma internet e alega que não tem porque ficar com duas na mesma casa.</t>
  </si>
  <si>
    <t>Ismael Pfeifer Dutra</t>
  </si>
  <si>
    <t>(51) 98129-0768</t>
  </si>
  <si>
    <t>Retido com vt de urgência</t>
  </si>
  <si>
    <t>Adriano dos Santos Blados</t>
  </si>
  <si>
    <t>(51) 99019-9378</t>
  </si>
  <si>
    <t>Possui 2 contratos conosco e um deles não está mais sendo utilizado. Irá manter apenas 1 ativo.</t>
  </si>
  <si>
    <t>Ironi Fatima Poroerio dos Santos</t>
  </si>
  <si>
    <t>Rua Raul Seixas</t>
  </si>
  <si>
    <t>(51) 99549-9332</t>
  </si>
  <si>
    <t>Troca de provedor</t>
  </si>
  <si>
    <t>(51) 98546-9097</t>
  </si>
  <si>
    <t>Cliente alega que está se mudando para casa da namorada, onde já possui internet instalada.</t>
  </si>
  <si>
    <t>Danielle Cristiane Fortes Pacheco</t>
  </si>
  <si>
    <t>(51) 98438-9066</t>
  </si>
  <si>
    <t>Retida com desconto de R$ 39,90 na mensalidade por 12 meses.</t>
  </si>
  <si>
    <t>Sandra Maria Ribeiro Assis</t>
  </si>
  <si>
    <t>(51) 99152-1989</t>
  </si>
  <si>
    <t>Retida com vt urgência ret p/ 23/02</t>
  </si>
  <si>
    <t>Rafael Laitano Abbott</t>
  </si>
  <si>
    <t>(51) 98620-0286</t>
  </si>
  <si>
    <t xml:space="preserve">Cliente deseja cancelar com apenas 4 meses de serviço e plano foi vendido sem fidelidade. </t>
  </si>
  <si>
    <t>Tainara De Oliveira Rocha</t>
  </si>
  <si>
    <t>(51) 98490-7117</t>
  </si>
  <si>
    <t>Internet instável.</t>
  </si>
  <si>
    <t>MARI SIBELE PAZ DO COUTO</t>
  </si>
  <si>
    <t>(51) 99850-9460</t>
  </si>
  <si>
    <t>Cliente tinha 2 contratos no mesmo terreno, seu pai que usava  outro contrato faleceu e não tem necessidade de manter ativo.</t>
  </si>
  <si>
    <t xml:space="preserve"> DIENIFER RODRIGUES BERNARDO</t>
  </si>
  <si>
    <t xml:space="preserve">Cliente quis cancelar e já tinha visita, ficou na fila e questionou se iria ocorrer, feito a confirmação e aplicado desconto. </t>
  </si>
  <si>
    <t xml:space="preserve">GRAZIELA CRISTINE DE MORAES </t>
  </si>
  <si>
    <t xml:space="preserve">Prblemas financeiros, 50% de desconto 4 meses. </t>
  </si>
  <si>
    <t>EDEMILSON CHICATTE RIBEIRO</t>
  </si>
  <si>
    <t>Imperatriz</t>
  </si>
  <si>
    <t>(51) 99745-3880</t>
  </si>
  <si>
    <t xml:space="preserve">Quedas e lentidão - via rádio, sem possibilidade de migração. </t>
  </si>
  <si>
    <t>SAMARA MULLER</t>
  </si>
  <si>
    <t xml:space="preserve">Retido com encaixe. </t>
  </si>
  <si>
    <t>SELMA REGINA DA SILVA</t>
  </si>
  <si>
    <t>Problemas recorrentes FTTC</t>
  </si>
  <si>
    <t>Luiz Fernando do Couto</t>
  </si>
  <si>
    <t xml:space="preserve">Motivos pessoais, preferiu não informar o motivo. </t>
  </si>
  <si>
    <t>(51) 98612-8964</t>
  </si>
  <si>
    <t>Se mudou para Viamão.</t>
  </si>
  <si>
    <t>Daniela Lopes Raiher</t>
  </si>
  <si>
    <t>(51) 98582-6193</t>
  </si>
  <si>
    <t>Mudança para Santa Catarina.</t>
  </si>
  <si>
    <t>CARLA BEATRIZ DE AGUIAR</t>
  </si>
  <si>
    <t>(51) 99706-4013</t>
  </si>
  <si>
    <t>Reclamou sobre valores alterados em sua fatura, ajustado no sistema</t>
  </si>
  <si>
    <t>(51) 99614-8543</t>
  </si>
  <si>
    <t>Quedas seguidas, cliente teve vários suportes por los e está los novamente, preferiu cancelar.</t>
  </si>
  <si>
    <t>CAROLINE RODRIGUES DA SILVEIRA</t>
  </si>
  <si>
    <t>(51) 99678-5627</t>
  </si>
  <si>
    <t xml:space="preserve">Cliente alega quedas e lentidão mas não aceitou suporte técnico. </t>
  </si>
  <si>
    <t>Patricia Kirsch Ortacio</t>
  </si>
  <si>
    <t>(51) 98119-8443</t>
  </si>
  <si>
    <t>Litotal</t>
  </si>
  <si>
    <t>Vendeu sua residencia e novo morador já tem internet.</t>
  </si>
  <si>
    <t>ITACIR DOS SANTOS</t>
  </si>
  <si>
    <t xml:space="preserve"> (51) 99518-6474</t>
  </si>
  <si>
    <t xml:space="preserve">Marido contratou sendo que já tinham no mesmo endereço, sem necessidade de uso. </t>
  </si>
  <si>
    <t>JONATHAN BORGES PEDERSETTI</t>
  </si>
  <si>
    <t>(51) 99604-4434</t>
  </si>
  <si>
    <t>Problemas técnicos, não aceitou visita técnica com urgência.</t>
  </si>
  <si>
    <t>Fabiano Otto dos reis</t>
  </si>
  <si>
    <t>(51) 99844-7268</t>
  </si>
  <si>
    <t xml:space="preserve">Não aceitou esperar o suporte até quarta feira, estava a 4 dias sem internet. </t>
  </si>
  <si>
    <t>EDINA VELASCO DE SOUZA</t>
  </si>
  <si>
    <t>(51) 98297-5725</t>
  </si>
  <si>
    <t>Cliente alega mudança para Santa Catarina.</t>
  </si>
  <si>
    <t>MABIELE ROSA VOLTZ</t>
  </si>
  <si>
    <t xml:space="preserve">Problemas e não aceitou visita. </t>
  </si>
  <si>
    <t>Alexandre Pinto Ferraz</t>
  </si>
  <si>
    <t>(51) 99966-0350</t>
  </si>
  <si>
    <t>Ofertado suspensão temporária. Aceito pelo cliente</t>
  </si>
  <si>
    <t>Dyoner Henrique Müller dos Santos</t>
  </si>
  <si>
    <t>(51) 99752-3635</t>
  </si>
  <si>
    <t>Técnico não realizou atendimento por 2 vezes, cliente não aceitou reagendar uma 3ª vez.</t>
  </si>
  <si>
    <t>Angelina Serra Lopes</t>
  </si>
  <si>
    <t>(51) 99610-6030</t>
  </si>
  <si>
    <t>Retida c/ isenção das faturas de janeiro e fevereiro + 50% de desconto nas faturas de março até agosto.</t>
  </si>
  <si>
    <t>Daniel de Souza</t>
  </si>
  <si>
    <t xml:space="preserve">Problemas sobre a manutenção que teve. </t>
  </si>
  <si>
    <t>Vera Regina de Oliveira Carpes</t>
  </si>
  <si>
    <t>(51) 99696-7740</t>
  </si>
  <si>
    <t>Vt com urgência para amanhã</t>
  </si>
  <si>
    <t>Cristian Bitencourt Muller</t>
  </si>
  <si>
    <t>(51) 98064-9681</t>
  </si>
  <si>
    <t>Dias tentando arrumar a conexão, técnico não foi, tentei reagendamento, cliente não aceitou.</t>
  </si>
  <si>
    <t>Lucas Matheus da Rocha ferreira</t>
  </si>
  <si>
    <t>(51) 98689-0447</t>
  </si>
  <si>
    <t xml:space="preserve">Mudança de cidade sem cobertura. </t>
  </si>
  <si>
    <t>JADIR PUMPMACHER</t>
  </si>
  <si>
    <t>(51) 99622-3432</t>
  </si>
  <si>
    <t xml:space="preserve">Entregou o ponto, era alugado. </t>
  </si>
  <si>
    <t>Carla Rodrigues Brites</t>
  </si>
  <si>
    <t>(51) 98410-7835</t>
  </si>
  <si>
    <t>Mariane Maiara Tavares Barbo</t>
  </si>
  <si>
    <t xml:space="preserve">INSATISFAÇÃO COM TUDO </t>
  </si>
  <si>
    <t>IRENA MARIA SCHNEIDER</t>
  </si>
  <si>
    <t>(51) 99201-6774</t>
  </si>
  <si>
    <t>Mudança para outro País.</t>
  </si>
  <si>
    <t>Retida com suspensão temporária</t>
  </si>
  <si>
    <t>DEOCLESIO LEOPOLDO DE ALMEIDA</t>
  </si>
  <si>
    <t>(51) 99869-2212</t>
  </si>
  <si>
    <t>720 mega por R$ 99,90 durante 6 meses, após R$ 129,90.</t>
  </si>
  <si>
    <t>Janaina Bianchin Pereira</t>
  </si>
  <si>
    <t>(51) 98112-3914</t>
  </si>
  <si>
    <t>Alega insatisfação com o atendimento.</t>
  </si>
  <si>
    <t>Elisangela da Silva Genericia</t>
  </si>
  <si>
    <t>(51) 99246-0327</t>
  </si>
  <si>
    <t>Retido com desconto de março a agosto por R$ 49,90 , após R$ 79,90.</t>
  </si>
  <si>
    <t>Rafaela Cristine Teixeira</t>
  </si>
  <si>
    <t>(51) 99663-2580</t>
  </si>
  <si>
    <t>Retoda c/ mudança de endeeço s/ taxa c/ renovação de fidelidade</t>
  </si>
  <si>
    <t xml:space="preserve"> Marcelo Ferraz Nostrani</t>
  </si>
  <si>
    <t xml:space="preserve"> (51) 98525-6343</t>
  </si>
  <si>
    <t>Cliente frustrado com a conexão que vive caindo, fiz a retenção com Suporte + acesso ao app + roteador extra porque não pega nas cameras dele longe.</t>
  </si>
  <si>
    <t xml:space="preserve"> JUNIOR SANTOS DA SILVA</t>
  </si>
  <si>
    <t xml:space="preserve">Retido com volta do tecnico no mesmo dia. </t>
  </si>
  <si>
    <t>FREDERICO RAMIS BLOTA</t>
  </si>
  <si>
    <t>Jardim do Alto</t>
  </si>
  <si>
    <t>(51) 99297-5809</t>
  </si>
  <si>
    <t>Trocou de provedora onde recebeu também plano de telefonia móvel.</t>
  </si>
  <si>
    <t>Morada Do Vale II</t>
  </si>
  <si>
    <t xml:space="preserve">Havia sido retido anteriomente pelo Davi com 50% OFF por 12 meses e os boletos não foram ajustadom foi ajustado da forma correta hoje. </t>
  </si>
  <si>
    <t>CEZAR WILIAN CRESCENTE DA SILVA</t>
  </si>
  <si>
    <t>(51) 98686-4565</t>
  </si>
  <si>
    <t>Caixa estava off, acalmei o cliente e convenci ele a esperar.</t>
  </si>
  <si>
    <t>Osmar Gomes da Silva</t>
  </si>
  <si>
    <t>(51) 99437-6633</t>
  </si>
  <si>
    <t xml:space="preserve">Visíta técnica + troca da fibra e do roteador. </t>
  </si>
  <si>
    <t>Juliana de Melo Vargas</t>
  </si>
  <si>
    <t>(51) 99882-9467</t>
  </si>
  <si>
    <t>Financeiro. Retida com desconto na 1ª fatura e explicações sobre cobrança proporcional.</t>
  </si>
  <si>
    <t>Leandro Dentee</t>
  </si>
  <si>
    <t>(51) 99852-1825</t>
  </si>
  <si>
    <t>Mudança de endereço para Blumenau/SC.</t>
  </si>
  <si>
    <t>Financeiro. Parcelamento e suspensão temporária</t>
  </si>
  <si>
    <t>Retido com mudança de endereço e suspensão temporária do serviço.</t>
  </si>
  <si>
    <t>Lucinei Vessozi de Miranda</t>
  </si>
  <si>
    <t>(51) 99971-5207</t>
  </si>
  <si>
    <t>Cliente sem sinal, gerado vt 792352 com urgência para analise.</t>
  </si>
  <si>
    <t>Natiele de Moraes flor</t>
  </si>
  <si>
    <t>(51) 99453-0816</t>
  </si>
  <si>
    <t>Retida com vt de urgência para resolver problema técnico.</t>
  </si>
  <si>
    <t>Fernanda de Souza Bica</t>
  </si>
  <si>
    <t>(51) 98638-7532</t>
  </si>
  <si>
    <t>Alega que não está mais morando no local há 5 meses e estava pagando sem usar</t>
  </si>
  <si>
    <t>Sairus Rodrigues de Oliveira</t>
  </si>
  <si>
    <t>Sao Francisco</t>
  </si>
  <si>
    <t>(51) 98477-1758</t>
  </si>
  <si>
    <t>Retido c/ mudança de endereço, isenção da taxa sem renovação da fidelidade</t>
  </si>
  <si>
    <t>Jair Silveira da Rocha</t>
  </si>
  <si>
    <t xml:space="preserve"> (51) 99921-9698</t>
  </si>
  <si>
    <t xml:space="preserve">RETENÇÃO: VISITA E OUVI O CLIENTE. </t>
  </si>
  <si>
    <t>Eduardo Pisoni</t>
  </si>
  <si>
    <t>(51) 99684-4461</t>
  </si>
  <si>
    <t>Retido com desconto especial nas próximas 6 faturas de março a agosto de R$ 129,90 por R$ 99,90.</t>
  </si>
  <si>
    <t>PATRICIA VALQUIRIA PIRES</t>
  </si>
  <si>
    <t>(51) 99725-7154</t>
  </si>
  <si>
    <t>Retida com vt de urgência para analise do problema e 50% de desc,. na sua fatura de março.</t>
  </si>
  <si>
    <t>CAMILA CAMARGO CONCEICAO</t>
  </si>
  <si>
    <t>(51) 98188-3073</t>
  </si>
  <si>
    <t>Cancelamento via native, alega troca de provedor.</t>
  </si>
  <si>
    <t>259653 - Delma Collioni</t>
  </si>
  <si>
    <t>Suporte + R$20 de desconto na fatura.</t>
  </si>
  <si>
    <t xml:space="preserve">Andrea Costa dos Santos </t>
  </si>
  <si>
    <t>(51) 98542-2094</t>
  </si>
  <si>
    <t>Retida c/ troca de titularidade</t>
  </si>
  <si>
    <t>ANDRIELI BEATRIZ FERREIRA DOS SANTOS</t>
  </si>
  <si>
    <t>(51) 99798-8473</t>
  </si>
  <si>
    <t>Retida com liberação de sinal e agendamento para troca de modem</t>
  </si>
  <si>
    <t>Cliente teve problema para conectar o wi-fi na TV</t>
  </si>
  <si>
    <t>problemas tecnicos</t>
  </si>
  <si>
    <t xml:space="preserve">Cachooeirinha </t>
  </si>
  <si>
    <t xml:space="preserve">Negociação financeira. </t>
  </si>
  <si>
    <t>NEI MISAEL ROSA MARQUES</t>
  </si>
  <si>
    <t>Nordeste</t>
  </si>
  <si>
    <t>(51) 99660-7448</t>
  </si>
  <si>
    <t>Suporte + 50% de desconto na próxima fatura.</t>
  </si>
  <si>
    <t>Anderson Dias lucas</t>
  </si>
  <si>
    <t>(51) 98475-6570</t>
  </si>
  <si>
    <t>Fornecido desconto até dezembro de 2026. Mensalidade R$ 129,90 por R$ 79,90.</t>
  </si>
  <si>
    <t xml:space="preserve"> Giovani Piereti Schneider</t>
  </si>
  <si>
    <t xml:space="preserve">Desconto de R$40,00 por 6 meses. </t>
  </si>
  <si>
    <t>Simone Silva dos Santos</t>
  </si>
  <si>
    <t>Ajustes no valor dos boletos</t>
  </si>
  <si>
    <t>Maria Sueli Moller da Silva</t>
  </si>
  <si>
    <t xml:space="preserve"> (51) 99692-8125</t>
  </si>
  <si>
    <t>27/02</t>
  </si>
  <si>
    <t>Ajuste de faturas</t>
  </si>
  <si>
    <t xml:space="preserve">Retido com visita que tinha vaga e o suporte n]ao ofertou. </t>
  </si>
  <si>
    <t xml:space="preserve"> Adryan Wilian Cunha Gonçalves</t>
  </si>
  <si>
    <t>Nova CAchoeirinha</t>
  </si>
  <si>
    <t xml:space="preserve">Cliente alegou que iria se mudar para o interior,  falei que tinhamos rede e ele disse que então iria ver de se mudar e depois nos chamaria. </t>
  </si>
  <si>
    <t>Marcelo Ferraz Nostrani</t>
  </si>
  <si>
    <t xml:space="preserve">Cliente iria ancelar os dois contratos, cancelado somente o da rua paz, outro foi retido com oferta de 30%de desconto. </t>
  </si>
  <si>
    <t>(51) 99606-2537</t>
  </si>
  <si>
    <t>Problema reincidente. Cliente aceitou a última visita para solução do problema.</t>
  </si>
  <si>
    <t xml:space="preserve"> THIAGO GABRIEL CHIELE DA SILVA</t>
  </si>
  <si>
    <t xml:space="preserve">Retido cobrindo a oferta de outro provedor. </t>
  </si>
  <si>
    <t>Retido com mudança de endereço s/ taxa c/ renovação de fidelidade</t>
  </si>
  <si>
    <t>Paulo Cesar Bica Paiva</t>
  </si>
  <si>
    <t xml:space="preserve">Ajuste de data da fatura. </t>
  </si>
  <si>
    <t>Yustan Coral Garcia</t>
  </si>
  <si>
    <t>(51) 99143-0581</t>
  </si>
  <si>
    <t>Retido com desconto de março até agosto por R$ 79,90. Taxa de mudança isento com renovação da fidelidade.</t>
  </si>
  <si>
    <t>QUITIELE DA ROSA LAMBERT</t>
  </si>
  <si>
    <t>(51) 99523-0027</t>
  </si>
  <si>
    <t xml:space="preserve">Suporte técnico imediato. </t>
  </si>
  <si>
    <t>Brenda de Freitas Gomes</t>
  </si>
  <si>
    <t>(51) 93500-3325</t>
  </si>
  <si>
    <t>Retida com isenção de mudança de endereço c/ renovação de fidelidade.</t>
  </si>
  <si>
    <t>Fabricio Machado Ferreira</t>
  </si>
  <si>
    <t>(51) 98485-4101</t>
  </si>
  <si>
    <t>Negociado fatura de janeiro e lançado desconto de R$ 30,00 reais por 6 meses</t>
  </si>
  <si>
    <t>LUCIANA GREGORIO</t>
  </si>
  <si>
    <t>(51) 99262-9364</t>
  </si>
  <si>
    <t>RETIDA com VT de urgência para análise.</t>
  </si>
  <si>
    <t>Victor Gabriel Soares do nascimento</t>
  </si>
  <si>
    <t>(51) 99583-4047</t>
  </si>
  <si>
    <t>Retido c/ mudança de endereço + 30,00 de desconto até dezembro</t>
  </si>
  <si>
    <t>FERNANDO OSCAR BIEHL NETO</t>
  </si>
  <si>
    <t>(51) 99206-4262</t>
  </si>
  <si>
    <t>Retido c/ VT + 50% de desconto nas faturas de março, abril e maio</t>
  </si>
  <si>
    <t>Andriele de Oliveira Quadros</t>
  </si>
  <si>
    <t>Balneário Jardim Beira Mar</t>
  </si>
  <si>
    <t>(51) 99528-4079</t>
  </si>
  <si>
    <t>Retida c/ suspensão temporária</t>
  </si>
  <si>
    <t>Bárbara Gund Machado</t>
  </si>
  <si>
    <t>(51) 98419-8788</t>
  </si>
  <si>
    <t>Troca de provesdor.</t>
  </si>
  <si>
    <t>Mauricio Bronzoni Machado Neto</t>
  </si>
  <si>
    <t>Neusa Maria JerÃ´nimo Martins</t>
  </si>
  <si>
    <t>(51) 99266-8923</t>
  </si>
  <si>
    <t>Isis Rafaella Rosa da Silva.</t>
  </si>
  <si>
    <t>(51) 99366-8628</t>
  </si>
  <si>
    <t>Ketlin Paola dos Santos</t>
  </si>
  <si>
    <t>(51) 98345-0135</t>
  </si>
  <si>
    <t>Fernanda do Amaral Santana</t>
  </si>
  <si>
    <t>(51) 99832-5021</t>
  </si>
  <si>
    <t>Carlos Eduardo Amaral Rodrigues</t>
  </si>
  <si>
    <t>(54) 99195-9247</t>
  </si>
  <si>
    <t>Hildamar Graziele GonÃ§alves dos Santos</t>
  </si>
  <si>
    <t>(51) 99477-9174</t>
  </si>
  <si>
    <t>Julia Nickel Santana</t>
  </si>
  <si>
    <t>(51) 98057-0740</t>
  </si>
  <si>
    <t>Eduardo Costa da Silva</t>
  </si>
  <si>
    <t>(51) 98168-3570</t>
  </si>
  <si>
    <t>Gabriel do Prado Medeiros</t>
  </si>
  <si>
    <t>(51) 99234-2506</t>
  </si>
  <si>
    <t>Maria de FÃ¡tima Mendes dos Santos</t>
  </si>
  <si>
    <t>(51) 99923-9040</t>
  </si>
  <si>
    <t>Francieli Marta Farias</t>
  </si>
  <si>
    <t>(51) 99625-5820</t>
  </si>
  <si>
    <t>Alessandra EspÃ­ndola dos Santos</t>
  </si>
  <si>
    <t>(51) 97401-2703</t>
  </si>
  <si>
    <t>Caian da Silva Machado Santos</t>
  </si>
  <si>
    <t>MUNDO NOVO</t>
  </si>
  <si>
    <t>(51) 99512-5681</t>
  </si>
  <si>
    <t>Wesley dos santos Brito</t>
  </si>
  <si>
    <t>(51) 99556-3384</t>
  </si>
  <si>
    <t>Edinara Quevedo da Silva</t>
  </si>
  <si>
    <t>(51) 99377-7206</t>
  </si>
  <si>
    <t>Everaldo Pedroso Rodrigues</t>
  </si>
  <si>
    <t>(51) 99013-2670</t>
  </si>
  <si>
    <t>Vanessa dos Santos Ferreira</t>
  </si>
  <si>
    <t>Nova GuarujÃ¡</t>
  </si>
  <si>
    <t>(51) 98117-1937</t>
  </si>
  <si>
    <t>Daniela Rodrigues Capella</t>
  </si>
  <si>
    <t>(51) 99530-0691</t>
  </si>
  <si>
    <t>AntÃ´nio Carlos lemos machado</t>
  </si>
  <si>
    <t>Santa FÃ©</t>
  </si>
  <si>
    <t>(51) 98417-6623</t>
  </si>
  <si>
    <t>Josiane Brizola do Nascimento</t>
  </si>
  <si>
    <t>(51) 99340-0833</t>
  </si>
  <si>
    <t>Willian Borges da Silva</t>
  </si>
  <si>
    <t>(51) 98971-0626</t>
  </si>
  <si>
    <t>KATHLEEN ERICA BITTENCOURT</t>
  </si>
  <si>
    <t>(51) 92006-3896</t>
  </si>
  <si>
    <t>TERESA FRANCO</t>
  </si>
  <si>
    <t>(51) 98963-4665</t>
  </si>
  <si>
    <t>Rita Maiara barbosa</t>
  </si>
  <si>
    <t>(51) 98172-9374</t>
  </si>
  <si>
    <t>Douglas Leandro Da Silva</t>
  </si>
  <si>
    <t>(51) 99497-5669</t>
  </si>
  <si>
    <t>BRUNA FERNANDES BRAZEIRO</t>
  </si>
  <si>
    <t>(51) 99281-5105</t>
  </si>
  <si>
    <t>Brenda Ferreira Oliveira</t>
  </si>
  <si>
    <t>(51) 98107-1538</t>
  </si>
  <si>
    <t>Alison Rodrigo da Silva</t>
  </si>
  <si>
    <t>(51) 99621-9448</t>
  </si>
  <si>
    <t>Carolina de Souza Quintanilha</t>
  </si>
  <si>
    <t>SÃ­tio Ipiranga</t>
  </si>
  <si>
    <t>(51) 98148-1357</t>
  </si>
  <si>
    <t>Eduardo Portela de Oliveira</t>
  </si>
  <si>
    <t>(51) 99981-6962</t>
  </si>
  <si>
    <t>Gisele Ribeiro Teixeira</t>
  </si>
  <si>
    <t>(51) 99390-6154</t>
  </si>
  <si>
    <t>Kemile Franciele Zanatta Viana</t>
  </si>
  <si>
    <t>(51) 99200-5623</t>
  </si>
  <si>
    <t>Luciane Luisa Vieira</t>
  </si>
  <si>
    <t>(51) 99508-2094</t>
  </si>
  <si>
    <t>Lucas dos Santos Neves</t>
  </si>
  <si>
    <t>(51) 98133-0495</t>
  </si>
  <si>
    <t>Andreina Cassandra do Nascimento</t>
  </si>
  <si>
    <t>(92) 98516-9099</t>
  </si>
  <si>
    <t>Manuela Melo Pereira</t>
  </si>
  <si>
    <t>(55) 99968-5830</t>
  </si>
  <si>
    <t>NatÃ¡lia Rodrigues ConceiÃ§Ã£o</t>
  </si>
  <si>
    <t>(51) 99766-0151</t>
  </si>
  <si>
    <t>MARIA MEDIANEIRA COSTA PEREIRA</t>
  </si>
  <si>
    <t>(51) 99333-0864</t>
  </si>
  <si>
    <t>Carina Bilha da Silva</t>
  </si>
  <si>
    <t>(51) 98652-9366</t>
  </si>
  <si>
    <t>Geneci Santana de Souza</t>
  </si>
  <si>
    <t>(51) 99831-3825</t>
  </si>
  <si>
    <t>Michelle Schons Fernandes</t>
  </si>
  <si>
    <t>(51) 99517-2521</t>
  </si>
  <si>
    <t>JosÃ© Edgar Mendes Fernandes Junior</t>
  </si>
  <si>
    <t>(51) 98504-7038</t>
  </si>
  <si>
    <t>Cristiano Oliveira Jaeger</t>
  </si>
  <si>
    <t>(51) 99931-8417</t>
  </si>
  <si>
    <t>Claudia Alice Ferreira Pereira</t>
  </si>
  <si>
    <t>(51) 99211-1352</t>
  </si>
  <si>
    <t>Misael de Fraga Santana</t>
  </si>
  <si>
    <t>(51) 98054-1986</t>
  </si>
  <si>
    <t>Maiara Trevisan de Oliveira</t>
  </si>
  <si>
    <t>(51) 99635-4724</t>
  </si>
  <si>
    <t>Ivan Moacir Cerri</t>
  </si>
  <si>
    <t>(51) 98021-2706</t>
  </si>
  <si>
    <t>Leidymar Del Valle Sanchez Tabette</t>
  </si>
  <si>
    <t>(51) 98157-5470</t>
  </si>
  <si>
    <t>LeÃ£o Ezequiel de Souza Neto</t>
  </si>
  <si>
    <t>BARRA</t>
  </si>
  <si>
    <t>(51) 99586-7177</t>
  </si>
  <si>
    <t>Franciele dos Santos Weiler</t>
  </si>
  <si>
    <t>(51) 99491-1406</t>
  </si>
  <si>
    <t>Natanael Calbo Alves</t>
  </si>
  <si>
    <t>(51) 99870-0854</t>
  </si>
  <si>
    <t>NoÃ© de Assis Teixeira</t>
  </si>
  <si>
    <t>(51) 99971-6873</t>
  </si>
  <si>
    <t>Rose Mara da Silva Goulart</t>
  </si>
  <si>
    <t>(51) 99376-0988</t>
  </si>
  <si>
    <t>Julia Regina Honorato</t>
  </si>
  <si>
    <t>ParaÃ­so</t>
  </si>
  <si>
    <t>(51) 99804-7982</t>
  </si>
  <si>
    <t>Isabel Fernanda Padilha Schirmer</t>
  </si>
  <si>
    <t>(51) 99777-6995</t>
  </si>
  <si>
    <t>VANDERLEI DOMINGUES DE VARGAS</t>
  </si>
  <si>
    <t>(51) 99869-9228</t>
  </si>
  <si>
    <t>Dilson Nunes da Silva</t>
  </si>
  <si>
    <t>(51) 99282-4103</t>
  </si>
  <si>
    <t>Andreia Camila Souza de Oliveira</t>
  </si>
  <si>
    <t>(51) 99990-1304</t>
  </si>
  <si>
    <t>Max AndrÃ© GonÃ§alves da Rosa Junior</t>
  </si>
  <si>
    <t>(51) 98975-5425</t>
  </si>
  <si>
    <t>Rafaela Lemes dos Santos</t>
  </si>
  <si>
    <t>(51) 99837-8676</t>
  </si>
  <si>
    <t>Eduardo Neves Cravo</t>
  </si>
  <si>
    <t>(51) 98125-5465</t>
  </si>
  <si>
    <t>Luis Carlos da Silva Alves</t>
  </si>
  <si>
    <t>(51) 98412-8902</t>
  </si>
  <si>
    <t>Hosana Vitalino Armelin</t>
  </si>
  <si>
    <t>(48) 98840-9417</t>
  </si>
  <si>
    <t>Ãgata Andryele Moraes Camargo</t>
  </si>
  <si>
    <t>(51) 99224-6748</t>
  </si>
  <si>
    <t>Wagner Baptista Lopes</t>
  </si>
  <si>
    <t>(51) 99655-1437</t>
  </si>
  <si>
    <t>Mara Rosana Belling Soares</t>
  </si>
  <si>
    <t>(48) 99625-6062</t>
  </si>
  <si>
    <t>Suzele Trindade da Silva</t>
  </si>
  <si>
    <t>(55) 99740-1269</t>
  </si>
  <si>
    <t>JoÃ£o Vitor dos Santos Hoffmann</t>
  </si>
  <si>
    <t>(51) 98104-2629</t>
  </si>
  <si>
    <t>Larissa CecÃ­lia SantarÃ©m Garcias</t>
  </si>
  <si>
    <t>(51) 98017-8549</t>
  </si>
  <si>
    <t>Regina Soares de Soares</t>
  </si>
  <si>
    <t>centro cidreira</t>
  </si>
  <si>
    <t>(51) 99361-8924</t>
  </si>
  <si>
    <t>Eduardo Alexandre Hoffmeister</t>
  </si>
  <si>
    <t>(51) 99687-4468</t>
  </si>
  <si>
    <t>Larissa Cilene Mattos da Silva</t>
  </si>
  <si>
    <t>(51) 99432-7123</t>
  </si>
  <si>
    <t>Victoria Cristina Rodrigues Soares</t>
  </si>
  <si>
    <t>(51) 98181-3802</t>
  </si>
  <si>
    <t>Kauan Colombo brando</t>
  </si>
  <si>
    <t>bairro Santa Luzia OsÃ³rio</t>
  </si>
  <si>
    <t>(51) 93500-9007</t>
  </si>
  <si>
    <t>Alessandra Silva Carvalho</t>
  </si>
  <si>
    <t>(51) 98659-2015</t>
  </si>
  <si>
    <t>Bruna Barbosa</t>
  </si>
  <si>
    <t>(51) 98673-0855</t>
  </si>
  <si>
    <t>Juventino Rech</t>
  </si>
  <si>
    <t>(51) 98948-4756</t>
  </si>
  <si>
    <t>Anderson Teixeira Camargo</t>
  </si>
  <si>
    <t>(51) 99480-1377</t>
  </si>
  <si>
    <t>Daiane Alves da Silva</t>
  </si>
  <si>
    <t>Passo do HilÃ¡rio</t>
  </si>
  <si>
    <t>(51) 99185-0835</t>
  </si>
  <si>
    <t>Camila Pereira de Abreu</t>
  </si>
  <si>
    <t>(51) 98613-6093</t>
  </si>
  <si>
    <t>Jeferson da costa corrÃªa</t>
  </si>
  <si>
    <t>(51) 9901-0826</t>
  </si>
  <si>
    <t>Vilson Teodoro Martins</t>
  </si>
  <si>
    <t>(51) 99776-6772</t>
  </si>
  <si>
    <t>Andreia Thielen da Silva</t>
  </si>
  <si>
    <t>(51) 99960-3122</t>
  </si>
  <si>
    <t>Naura ValquÃ­ria Chaves</t>
  </si>
  <si>
    <t>(51) 99019-7932</t>
  </si>
  <si>
    <t>Gilson Colombo de Borba junior</t>
  </si>
  <si>
    <t>(51) 99716-8559</t>
  </si>
  <si>
    <t>Luiz Henrique Silva da Silva</t>
  </si>
  <si>
    <t>(51) 99604-5138</t>
  </si>
  <si>
    <t>Paloma Domingos Da Silva</t>
  </si>
  <si>
    <t>(51) 98164-5957</t>
  </si>
  <si>
    <t>Adriana Ferreira Nobres do Nascimento</t>
  </si>
  <si>
    <t>(51) 98153-5889</t>
  </si>
  <si>
    <t>Kelvyn Junior de Jesus Fonseca</t>
  </si>
  <si>
    <t>(51) 99126-9289</t>
  </si>
  <si>
    <t>Bruna Nattiele Dias Rosalino</t>
  </si>
  <si>
    <t>Ãguas Mortas</t>
  </si>
  <si>
    <t>(51) 99231-8041</t>
  </si>
  <si>
    <t>Janice de FÃ¡tima da Silva Souza</t>
  </si>
  <si>
    <t>(51) 99270-6768</t>
  </si>
  <si>
    <t>Camila Alves da Silva</t>
  </si>
  <si>
    <t>(51) 99693-9816</t>
  </si>
  <si>
    <t>Cristiano Guerreiro da Silva</t>
  </si>
  <si>
    <t>(51) 99016-9288</t>
  </si>
  <si>
    <t>Andryele Cunha Tavares</t>
  </si>
  <si>
    <t>(51) 98445-6276</t>
  </si>
  <si>
    <t>Cristolino de quadra Nunes</t>
  </si>
  <si>
    <t>(51) 99249-4634</t>
  </si>
  <si>
    <t>Fabiane Carolina De Oliveira Lensina</t>
  </si>
  <si>
    <t>(51) 98033-1036</t>
  </si>
  <si>
    <t>VALMIR CARDOSO KOMMLING</t>
  </si>
  <si>
    <t>(51) 99228-1795</t>
  </si>
  <si>
    <t>Claunir Duarte de Oliveira</t>
  </si>
  <si>
    <t>(51) 99684-2807</t>
  </si>
  <si>
    <t>Michele dos Reis</t>
  </si>
  <si>
    <t>(51) 99394-2742</t>
  </si>
  <si>
    <t>MaÃ­sa Gislaine Pereira de Oliveira</t>
  </si>
  <si>
    <t>(54) 99673-2669</t>
  </si>
  <si>
    <t>Luana Rigo Braseiro</t>
  </si>
  <si>
    <t>(51) 99287-3096</t>
  </si>
  <si>
    <t>Claudio Valdir Saraiva Antunes</t>
  </si>
  <si>
    <t>NeÃ³polis</t>
  </si>
  <si>
    <t>(51) 99104-1774</t>
  </si>
  <si>
    <t>Sidnei linder</t>
  </si>
  <si>
    <t>(51) 99343-5694</t>
  </si>
  <si>
    <t>Bruna Maria Dos Santos Fontani</t>
  </si>
  <si>
    <t>(51) 99280-2838</t>
  </si>
  <si>
    <t>Jaqueline Dias da Costa</t>
  </si>
  <si>
    <t>(51) 99977-7654</t>
  </si>
  <si>
    <t>PÃ¢mela da Rosa Chagas</t>
  </si>
  <si>
    <t>(51) 99838-6858</t>
  </si>
  <si>
    <t>Amanda da Rosa Boff</t>
  </si>
  <si>
    <t>(51) 98154-0937</t>
  </si>
  <si>
    <t>MARIA DELIA BENITES HERNANDEZ</t>
  </si>
  <si>
    <t>(51) 99406-2519</t>
  </si>
  <si>
    <t>Andriele Ramos Teixeira</t>
  </si>
  <si>
    <t>(41) 99243-8806</t>
  </si>
  <si>
    <t>Patricia de Campos dos Santos</t>
  </si>
  <si>
    <t>(51) 98449-3682</t>
  </si>
  <si>
    <t>LetÃ­cia Maristela Silva</t>
  </si>
  <si>
    <t>(51) 99200-2277</t>
  </si>
  <si>
    <t>Evelin Daniele Mendes</t>
  </si>
  <si>
    <t>(51) 99873-6053</t>
  </si>
  <si>
    <t>Kauany Mengue da Silva</t>
  </si>
  <si>
    <t>(51) 99373-2364</t>
  </si>
  <si>
    <t>Gilberto verones carvalho</t>
  </si>
  <si>
    <t>(51) 99534-9372</t>
  </si>
  <si>
    <t>Thiago Lopes Etges</t>
  </si>
  <si>
    <t>(51) 98033-9189</t>
  </si>
  <si>
    <t>Daniel de quadros Botelho</t>
  </si>
  <si>
    <t>(51) 99884-3579</t>
  </si>
  <si>
    <t>Alexandre Junior da Silva Medeiros</t>
  </si>
  <si>
    <t>(51) 98904-7756</t>
  </si>
  <si>
    <t>Clara InÃªs de Azevedo Paim</t>
  </si>
  <si>
    <t>(51) 99113-6939</t>
  </si>
  <si>
    <t>Marlei Adriana dos Santos Lima</t>
  </si>
  <si>
    <t>(51) 99179-8997</t>
  </si>
  <si>
    <t>Lilia Margarita Nait Mesa</t>
  </si>
  <si>
    <t>(92) 98124-2832</t>
  </si>
  <si>
    <t>Amanda Silva oliveira</t>
  </si>
  <si>
    <t>(51) 98303-4356</t>
  </si>
  <si>
    <t>Derlise Maria Theobald Castro</t>
  </si>
  <si>
    <t>(51) 99320-8426</t>
  </si>
  <si>
    <t>Vanessa Maria Schafer</t>
  </si>
  <si>
    <t>(51) 99875-6135</t>
  </si>
  <si>
    <t>Rafael da Silva Camargo</t>
  </si>
  <si>
    <t>(51) 98142-9473</t>
  </si>
  <si>
    <t>Ketlen Amanda da Silva ParÃ©</t>
  </si>
  <si>
    <t>(51) 98104-6604</t>
  </si>
  <si>
    <t>Joao Paulo Rodrigues Dos Reis</t>
  </si>
  <si>
    <t>Cruzeiro do sul 1</t>
  </si>
  <si>
    <t>(51) 98128-8515</t>
  </si>
  <si>
    <t>Rogerio GonÃ§alves da Silva</t>
  </si>
  <si>
    <t>(51) 99309-5300</t>
  </si>
  <si>
    <t>TANIA VIVIANE ROSA DA SILVA</t>
  </si>
  <si>
    <t>(51) 99576-5378</t>
  </si>
  <si>
    <t>Tainara de Paula Filipin</t>
  </si>
  <si>
    <t>(51) 99337-7883</t>
  </si>
  <si>
    <t>Maria Paula Loureiro Xavier</t>
  </si>
  <si>
    <t>(53) 99211-2590</t>
  </si>
  <si>
    <t>AILTON CESAR DA ROSA</t>
  </si>
  <si>
    <t>(51) 99935-3100</t>
  </si>
  <si>
    <t>Neuza Maria Andrades Figueiredo</t>
  </si>
  <si>
    <t>(51) 98587-0555</t>
  </si>
  <si>
    <t>Ana LÃ­dia Konig Stoffel</t>
  </si>
  <si>
    <t>(51) 99621-2347</t>
  </si>
  <si>
    <t>Weslley da Silva Teixeira</t>
  </si>
  <si>
    <t>(51) 99530-2854</t>
  </si>
  <si>
    <t>Roger Alexandre Amaral de Souza</t>
  </si>
  <si>
    <t>Vila Bom PrincÃ­pio</t>
  </si>
  <si>
    <t>(51) 98124-4452</t>
  </si>
  <si>
    <t>Tatiane Pacheco Pereira dos Santos</t>
  </si>
  <si>
    <t>(51) 99402-9870</t>
  </si>
  <si>
    <t>ADILTON BUENO RODRIGUES</t>
  </si>
  <si>
    <t>(51) 99831-3065</t>
  </si>
  <si>
    <t>Luiz Fernando Monteiro da Silva</t>
  </si>
  <si>
    <t>(51) 98410-2691</t>
  </si>
  <si>
    <t>GABRIEL FRANCEZ FERREIRA</t>
  </si>
  <si>
    <t>(51) 99226-6236</t>
  </si>
  <si>
    <t>RAQUEL REJANE DOS SANTOS</t>
  </si>
  <si>
    <t>(51) 99884-5390</t>
  </si>
  <si>
    <t>VitÃ³ria Caroline Santos</t>
  </si>
  <si>
    <t>(51) 99114-8809</t>
  </si>
  <si>
    <t>Isabel Merigo Vargas</t>
  </si>
  <si>
    <t>(51) 99314-9814</t>
  </si>
  <si>
    <t>Brenda Caroline Rodrigues Schulte</t>
  </si>
  <si>
    <t>(51) 99238-4690</t>
  </si>
  <si>
    <t>MARIVETE DE OLIVEIRA ROSA</t>
  </si>
  <si>
    <t>Colina do LeÃ£o</t>
  </si>
  <si>
    <t>(51) 98052-5886</t>
  </si>
  <si>
    <t>Ademir Madri Antunes</t>
  </si>
  <si>
    <t>(51) 98538-1607</t>
  </si>
  <si>
    <t>Edinara Passos dos Santos</t>
  </si>
  <si>
    <t>(51) 99383-7524</t>
  </si>
  <si>
    <t>ALESSANDRA REGINA MARIANO</t>
  </si>
  <si>
    <t>Nova ParobÃ©</t>
  </si>
  <si>
    <t>(51) 98486-5475</t>
  </si>
  <si>
    <t>Bruno Alan Silva Pereira</t>
  </si>
  <si>
    <t>(51) 98967-3148</t>
  </si>
  <si>
    <t>ANA PAULA CAMARGO DOS SANTOS</t>
  </si>
  <si>
    <t>(51) 98042-8722</t>
  </si>
  <si>
    <t>ROBERTA DIONIZIO DA SILVA</t>
  </si>
  <si>
    <t>(51) 98923-8117</t>
  </si>
  <si>
    <t>Elizete Sousa Oliveira 2</t>
  </si>
  <si>
    <t>(51) 98563-3912</t>
  </si>
  <si>
    <t>AngÃ©lica de AraÃºjo lavi</t>
  </si>
  <si>
    <t>(51) 98513-0956</t>
  </si>
  <si>
    <t>Daiane Machado Becher</t>
  </si>
  <si>
    <t>(51) 98122-8939</t>
  </si>
  <si>
    <t>Maicon Costa Souza</t>
  </si>
  <si>
    <t>(51) 98645-8409</t>
  </si>
  <si>
    <t>Adejanir Dias da Silva</t>
  </si>
  <si>
    <t>SaÃµ Francisco</t>
  </si>
  <si>
    <t>(51) 98518-5011</t>
  </si>
  <si>
    <t>Tamires Nunes Farias</t>
  </si>
  <si>
    <t>(51) 99631-4164</t>
  </si>
  <si>
    <t>Zelio de Jesus Veloso Luiz</t>
  </si>
  <si>
    <t>(51) 99394-4467</t>
  </si>
  <si>
    <t>Maria Bernadete Onofre Leal</t>
  </si>
  <si>
    <t>(51) 99291-9523</t>
  </si>
  <si>
    <t>KETERINE BEMS</t>
  </si>
  <si>
    <t>(51) 98498-9445</t>
  </si>
  <si>
    <t>Geicon Ribeiro de Araujo</t>
  </si>
  <si>
    <t>(51) 99147-7111</t>
  </si>
  <si>
    <t>Tatiane Dal Piva Da Silva</t>
  </si>
  <si>
    <t>(51) 98635-0059</t>
  </si>
  <si>
    <t>Karen Weschenfelder</t>
  </si>
  <si>
    <t>(51) 98143-8560</t>
  </si>
  <si>
    <t>Vera Lucia Bergenthal</t>
  </si>
  <si>
    <t>(51) 98521-8847</t>
  </si>
  <si>
    <t>Juliane Daleaste Da Silva</t>
  </si>
  <si>
    <t>(51) 98498-3057</t>
  </si>
  <si>
    <t>Vilmara Souza da Silva</t>
  </si>
  <si>
    <t>(51) 98452-9572</t>
  </si>
  <si>
    <t>Romalino Damasceno Geraldo</t>
  </si>
  <si>
    <t>(51) 99486-8975</t>
  </si>
  <si>
    <t>Tayna Lopes dos Santos</t>
  </si>
  <si>
    <t>(51) 99198-6620</t>
  </si>
  <si>
    <t>Joseane Becker dos Santos</t>
  </si>
  <si>
    <t>(51) 99303-0518</t>
  </si>
  <si>
    <t>Rodrigo de Lacerda Butler</t>
  </si>
  <si>
    <t>(51) 99298-1719</t>
  </si>
  <si>
    <t>Juan Carlos Quessada Giordani</t>
  </si>
  <si>
    <t>(51) 99292-6670</t>
  </si>
  <si>
    <t>ECORECICLE COMERCIO DE METAIS EIRELI</t>
  </si>
  <si>
    <t>(51) 99942-5942</t>
  </si>
  <si>
    <t>INDIANA DA COSTA FERREIRA</t>
  </si>
  <si>
    <t>(51) 98151-7306</t>
  </si>
  <si>
    <t>PABLO HENRIQUE CORREA</t>
  </si>
  <si>
    <t>(51) 99135-5665</t>
  </si>
  <si>
    <t>IVAN CLEBER ARAUJO</t>
  </si>
  <si>
    <t>(51) 99992-6727</t>
  </si>
  <si>
    <t>JOSE PAULO LINCK</t>
  </si>
  <si>
    <t>(51) 99756-4888</t>
  </si>
  <si>
    <t>Juliana Moura Leobora</t>
  </si>
  <si>
    <t>(51) 99950-4772</t>
  </si>
  <si>
    <t xml:space="preserve">CHRISTIAN ALBERTO HIDALGO MARTINEZ </t>
  </si>
  <si>
    <t>Jardim</t>
  </si>
  <si>
    <t>(51) 99657-6261</t>
  </si>
  <si>
    <t>JERRI ADRIANO GRASSMANN SOARES</t>
  </si>
  <si>
    <t>RincÃ£o dos Ilheus</t>
  </si>
  <si>
    <t>(51) 99535-0846</t>
  </si>
  <si>
    <t>ILSA APARECIDA BAUMART SOSIM</t>
  </si>
  <si>
    <t>(51) 98221-7560</t>
  </si>
  <si>
    <t>POSTOS CARGA PESADA LTDA</t>
  </si>
  <si>
    <t>(51) 99720-1548</t>
  </si>
  <si>
    <t>LILIANE MENDES</t>
  </si>
  <si>
    <t>(51) 99340-0971</t>
  </si>
  <si>
    <t>CLODOALDO DOS SANTOS PRADO</t>
  </si>
  <si>
    <t>(51) 99768-9269</t>
  </si>
  <si>
    <t>ALEXSANDRE DA SILVA</t>
  </si>
  <si>
    <t>(51) 99779-3293</t>
  </si>
  <si>
    <t>SILVANA MARCIA MARSCHALL</t>
  </si>
  <si>
    <t>(51) 99728-5517</t>
  </si>
  <si>
    <t>ANTONNY CALCADOS EIRELI</t>
  </si>
  <si>
    <t>(51) 99554-4090</t>
  </si>
  <si>
    <t>EDUARDO HENRIQUE SOARES</t>
  </si>
  <si>
    <t>(51) 99568-0274</t>
  </si>
  <si>
    <t>EVERTON LUIZ DE OLIVEIRA HABI</t>
  </si>
  <si>
    <t>(51) 98049-1760</t>
  </si>
  <si>
    <t>DANIEL VIEIRA RIBEIRO</t>
  </si>
  <si>
    <t>(51) 99511-3277</t>
  </si>
  <si>
    <t>CARMEN VANZELLA DOS SANTOS</t>
  </si>
  <si>
    <t>(51) 99135-6766</t>
  </si>
  <si>
    <t>DANIEL RIBEIRO DE OLIVEIRA</t>
  </si>
  <si>
    <t>(51) 9475-6746</t>
  </si>
  <si>
    <t>MAIARA MARTINS DE MELLO</t>
  </si>
  <si>
    <t>(51) 98056-4986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</si>
</sst>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52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4"/>
      <color rgb="FF282828"/>
      <name val="Calibri"/>
      <family val="2"/>
      <scheme val="minor"/>
    </font>
    <font>
      <b/>
      <sz val="24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20"/>
      <color rgb="FFFFFFFF"/>
      <name val="Calibri Light"/>
    </font>
    <font>
      <b/>
      <sz val="12"/>
      <color rgb="FFFFFFFF"/>
      <name val="Calibri Light"/>
    </font>
    <font>
      <b/>
      <sz val="12"/>
      <color rgb="FF000000"/>
      <name val="Calibri Light"/>
    </font>
    <font>
      <b/>
      <sz val="26"/>
      <color rgb="FF000000"/>
      <name val="Calibri"/>
      <family val="2"/>
      <scheme val="minor"/>
    </font>
    <font>
      <b/>
      <sz val="14"/>
      <color rgb="FFFFFFFF"/>
      <name val="Calibri Light"/>
    </font>
    <font>
      <b/>
      <sz val="14"/>
      <color rgb="FF000000"/>
      <name val="Calibri Light"/>
    </font>
    <font>
      <i/>
      <sz val="12"/>
      <color rgb="FF000000"/>
      <name val="Calibri Light"/>
    </font>
    <font>
      <sz val="11"/>
      <color rgb="FF444444"/>
      <name val="Calibri"/>
      <family val="2"/>
      <scheme val="minor"/>
    </font>
    <font>
      <sz val="8"/>
      <name val="Calibri"/>
      <family val="2"/>
      <scheme val="minor"/>
    </font>
    <font>
      <sz val="18"/>
      <color rgb="FF000000"/>
      <name val="Calibri"/>
      <family val="2"/>
      <scheme val="minor"/>
    </font>
    <font>
      <sz val="11"/>
      <color rgb="FFFFFFFF"/>
      <name val="Calibri Light"/>
    </font>
    <font>
      <sz val="11"/>
      <color rgb="FF000000"/>
      <name val="Calibri Light"/>
    </font>
    <font>
      <sz val="11"/>
      <color theme="1"/>
      <name val="Calibri Light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1"/>
      <color rgb="FF000000"/>
      <name val="Aptos Narrow"/>
      <family val="2"/>
    </font>
    <font>
      <sz val="12"/>
      <color theme="1"/>
      <name val="Open-Sans"/>
      <charset val="1"/>
    </font>
    <font>
      <sz val="11"/>
      <color rgb="FF000000"/>
      <name val="Aptos Narrow"/>
    </font>
    <font>
      <b/>
      <sz val="9"/>
      <color theme="1"/>
      <name val="Open-Sans"/>
      <charset val="1"/>
    </font>
    <font>
      <sz val="9"/>
      <color theme="1"/>
      <name val="Open-Sans"/>
      <charset val="1"/>
    </font>
    <font>
      <sz val="12"/>
      <color rgb="FF212529"/>
      <name val="-Apple-System"/>
      <charset val="1"/>
    </font>
    <font>
      <b/>
      <sz val="11"/>
      <color theme="1"/>
      <name val="Calibri"/>
      <family val="2"/>
      <scheme val="minor"/>
    </font>
    <font>
      <sz val="12"/>
      <color rgb="FF000000"/>
      <name val="Calibri"/>
      <scheme val="minor"/>
    </font>
    <font>
      <b/>
      <sz val="11"/>
      <color rgb="FF000000"/>
      <name val="Inter"/>
      <charset val="1"/>
    </font>
    <font>
      <b/>
      <sz val="12"/>
      <color rgb="FF000000"/>
      <name val="Open-Sans"/>
    </font>
    <font>
      <sz val="12"/>
      <color rgb="FF000000"/>
      <name val="Open-Sans"/>
      <charset val="1"/>
    </font>
    <font>
      <sz val="11"/>
      <color rgb="FF282D37"/>
      <name val="Inter"/>
      <family val="2"/>
      <charset val="1"/>
    </font>
    <font>
      <sz val="12"/>
      <color theme="1"/>
      <name val="Calibri"/>
      <family val="2"/>
      <scheme val="minor"/>
    </font>
    <font>
      <sz val="12"/>
      <color theme="1"/>
      <name val="Calibri"/>
      <scheme val="minor"/>
    </font>
    <font>
      <sz val="11"/>
      <color theme="1"/>
      <name val="Inter"/>
      <charset val="1"/>
    </font>
    <font>
      <sz val="11"/>
      <color theme="1"/>
      <name val="Inter"/>
      <family val="2"/>
      <charset val="1"/>
    </font>
    <font>
      <sz val="12"/>
      <color rgb="FF000000"/>
      <name val="Calibri Light"/>
      <scheme val="major"/>
    </font>
    <font>
      <u/>
      <sz val="11"/>
      <color theme="10"/>
      <name val="Calibri"/>
      <family val="2"/>
      <scheme val="minor"/>
    </font>
    <font>
      <sz val="9"/>
      <color rgb="FF282D37"/>
      <name val="Inter"/>
      <family val="2"/>
      <charset val="1"/>
    </font>
    <font>
      <sz val="11"/>
      <color rgb="FF00000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262626"/>
        <bgColor rgb="FF000000"/>
      </patternFill>
    </fill>
    <fill>
      <patternFill patternType="solid">
        <fgColor rgb="FF3A3838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49" fillId="0" borderId="0" applyNumberFormat="0" applyFill="0" applyBorder="0" applyAlignment="0" applyProtection="0"/>
  </cellStyleXfs>
  <cellXfs count="13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 wrapText="1"/>
    </xf>
    <xf numFmtId="0" fontId="2" fillId="0" borderId="0" xfId="0" applyFont="1" applyAlignment="1">
      <alignment vertical="center"/>
    </xf>
    <xf numFmtId="0" fontId="16" fillId="6" borderId="6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4" fillId="0" borderId="0" xfId="0" applyFont="1" applyAlignment="1">
      <alignment horizontal="center" wrapText="1"/>
    </xf>
    <xf numFmtId="16" fontId="2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8" fontId="8" fillId="0" borderId="0" xfId="0" applyNumberFormat="1" applyFont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9" fontId="19" fillId="0" borderId="0" xfId="0" applyNumberFormat="1" applyFont="1" applyAlignment="1">
      <alignment horizontal="center"/>
    </xf>
    <xf numFmtId="49" fontId="7" fillId="3" borderId="2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center"/>
    </xf>
    <xf numFmtId="49" fontId="10" fillId="0" borderId="0" xfId="0" applyNumberFormat="1" applyFont="1" applyAlignment="1">
      <alignment horizontal="center"/>
    </xf>
    <xf numFmtId="49" fontId="19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49" fontId="0" fillId="0" borderId="0" xfId="0" applyNumberFormat="1"/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1" fontId="17" fillId="7" borderId="2" xfId="0" applyNumberFormat="1" applyFont="1" applyFill="1" applyBorder="1" applyAlignment="1">
      <alignment horizontal="center" vertical="center"/>
    </xf>
    <xf numFmtId="1" fontId="17" fillId="8" borderId="8" xfId="0" applyNumberFormat="1" applyFont="1" applyFill="1" applyBorder="1" applyAlignment="1">
      <alignment horizontal="center" vertical="center"/>
    </xf>
    <xf numFmtId="10" fontId="17" fillId="3" borderId="8" xfId="0" applyNumberFormat="1" applyFont="1" applyFill="1" applyBorder="1" applyAlignment="1">
      <alignment horizontal="center" vertical="center"/>
    </xf>
    <xf numFmtId="1" fontId="17" fillId="3" borderId="2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vertical="center"/>
    </xf>
    <xf numFmtId="0" fontId="0" fillId="0" borderId="0" xfId="0" applyFont="1"/>
    <xf numFmtId="10" fontId="18" fillId="0" borderId="2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10" fontId="18" fillId="0" borderId="1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2" fillId="4" borderId="13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24" fillId="9" borderId="10" xfId="0" applyFont="1" applyFill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/>
    </xf>
    <xf numFmtId="1" fontId="11" fillId="0" borderId="3" xfId="0" applyNumberFormat="1" applyFont="1" applyBorder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64" fontId="7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wrapText="1"/>
    </xf>
    <xf numFmtId="49" fontId="1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 wrapText="1"/>
    </xf>
    <xf numFmtId="49" fontId="11" fillId="0" borderId="0" xfId="0" applyNumberFormat="1" applyFont="1" applyAlignment="1">
      <alignment horizontal="center" wrapText="1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0" fontId="7" fillId="0" borderId="0" xfId="0" quotePrefix="1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10" fontId="29" fillId="0" borderId="12" xfId="0" applyNumberFormat="1" applyFont="1" applyBorder="1" applyAlignment="1">
      <alignment horizontal="center"/>
    </xf>
    <xf numFmtId="9" fontId="27" fillId="10" borderId="15" xfId="0" applyNumberFormat="1" applyFont="1" applyFill="1" applyBorder="1" applyAlignment="1">
      <alignment horizontal="center" vertical="center"/>
    </xf>
    <xf numFmtId="1" fontId="11" fillId="3" borderId="17" xfId="0" applyNumberFormat="1" applyFont="1" applyFill="1" applyBorder="1" applyAlignment="1">
      <alignment horizontal="center" vertical="center"/>
    </xf>
    <xf numFmtId="8" fontId="11" fillId="3" borderId="16" xfId="0" applyNumberFormat="1" applyFont="1" applyFill="1" applyBorder="1" applyAlignment="1">
      <alignment horizontal="center" vertical="center"/>
    </xf>
    <xf numFmtId="10" fontId="30" fillId="0" borderId="18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10" fontId="31" fillId="0" borderId="0" xfId="0" applyNumberFormat="1" applyFont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 wrapText="1"/>
    </xf>
    <xf numFmtId="49" fontId="7" fillId="0" borderId="0" xfId="0" applyNumberFormat="1" applyFont="1" applyFill="1" applyAlignment="1">
      <alignment horizontal="center" vertical="center" wrapText="1"/>
    </xf>
    <xf numFmtId="0" fontId="32" fillId="0" borderId="0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39" fillId="0" borderId="0" xfId="0" applyFont="1" applyFill="1" applyBorder="1" applyAlignment="1">
      <alignment horizontal="center"/>
    </xf>
    <xf numFmtId="0" fontId="39" fillId="0" borderId="0" xfId="0" applyFont="1" applyFill="1" applyBorder="1" applyAlignment="1">
      <alignment horizontal="center" wrapText="1"/>
    </xf>
    <xf numFmtId="0" fontId="40" fillId="0" borderId="0" xfId="0" applyFont="1"/>
    <xf numFmtId="0" fontId="34" fillId="0" borderId="0" xfId="0" applyFont="1"/>
    <xf numFmtId="0" fontId="34" fillId="9" borderId="10" xfId="0" applyFont="1" applyFill="1" applyBorder="1"/>
    <xf numFmtId="49" fontId="8" fillId="0" borderId="0" xfId="0" quotePrefix="1" applyNumberFormat="1" applyFont="1" applyAlignment="1">
      <alignment horizontal="center" vertical="center"/>
    </xf>
    <xf numFmtId="0" fontId="41" fillId="0" borderId="0" xfId="0" applyFont="1"/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horizontal="center"/>
    </xf>
    <xf numFmtId="49" fontId="8" fillId="0" borderId="0" xfId="0" applyNumberFormat="1" applyFont="1" applyAlignment="1">
      <alignment horizontal="center" vertical="center" wrapText="1"/>
    </xf>
    <xf numFmtId="0" fontId="39" fillId="0" borderId="0" xfId="0" applyFont="1" applyAlignment="1">
      <alignment horizontal="center" wrapText="1"/>
    </xf>
    <xf numFmtId="0" fontId="42" fillId="0" borderId="0" xfId="0" applyFont="1" applyAlignment="1">
      <alignment horizontal="center"/>
    </xf>
    <xf numFmtId="0" fontId="43" fillId="0" borderId="0" xfId="0" applyFont="1"/>
    <xf numFmtId="0" fontId="44" fillId="0" borderId="0" xfId="0" applyFont="1" applyAlignment="1">
      <alignment horizontal="center" vertical="center"/>
    </xf>
    <xf numFmtId="0" fontId="45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4" fillId="0" borderId="0" xfId="0" applyFont="1" applyAlignment="1">
      <alignment vertical="center"/>
    </xf>
    <xf numFmtId="0" fontId="43" fillId="0" borderId="0" xfId="0" applyFont="1" applyAlignment="1">
      <alignment horizontal="center"/>
    </xf>
    <xf numFmtId="0" fontId="48" fillId="0" borderId="0" xfId="0" applyFont="1"/>
    <xf numFmtId="0" fontId="50" fillId="0" borderId="0" xfId="0" applyFont="1"/>
    <xf numFmtId="0" fontId="5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104775</xdr:colOff>
      <xdr:row>292</xdr:row>
      <xdr:rowOff>0</xdr:rowOff>
    </xdr:from>
    <xdr:to>
      <xdr:col>13</xdr:col>
      <xdr:colOff>4676775</xdr:colOff>
      <xdr:row>295</xdr:row>
      <xdr:rowOff>28575</xdr:rowOff>
    </xdr:to>
    <xdr:pic>
      <xdr:nvPicPr>
        <xdr:cNvPr id="2" name="">
          <a:extLst>
            <a:ext uri="{FF2B5EF4-FFF2-40B4-BE49-F238E27FC236}">
              <a16:creationId xmlns:a16="http://schemas.microsoft.com/office/drawing/2014/main" id="{AFFD6706-0A30-3D34-F00B-CB407C23C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50600" y="5972175"/>
          <a:ext cx="4572000" cy="295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ogin.convenia.com.br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D6B36-E267-4841-A2ED-36EE5ABAD7BE}">
  <sheetPr>
    <tabColor theme="1" tint="0.499984740745262"/>
  </sheetPr>
  <dimension ref="A1:Q785"/>
  <sheetViews>
    <sheetView tabSelected="1" workbookViewId="0">
      <pane ySplit="4" topLeftCell="A70" activePane="bottomLeft" state="frozen"/>
      <selection pane="bottomLeft" activeCell="E73" sqref="E73"/>
    </sheetView>
  </sheetViews>
  <sheetFormatPr defaultColWidth="27" defaultRowHeight="28.5" customHeight="1"/>
  <cols>
    <col min="1" max="1" width="36.5703125" bestFit="1" customWidth="1"/>
    <col min="4" max="4" width="53.140625" customWidth="1"/>
    <col min="5" max="5" width="36.5703125" bestFit="1" customWidth="1"/>
    <col min="13" max="13" width="36.5703125" bestFit="1" customWidth="1"/>
    <col min="14" max="14" width="91.140625" customWidth="1"/>
    <col min="15" max="15" width="19.42578125" customWidth="1"/>
  </cols>
  <sheetData>
    <row r="1" spans="1:16" ht="75.75" customHeight="1">
      <c r="A1" s="125" t="s">
        <v>0</v>
      </c>
      <c r="B1" s="125"/>
      <c r="C1" s="77" t="s">
        <v>1</v>
      </c>
      <c r="D1" s="124" t="s">
        <v>2</v>
      </c>
      <c r="E1" s="124" t="s">
        <v>3</v>
      </c>
      <c r="F1" s="124" t="s">
        <v>4</v>
      </c>
      <c r="G1" s="124" t="s">
        <v>5</v>
      </c>
      <c r="H1" s="124" t="s">
        <v>6</v>
      </c>
      <c r="I1" s="69" t="s">
        <v>7</v>
      </c>
      <c r="J1" s="77" t="s">
        <v>8</v>
      </c>
      <c r="K1" s="77" t="s">
        <v>9</v>
      </c>
      <c r="L1" s="86" t="s">
        <v>10</v>
      </c>
      <c r="N1" s="2"/>
      <c r="O1" s="1"/>
      <c r="P1" s="1"/>
    </row>
    <row r="2" spans="1:16" ht="28.5" customHeight="1">
      <c r="A2" s="126">
        <v>250</v>
      </c>
      <c r="B2" s="126"/>
      <c r="C2" s="53">
        <f>COUNTIF(C5:C697,"cancelado")</f>
        <v>290</v>
      </c>
      <c r="D2" s="43">
        <f>A2-C2</f>
        <v>-40</v>
      </c>
      <c r="E2" s="3">
        <v>26</v>
      </c>
      <c r="F2" s="3">
        <v>26</v>
      </c>
      <c r="G2" s="4">
        <f>E2-F2</f>
        <v>0</v>
      </c>
      <c r="H2" s="43">
        <f>A2/E2</f>
        <v>9.615384615384615</v>
      </c>
      <c r="I2" s="43" t="e">
        <f>D2/G2</f>
        <v>#DIV/0!</v>
      </c>
      <c r="J2" s="78">
        <f>COUNTIF(C5:C697,"inadimplencia")</f>
        <v>191</v>
      </c>
      <c r="K2" s="79">
        <f>C2+J2</f>
        <v>481</v>
      </c>
      <c r="L2" s="87">
        <f>K2/19554</f>
        <v>2.4598547611741843E-2</v>
      </c>
      <c r="N2" s="5"/>
      <c r="O2" s="1"/>
      <c r="P2" s="1"/>
    </row>
    <row r="3" spans="1:16" ht="28.5" customHeight="1">
      <c r="A3" s="127" t="s">
        <v>11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"/>
      <c r="P3" s="1"/>
    </row>
    <row r="4" spans="1:16" ht="28.5" customHeight="1">
      <c r="A4" s="6" t="s">
        <v>12</v>
      </c>
      <c r="B4" s="32" t="s">
        <v>13</v>
      </c>
      <c r="C4" s="49" t="s">
        <v>14</v>
      </c>
      <c r="D4" s="7" t="s">
        <v>15</v>
      </c>
      <c r="E4" s="7" t="s">
        <v>16</v>
      </c>
      <c r="F4" s="7" t="s">
        <v>17</v>
      </c>
      <c r="G4" s="7" t="s">
        <v>18</v>
      </c>
      <c r="H4" s="7" t="s">
        <v>19</v>
      </c>
      <c r="I4" s="32" t="s">
        <v>20</v>
      </c>
      <c r="J4" s="32" t="s">
        <v>21</v>
      </c>
      <c r="K4" s="32" t="s">
        <v>22</v>
      </c>
      <c r="L4" s="7" t="s">
        <v>23</v>
      </c>
      <c r="M4" s="7" t="s">
        <v>24</v>
      </c>
      <c r="N4" s="6" t="s">
        <v>25</v>
      </c>
      <c r="O4" s="6" t="s">
        <v>26</v>
      </c>
      <c r="P4" s="1"/>
    </row>
    <row r="5" spans="1:16" ht="28.5" customHeight="1">
      <c r="A5" s="10">
        <v>1</v>
      </c>
      <c r="B5" s="33" t="s">
        <v>27</v>
      </c>
      <c r="C5" s="41" t="s">
        <v>28</v>
      </c>
      <c r="D5" s="41" t="s">
        <v>29</v>
      </c>
      <c r="E5" s="41" t="s">
        <v>30</v>
      </c>
      <c r="F5" s="115" t="s">
        <v>31</v>
      </c>
      <c r="G5" s="41" t="s">
        <v>32</v>
      </c>
      <c r="H5" s="8" t="s">
        <v>33</v>
      </c>
      <c r="I5" s="70"/>
      <c r="J5" s="70"/>
      <c r="K5" s="65">
        <v>99.9</v>
      </c>
      <c r="L5" s="41" t="s">
        <v>34</v>
      </c>
      <c r="M5" s="41" t="s">
        <v>35</v>
      </c>
      <c r="N5" s="10" t="s">
        <v>36</v>
      </c>
      <c r="O5" s="8"/>
      <c r="P5" s="1" t="s">
        <v>37</v>
      </c>
    </row>
    <row r="6" spans="1:16" ht="28.5" customHeight="1">
      <c r="A6" s="10">
        <v>1</v>
      </c>
      <c r="B6" s="33" t="s">
        <v>27</v>
      </c>
      <c r="C6" s="41" t="s">
        <v>28</v>
      </c>
      <c r="D6" s="41" t="s">
        <v>38</v>
      </c>
      <c r="E6" s="41" t="s">
        <v>39</v>
      </c>
      <c r="F6" s="115" t="s">
        <v>40</v>
      </c>
      <c r="G6" s="41" t="s">
        <v>41</v>
      </c>
      <c r="H6" s="8" t="s">
        <v>33</v>
      </c>
      <c r="I6" s="70"/>
      <c r="J6" s="70"/>
      <c r="K6" s="65">
        <v>99.9</v>
      </c>
      <c r="L6" s="41" t="s">
        <v>34</v>
      </c>
      <c r="M6" s="41" t="s">
        <v>35</v>
      </c>
      <c r="N6" s="10" t="s">
        <v>42</v>
      </c>
      <c r="O6" s="8"/>
      <c r="P6" s="1" t="s">
        <v>37</v>
      </c>
    </row>
    <row r="7" spans="1:16" ht="28.5" customHeight="1">
      <c r="A7" s="10">
        <v>1</v>
      </c>
      <c r="B7" s="33" t="s">
        <v>27</v>
      </c>
      <c r="C7" s="41" t="s">
        <v>28</v>
      </c>
      <c r="D7" s="41" t="s">
        <v>43</v>
      </c>
      <c r="E7" s="41" t="s">
        <v>44</v>
      </c>
      <c r="F7" s="115" t="s">
        <v>45</v>
      </c>
      <c r="G7" s="41" t="s">
        <v>46</v>
      </c>
      <c r="H7" s="8" t="s">
        <v>47</v>
      </c>
      <c r="I7" s="70" t="s">
        <v>48</v>
      </c>
      <c r="J7" s="70"/>
      <c r="K7" s="65">
        <v>99.9</v>
      </c>
      <c r="L7" s="41" t="s">
        <v>49</v>
      </c>
      <c r="M7" s="41" t="s">
        <v>35</v>
      </c>
      <c r="N7" s="10" t="s">
        <v>50</v>
      </c>
      <c r="O7" s="8"/>
      <c r="P7" s="1" t="s">
        <v>37</v>
      </c>
    </row>
    <row r="8" spans="1:16" ht="28.5" customHeight="1">
      <c r="A8" s="10">
        <v>1</v>
      </c>
      <c r="B8" s="33" t="s">
        <v>27</v>
      </c>
      <c r="C8" s="41" t="s">
        <v>28</v>
      </c>
      <c r="D8" s="41" t="s">
        <v>51</v>
      </c>
      <c r="E8" s="41" t="s">
        <v>52</v>
      </c>
      <c r="F8" s="115">
        <v>47991512300</v>
      </c>
      <c r="G8" s="41" t="s">
        <v>53</v>
      </c>
      <c r="H8" s="8" t="s">
        <v>33</v>
      </c>
      <c r="I8" s="70" t="s">
        <v>54</v>
      </c>
      <c r="J8" s="70"/>
      <c r="K8" s="65">
        <v>99.9</v>
      </c>
      <c r="L8" s="41" t="s">
        <v>55</v>
      </c>
      <c r="M8" s="41" t="s">
        <v>56</v>
      </c>
      <c r="N8" s="10" t="s">
        <v>57</v>
      </c>
      <c r="O8" s="8"/>
      <c r="P8" s="1" t="s">
        <v>37</v>
      </c>
    </row>
    <row r="9" spans="1:16" ht="28.5" customHeight="1">
      <c r="A9" s="10">
        <v>1</v>
      </c>
      <c r="B9" s="33" t="s">
        <v>27</v>
      </c>
      <c r="C9" s="41" t="s">
        <v>28</v>
      </c>
      <c r="D9" s="41" t="s">
        <v>58</v>
      </c>
      <c r="E9" s="41" t="s">
        <v>39</v>
      </c>
      <c r="F9" s="115" t="s">
        <v>59</v>
      </c>
      <c r="G9" s="41" t="s">
        <v>41</v>
      </c>
      <c r="H9" s="8" t="s">
        <v>33</v>
      </c>
      <c r="I9" s="70" t="s">
        <v>60</v>
      </c>
      <c r="J9" s="70"/>
      <c r="K9" s="65">
        <v>89.9</v>
      </c>
      <c r="L9" s="41" t="s">
        <v>49</v>
      </c>
      <c r="M9" s="41" t="s">
        <v>61</v>
      </c>
      <c r="N9" s="10" t="s">
        <v>62</v>
      </c>
      <c r="O9" s="8"/>
      <c r="P9" s="1" t="s">
        <v>37</v>
      </c>
    </row>
    <row r="10" spans="1:16" ht="28.5" customHeight="1">
      <c r="A10" s="10">
        <v>1</v>
      </c>
      <c r="B10" s="33" t="s">
        <v>27</v>
      </c>
      <c r="C10" s="41" t="s">
        <v>28</v>
      </c>
      <c r="D10" s="41" t="s">
        <v>63</v>
      </c>
      <c r="E10" s="41" t="s">
        <v>64</v>
      </c>
      <c r="F10" s="115" t="s">
        <v>65</v>
      </c>
      <c r="G10" s="41" t="s">
        <v>66</v>
      </c>
      <c r="H10" s="8" t="s">
        <v>67</v>
      </c>
      <c r="I10" s="70" t="s">
        <v>68</v>
      </c>
      <c r="J10" s="70"/>
      <c r="K10" s="65">
        <v>99.9</v>
      </c>
      <c r="L10" s="41" t="s">
        <v>49</v>
      </c>
      <c r="M10" s="41" t="s">
        <v>61</v>
      </c>
      <c r="N10" s="10" t="s">
        <v>69</v>
      </c>
      <c r="O10" s="8"/>
      <c r="P10" s="1" t="s">
        <v>37</v>
      </c>
    </row>
    <row r="11" spans="1:16" ht="28.5" customHeight="1">
      <c r="A11" s="10">
        <v>1</v>
      </c>
      <c r="B11" s="33" t="s">
        <v>27</v>
      </c>
      <c r="C11" s="41" t="s">
        <v>28</v>
      </c>
      <c r="D11" s="41" t="s">
        <v>70</v>
      </c>
      <c r="E11" s="41" t="s">
        <v>71</v>
      </c>
      <c r="F11" s="115" t="s">
        <v>72</v>
      </c>
      <c r="G11" s="41" t="s">
        <v>73</v>
      </c>
      <c r="H11" s="8" t="s">
        <v>33</v>
      </c>
      <c r="I11" s="70" t="s">
        <v>74</v>
      </c>
      <c r="J11" s="70"/>
      <c r="K11" s="65">
        <v>119.9</v>
      </c>
      <c r="L11" s="41" t="s">
        <v>49</v>
      </c>
      <c r="M11" s="41" t="s">
        <v>61</v>
      </c>
      <c r="N11" s="10" t="s">
        <v>75</v>
      </c>
      <c r="O11" s="8"/>
      <c r="P11" s="1" t="s">
        <v>37</v>
      </c>
    </row>
    <row r="12" spans="1:16" ht="28.5" customHeight="1">
      <c r="A12" s="10">
        <v>1</v>
      </c>
      <c r="B12" s="33" t="s">
        <v>27</v>
      </c>
      <c r="C12" s="41" t="s">
        <v>28</v>
      </c>
      <c r="D12" s="41" t="s">
        <v>76</v>
      </c>
      <c r="E12" s="41" t="s">
        <v>77</v>
      </c>
      <c r="F12" s="115" t="s">
        <v>78</v>
      </c>
      <c r="G12" s="41" t="s">
        <v>79</v>
      </c>
      <c r="H12" s="8" t="s">
        <v>47</v>
      </c>
      <c r="I12" s="70"/>
      <c r="J12" s="70"/>
      <c r="K12" s="65">
        <v>99.9</v>
      </c>
      <c r="L12" s="41" t="s">
        <v>49</v>
      </c>
      <c r="M12" s="41" t="s">
        <v>80</v>
      </c>
      <c r="N12" s="10" t="s">
        <v>81</v>
      </c>
      <c r="O12" s="8"/>
      <c r="P12" s="1" t="s">
        <v>37</v>
      </c>
    </row>
    <row r="13" spans="1:16" ht="28.5" customHeight="1">
      <c r="A13" s="10">
        <v>1</v>
      </c>
      <c r="B13" s="33" t="s">
        <v>27</v>
      </c>
      <c r="C13" s="41" t="s">
        <v>28</v>
      </c>
      <c r="D13" s="41" t="s">
        <v>82</v>
      </c>
      <c r="E13" s="41" t="s">
        <v>83</v>
      </c>
      <c r="F13" s="115" t="s">
        <v>84</v>
      </c>
      <c r="G13" s="41" t="s">
        <v>85</v>
      </c>
      <c r="H13" s="8" t="s">
        <v>33</v>
      </c>
      <c r="I13" s="70" t="s">
        <v>86</v>
      </c>
      <c r="J13" s="70"/>
      <c r="K13" s="65">
        <v>59.9</v>
      </c>
      <c r="L13" s="41" t="s">
        <v>49</v>
      </c>
      <c r="M13" s="41" t="s">
        <v>61</v>
      </c>
      <c r="N13" s="10" t="s">
        <v>87</v>
      </c>
      <c r="O13" s="8"/>
      <c r="P13" s="1" t="s">
        <v>37</v>
      </c>
    </row>
    <row r="14" spans="1:16" ht="28.5" customHeight="1">
      <c r="A14" s="10">
        <v>1</v>
      </c>
      <c r="B14" s="33" t="s">
        <v>27</v>
      </c>
      <c r="C14" s="41" t="s">
        <v>28</v>
      </c>
      <c r="D14" s="41" t="s">
        <v>88</v>
      </c>
      <c r="E14" s="41" t="s">
        <v>89</v>
      </c>
      <c r="F14" s="115" t="s">
        <v>90</v>
      </c>
      <c r="G14" s="41" t="s">
        <v>91</v>
      </c>
      <c r="H14" s="8" t="s">
        <v>67</v>
      </c>
      <c r="I14" s="70" t="s">
        <v>68</v>
      </c>
      <c r="J14" s="70"/>
      <c r="K14" s="65">
        <v>129.9</v>
      </c>
      <c r="L14" s="41" t="s">
        <v>49</v>
      </c>
      <c r="M14" s="41" t="s">
        <v>80</v>
      </c>
      <c r="N14" s="10" t="s">
        <v>92</v>
      </c>
      <c r="O14" s="8"/>
      <c r="P14" s="1" t="s">
        <v>37</v>
      </c>
    </row>
    <row r="15" spans="1:16" ht="28.5" customHeight="1">
      <c r="A15" s="10">
        <v>1</v>
      </c>
      <c r="B15" s="33" t="s">
        <v>27</v>
      </c>
      <c r="C15" s="41" t="s">
        <v>93</v>
      </c>
      <c r="D15" s="110" t="s">
        <v>94</v>
      </c>
      <c r="E15" s="110" t="s">
        <v>95</v>
      </c>
      <c r="F15" s="116" t="s">
        <v>96</v>
      </c>
      <c r="G15" s="110" t="s">
        <v>66</v>
      </c>
      <c r="H15" s="8" t="s">
        <v>67</v>
      </c>
      <c r="I15" s="70"/>
      <c r="J15" s="70"/>
      <c r="K15" s="65" t="s">
        <v>97</v>
      </c>
      <c r="L15" s="41" t="s">
        <v>49</v>
      </c>
      <c r="M15" s="41"/>
      <c r="N15" s="10" t="s">
        <v>98</v>
      </c>
      <c r="O15" s="8"/>
      <c r="P15" s="1"/>
    </row>
    <row r="16" spans="1:16" ht="28.5" customHeight="1">
      <c r="A16" s="10">
        <v>1</v>
      </c>
      <c r="B16" s="33" t="s">
        <v>27</v>
      </c>
      <c r="C16" s="41" t="s">
        <v>93</v>
      </c>
      <c r="D16" s="112" t="s">
        <v>99</v>
      </c>
      <c r="E16" s="110" t="s">
        <v>100</v>
      </c>
      <c r="F16" s="116">
        <v>51993469023</v>
      </c>
      <c r="G16" s="110" t="s">
        <v>41</v>
      </c>
      <c r="H16" s="8" t="s">
        <v>33</v>
      </c>
      <c r="I16" s="70"/>
      <c r="J16" s="70"/>
      <c r="K16" s="70" t="s">
        <v>101</v>
      </c>
      <c r="L16" s="41" t="s">
        <v>55</v>
      </c>
      <c r="M16" s="41"/>
      <c r="N16" s="10" t="s">
        <v>102</v>
      </c>
      <c r="O16" s="8"/>
      <c r="P16" s="1"/>
    </row>
    <row r="17" spans="1:16" ht="28.5" customHeight="1">
      <c r="A17" s="10">
        <v>1</v>
      </c>
      <c r="B17" s="33" t="s">
        <v>27</v>
      </c>
      <c r="C17" s="41" t="s">
        <v>28</v>
      </c>
      <c r="D17" s="110" t="s">
        <v>103</v>
      </c>
      <c r="E17" s="110" t="s">
        <v>39</v>
      </c>
      <c r="F17" s="116" t="s">
        <v>104</v>
      </c>
      <c r="G17" s="110" t="s">
        <v>41</v>
      </c>
      <c r="H17" s="8" t="s">
        <v>33</v>
      </c>
      <c r="I17" s="70" t="s">
        <v>105</v>
      </c>
      <c r="J17" s="70"/>
      <c r="K17" s="65">
        <v>79.900000000000006</v>
      </c>
      <c r="L17" s="41" t="s">
        <v>55</v>
      </c>
      <c r="M17" s="41" t="s">
        <v>61</v>
      </c>
      <c r="N17" s="10" t="s">
        <v>106</v>
      </c>
      <c r="O17" s="8"/>
      <c r="P17" s="1"/>
    </row>
    <row r="18" spans="1:16" ht="28.5" customHeight="1">
      <c r="A18" s="10">
        <v>1</v>
      </c>
      <c r="B18" s="33" t="s">
        <v>27</v>
      </c>
      <c r="C18" s="41" t="s">
        <v>28</v>
      </c>
      <c r="D18" s="110" t="s">
        <v>107</v>
      </c>
      <c r="E18" s="110" t="s">
        <v>108</v>
      </c>
      <c r="F18" s="116" t="s">
        <v>109</v>
      </c>
      <c r="G18" s="110" t="s">
        <v>66</v>
      </c>
      <c r="H18" s="8" t="s">
        <v>67</v>
      </c>
      <c r="I18" s="70" t="s">
        <v>110</v>
      </c>
      <c r="J18" s="70"/>
      <c r="K18" s="65">
        <v>89.9</v>
      </c>
      <c r="L18" s="41" t="s">
        <v>55</v>
      </c>
      <c r="M18" s="41" t="s">
        <v>111</v>
      </c>
      <c r="N18" s="10" t="s">
        <v>112</v>
      </c>
      <c r="O18" s="8"/>
      <c r="P18" s="1"/>
    </row>
    <row r="19" spans="1:16" ht="28.5" customHeight="1">
      <c r="A19" s="10">
        <v>1</v>
      </c>
      <c r="B19" s="33" t="s">
        <v>27</v>
      </c>
      <c r="C19" s="41" t="s">
        <v>93</v>
      </c>
      <c r="D19" s="110" t="s">
        <v>113</v>
      </c>
      <c r="E19" s="110" t="s">
        <v>114</v>
      </c>
      <c r="F19" s="116" t="s">
        <v>115</v>
      </c>
      <c r="G19" s="110" t="s">
        <v>91</v>
      </c>
      <c r="H19" s="8" t="s">
        <v>67</v>
      </c>
      <c r="I19" s="70"/>
      <c r="J19" s="70"/>
      <c r="K19" s="70" t="s">
        <v>97</v>
      </c>
      <c r="L19" s="41" t="s">
        <v>55</v>
      </c>
      <c r="M19" s="41"/>
      <c r="N19" s="10" t="s">
        <v>116</v>
      </c>
      <c r="O19" s="8"/>
      <c r="P19" s="1"/>
    </row>
    <row r="20" spans="1:16" ht="28.5" customHeight="1">
      <c r="A20" s="10">
        <v>1</v>
      </c>
      <c r="B20" s="33" t="s">
        <v>27</v>
      </c>
      <c r="C20" s="41" t="s">
        <v>28</v>
      </c>
      <c r="D20" s="113" t="s">
        <v>117</v>
      </c>
      <c r="E20" s="110" t="s">
        <v>118</v>
      </c>
      <c r="F20" s="116" t="s">
        <v>119</v>
      </c>
      <c r="G20" s="110" t="s">
        <v>66</v>
      </c>
      <c r="H20" s="8" t="s">
        <v>67</v>
      </c>
      <c r="I20" s="70" t="s">
        <v>105</v>
      </c>
      <c r="J20" s="70"/>
      <c r="K20" s="65">
        <v>99.9</v>
      </c>
      <c r="L20" s="41" t="s">
        <v>55</v>
      </c>
      <c r="M20" s="41" t="s">
        <v>35</v>
      </c>
      <c r="N20" s="10" t="s">
        <v>120</v>
      </c>
      <c r="O20" s="8"/>
      <c r="P20" s="1"/>
    </row>
    <row r="21" spans="1:16" ht="28.5" customHeight="1">
      <c r="A21" s="10">
        <v>1</v>
      </c>
      <c r="B21" s="33" t="s">
        <v>27</v>
      </c>
      <c r="C21" s="41" t="s">
        <v>28</v>
      </c>
      <c r="D21" s="110" t="s">
        <v>121</v>
      </c>
      <c r="E21" s="110" t="s">
        <v>122</v>
      </c>
      <c r="F21" s="116" t="s">
        <v>123</v>
      </c>
      <c r="G21" s="110" t="s">
        <v>73</v>
      </c>
      <c r="H21" s="8" t="s">
        <v>33</v>
      </c>
      <c r="I21" s="70" t="s">
        <v>124</v>
      </c>
      <c r="J21" s="70"/>
      <c r="K21" s="65">
        <v>99.9</v>
      </c>
      <c r="L21" s="41" t="s">
        <v>49</v>
      </c>
      <c r="M21" s="41" t="s">
        <v>61</v>
      </c>
      <c r="N21" s="10" t="s">
        <v>125</v>
      </c>
      <c r="O21" s="8"/>
      <c r="P21" s="1"/>
    </row>
    <row r="22" spans="1:16" ht="28.5" customHeight="1">
      <c r="A22" s="10">
        <v>1</v>
      </c>
      <c r="B22" s="33" t="s">
        <v>27</v>
      </c>
      <c r="C22" s="41" t="s">
        <v>28</v>
      </c>
      <c r="D22" s="110" t="s">
        <v>126</v>
      </c>
      <c r="E22" s="110" t="s">
        <v>127</v>
      </c>
      <c r="F22" s="116">
        <v>51993469023</v>
      </c>
      <c r="G22" s="110" t="s">
        <v>73</v>
      </c>
      <c r="H22" s="8" t="s">
        <v>33</v>
      </c>
      <c r="I22" s="70" t="s">
        <v>124</v>
      </c>
      <c r="J22" s="70"/>
      <c r="K22" s="65">
        <v>129.9</v>
      </c>
      <c r="L22" s="41" t="s">
        <v>55</v>
      </c>
      <c r="M22" s="41" t="s">
        <v>128</v>
      </c>
      <c r="N22" s="10" t="s">
        <v>129</v>
      </c>
      <c r="O22" s="8"/>
      <c r="P22" s="1"/>
    </row>
    <row r="23" spans="1:16" ht="28.5" customHeight="1">
      <c r="A23" s="10">
        <v>1</v>
      </c>
      <c r="B23" s="33" t="s">
        <v>27</v>
      </c>
      <c r="C23" s="41" t="s">
        <v>28</v>
      </c>
      <c r="D23" s="110" t="s">
        <v>130</v>
      </c>
      <c r="E23" s="110" t="s">
        <v>39</v>
      </c>
      <c r="F23" s="116" t="s">
        <v>131</v>
      </c>
      <c r="G23" s="110" t="s">
        <v>41</v>
      </c>
      <c r="H23" s="8" t="s">
        <v>33</v>
      </c>
      <c r="I23" s="70" t="s">
        <v>132</v>
      </c>
      <c r="J23" s="70"/>
      <c r="K23" s="65">
        <v>59.9</v>
      </c>
      <c r="L23" s="41" t="s">
        <v>49</v>
      </c>
      <c r="M23" s="8" t="s">
        <v>133</v>
      </c>
      <c r="N23" s="10" t="s">
        <v>134</v>
      </c>
      <c r="O23" s="8"/>
      <c r="P23" s="1"/>
    </row>
    <row r="24" spans="1:16" ht="28.5" customHeight="1">
      <c r="A24" s="10">
        <v>1</v>
      </c>
      <c r="B24" s="33" t="s">
        <v>27</v>
      </c>
      <c r="C24" s="41" t="s">
        <v>28</v>
      </c>
      <c r="D24" s="110" t="s">
        <v>135</v>
      </c>
      <c r="E24" s="110" t="s">
        <v>136</v>
      </c>
      <c r="F24" s="116" t="s">
        <v>137</v>
      </c>
      <c r="G24" s="110" t="s">
        <v>66</v>
      </c>
      <c r="H24" s="8" t="s">
        <v>67</v>
      </c>
      <c r="I24" s="70"/>
      <c r="J24" s="70"/>
      <c r="K24" s="65">
        <v>99.9</v>
      </c>
      <c r="L24" s="41" t="s">
        <v>34</v>
      </c>
      <c r="M24" s="41" t="s">
        <v>128</v>
      </c>
      <c r="N24" s="10" t="s">
        <v>138</v>
      </c>
      <c r="O24" s="8"/>
      <c r="P24" s="1"/>
    </row>
    <row r="25" spans="1:16" ht="28.5" customHeight="1">
      <c r="A25" s="10">
        <v>1</v>
      </c>
      <c r="B25" s="33" t="s">
        <v>27</v>
      </c>
      <c r="C25" s="41" t="s">
        <v>93</v>
      </c>
      <c r="D25" s="110" t="s">
        <v>139</v>
      </c>
      <c r="E25" s="110" t="s">
        <v>140</v>
      </c>
      <c r="F25" s="116" t="s">
        <v>141</v>
      </c>
      <c r="G25" s="110" t="s">
        <v>85</v>
      </c>
      <c r="H25" s="8" t="s">
        <v>33</v>
      </c>
      <c r="I25" s="70"/>
      <c r="J25" s="70"/>
      <c r="K25" s="70" t="s">
        <v>142</v>
      </c>
      <c r="L25" s="41" t="s">
        <v>49</v>
      </c>
      <c r="M25" s="41"/>
      <c r="N25" s="10" t="s">
        <v>143</v>
      </c>
      <c r="O25" s="8"/>
      <c r="P25" s="1"/>
    </row>
    <row r="26" spans="1:16" ht="28.5" customHeight="1">
      <c r="A26" s="10">
        <v>1</v>
      </c>
      <c r="B26" s="33" t="s">
        <v>27</v>
      </c>
      <c r="C26" s="41" t="s">
        <v>28</v>
      </c>
      <c r="D26" s="110" t="s">
        <v>144</v>
      </c>
      <c r="E26" s="110" t="s">
        <v>145</v>
      </c>
      <c r="F26" s="116" t="s">
        <v>146</v>
      </c>
      <c r="G26" s="110" t="s">
        <v>147</v>
      </c>
      <c r="H26" s="8" t="s">
        <v>33</v>
      </c>
      <c r="I26" s="70" t="s">
        <v>124</v>
      </c>
      <c r="J26" s="70"/>
      <c r="K26" s="65">
        <v>79.900000000000006</v>
      </c>
      <c r="L26" s="41" t="s">
        <v>34</v>
      </c>
      <c r="M26" s="41" t="s">
        <v>128</v>
      </c>
      <c r="N26" s="10" t="s">
        <v>148</v>
      </c>
      <c r="O26" s="8"/>
      <c r="P26" s="1"/>
    </row>
    <row r="27" spans="1:16" ht="28.5" customHeight="1">
      <c r="A27" s="10">
        <v>1</v>
      </c>
      <c r="B27" s="33" t="s">
        <v>27</v>
      </c>
      <c r="C27" s="41" t="s">
        <v>93</v>
      </c>
      <c r="D27" s="110" t="s">
        <v>149</v>
      </c>
      <c r="E27" s="110" t="s">
        <v>150</v>
      </c>
      <c r="F27" s="116" t="s">
        <v>151</v>
      </c>
      <c r="G27" s="110" t="s">
        <v>91</v>
      </c>
      <c r="H27" s="8" t="s">
        <v>67</v>
      </c>
      <c r="I27" s="70"/>
      <c r="J27" s="70"/>
      <c r="K27" s="70" t="s">
        <v>97</v>
      </c>
      <c r="L27" s="41" t="s">
        <v>34</v>
      </c>
      <c r="M27" s="41"/>
      <c r="N27" s="10"/>
      <c r="O27" s="8"/>
      <c r="P27" s="1"/>
    </row>
    <row r="28" spans="1:16" ht="28.5" customHeight="1">
      <c r="A28" s="10">
        <v>1</v>
      </c>
      <c r="B28" s="33" t="s">
        <v>27</v>
      </c>
      <c r="C28" s="41" t="s">
        <v>93</v>
      </c>
      <c r="D28" s="110" t="s">
        <v>152</v>
      </c>
      <c r="E28" s="110" t="s">
        <v>122</v>
      </c>
      <c r="F28" s="116" t="s">
        <v>153</v>
      </c>
      <c r="G28" s="110" t="s">
        <v>147</v>
      </c>
      <c r="H28" s="8" t="s">
        <v>33</v>
      </c>
      <c r="I28" s="70"/>
      <c r="J28" s="70"/>
      <c r="K28" s="70" t="s">
        <v>154</v>
      </c>
      <c r="L28" s="41" t="s">
        <v>55</v>
      </c>
      <c r="M28" s="41"/>
      <c r="N28" s="10" t="s">
        <v>155</v>
      </c>
      <c r="O28" s="8"/>
      <c r="P28" s="1"/>
    </row>
    <row r="29" spans="1:16" ht="28.5" customHeight="1">
      <c r="A29" s="10">
        <v>1</v>
      </c>
      <c r="B29" s="33" t="s">
        <v>27</v>
      </c>
      <c r="C29" s="41" t="s">
        <v>28</v>
      </c>
      <c r="D29" s="110" t="s">
        <v>156</v>
      </c>
      <c r="E29" s="110" t="s">
        <v>157</v>
      </c>
      <c r="F29" s="116" t="s">
        <v>158</v>
      </c>
      <c r="G29" s="110" t="s">
        <v>147</v>
      </c>
      <c r="H29" s="8" t="s">
        <v>33</v>
      </c>
      <c r="I29" s="70" t="s">
        <v>124</v>
      </c>
      <c r="J29" s="70"/>
      <c r="K29" s="65">
        <v>109.9</v>
      </c>
      <c r="L29" s="41" t="s">
        <v>49</v>
      </c>
      <c r="M29" s="41" t="s">
        <v>61</v>
      </c>
      <c r="N29" s="10" t="s">
        <v>159</v>
      </c>
      <c r="O29" s="8"/>
      <c r="P29" s="1"/>
    </row>
    <row r="30" spans="1:16" ht="28.5" customHeight="1">
      <c r="A30" s="10">
        <v>1</v>
      </c>
      <c r="B30" s="33" t="s">
        <v>27</v>
      </c>
      <c r="C30" s="41" t="s">
        <v>93</v>
      </c>
      <c r="D30" s="110" t="s">
        <v>160</v>
      </c>
      <c r="E30" s="110" t="s">
        <v>161</v>
      </c>
      <c r="F30" s="116" t="s">
        <v>162</v>
      </c>
      <c r="G30" s="110" t="s">
        <v>66</v>
      </c>
      <c r="H30" s="8" t="s">
        <v>67</v>
      </c>
      <c r="I30" s="70"/>
      <c r="J30" s="70"/>
      <c r="K30" s="70" t="s">
        <v>142</v>
      </c>
      <c r="L30" s="41" t="s">
        <v>49</v>
      </c>
      <c r="M30" s="41"/>
      <c r="N30" s="10" t="s">
        <v>163</v>
      </c>
      <c r="O30" s="8"/>
      <c r="P30" s="1"/>
    </row>
    <row r="31" spans="1:16" ht="28.5" customHeight="1">
      <c r="A31" s="10">
        <v>1</v>
      </c>
      <c r="B31" s="33" t="s">
        <v>27</v>
      </c>
      <c r="C31" s="41" t="s">
        <v>28</v>
      </c>
      <c r="D31" s="110" t="s">
        <v>164</v>
      </c>
      <c r="E31" s="110" t="s">
        <v>165</v>
      </c>
      <c r="F31" s="116" t="s">
        <v>166</v>
      </c>
      <c r="G31" s="110" t="s">
        <v>66</v>
      </c>
      <c r="H31" s="8" t="s">
        <v>67</v>
      </c>
      <c r="I31" s="70"/>
      <c r="J31" s="70"/>
      <c r="K31" s="65">
        <v>129.9</v>
      </c>
      <c r="L31" s="41" t="s">
        <v>49</v>
      </c>
      <c r="M31" s="41" t="s">
        <v>128</v>
      </c>
      <c r="N31" s="10" t="s">
        <v>167</v>
      </c>
      <c r="O31" s="8"/>
      <c r="P31" s="1"/>
    </row>
    <row r="32" spans="1:16" ht="28.5" customHeight="1">
      <c r="A32" s="10">
        <v>1</v>
      </c>
      <c r="B32" s="33" t="s">
        <v>27</v>
      </c>
      <c r="C32" s="41" t="s">
        <v>28</v>
      </c>
      <c r="D32" s="110" t="s">
        <v>168</v>
      </c>
      <c r="E32" s="110" t="s">
        <v>169</v>
      </c>
      <c r="F32" s="116" t="s">
        <v>170</v>
      </c>
      <c r="G32" s="110" t="s">
        <v>91</v>
      </c>
      <c r="H32" s="8" t="s">
        <v>67</v>
      </c>
      <c r="I32" s="70" t="s">
        <v>171</v>
      </c>
      <c r="J32" s="70"/>
      <c r="K32" s="65">
        <v>89.9</v>
      </c>
      <c r="L32" s="41" t="s">
        <v>49</v>
      </c>
      <c r="M32" s="41" t="s">
        <v>35</v>
      </c>
      <c r="N32" s="10" t="s">
        <v>172</v>
      </c>
      <c r="O32" s="8"/>
      <c r="P32" s="1"/>
    </row>
    <row r="33" spans="1:16" ht="28.5" customHeight="1">
      <c r="A33" s="10">
        <v>1</v>
      </c>
      <c r="B33" s="33" t="s">
        <v>27</v>
      </c>
      <c r="C33" s="41" t="s">
        <v>28</v>
      </c>
      <c r="D33" s="110" t="s">
        <v>173</v>
      </c>
      <c r="E33" s="110" t="s">
        <v>174</v>
      </c>
      <c r="F33" s="116" t="s">
        <v>175</v>
      </c>
      <c r="G33" s="110" t="s">
        <v>66</v>
      </c>
      <c r="H33" s="8" t="s">
        <v>67</v>
      </c>
      <c r="I33" s="70"/>
      <c r="J33" s="70"/>
      <c r="K33" s="65">
        <v>99.9</v>
      </c>
      <c r="L33" s="41" t="s">
        <v>34</v>
      </c>
      <c r="M33" s="41" t="s">
        <v>61</v>
      </c>
      <c r="N33" s="10" t="s">
        <v>176</v>
      </c>
      <c r="O33" s="8"/>
      <c r="P33" s="1"/>
    </row>
    <row r="34" spans="1:16" ht="28.5" customHeight="1">
      <c r="A34" s="10">
        <v>1</v>
      </c>
      <c r="B34" s="33" t="s">
        <v>177</v>
      </c>
      <c r="C34" s="41" t="s">
        <v>93</v>
      </c>
      <c r="D34" s="110" t="s">
        <v>178</v>
      </c>
      <c r="E34" s="110" t="s">
        <v>157</v>
      </c>
      <c r="F34" s="116">
        <v>51980222236</v>
      </c>
      <c r="G34" s="110" t="s">
        <v>147</v>
      </c>
      <c r="H34" s="8" t="s">
        <v>33</v>
      </c>
      <c r="I34" s="70"/>
      <c r="J34" s="70"/>
      <c r="K34" s="70" t="s">
        <v>179</v>
      </c>
      <c r="L34" s="41" t="s">
        <v>55</v>
      </c>
      <c r="M34" s="41"/>
      <c r="N34" s="10" t="s">
        <v>180</v>
      </c>
      <c r="O34" s="8"/>
      <c r="P34" s="1"/>
    </row>
    <row r="35" spans="1:16" ht="28.5" customHeight="1">
      <c r="A35" s="10">
        <v>1</v>
      </c>
      <c r="B35" s="33" t="s">
        <v>177</v>
      </c>
      <c r="C35" s="41" t="s">
        <v>93</v>
      </c>
      <c r="D35" s="41" t="s">
        <v>181</v>
      </c>
      <c r="E35" s="41" t="s">
        <v>182</v>
      </c>
      <c r="F35" s="115" t="s">
        <v>183</v>
      </c>
      <c r="G35" s="41" t="s">
        <v>66</v>
      </c>
      <c r="H35" s="8" t="s">
        <v>67</v>
      </c>
      <c r="I35" s="70"/>
      <c r="J35" s="70"/>
      <c r="K35" s="70" t="s">
        <v>184</v>
      </c>
      <c r="L35" s="41" t="s">
        <v>55</v>
      </c>
      <c r="M35" s="41"/>
      <c r="N35" s="10" t="s">
        <v>102</v>
      </c>
      <c r="O35" s="8"/>
      <c r="P35" s="1"/>
    </row>
    <row r="36" spans="1:16" ht="28.5" customHeight="1">
      <c r="A36" s="10">
        <v>1</v>
      </c>
      <c r="B36" s="33" t="s">
        <v>177</v>
      </c>
      <c r="C36" s="41" t="s">
        <v>28</v>
      </c>
      <c r="D36" s="41" t="s">
        <v>185</v>
      </c>
      <c r="E36" s="41" t="s">
        <v>186</v>
      </c>
      <c r="F36" s="115" t="s">
        <v>187</v>
      </c>
      <c r="G36" s="41" t="s">
        <v>66</v>
      </c>
      <c r="H36" s="8" t="s">
        <v>67</v>
      </c>
      <c r="I36" s="70" t="s">
        <v>171</v>
      </c>
      <c r="J36" s="70"/>
      <c r="K36" s="65">
        <v>99.9</v>
      </c>
      <c r="L36" s="41" t="s">
        <v>49</v>
      </c>
      <c r="M36" s="41" t="s">
        <v>128</v>
      </c>
      <c r="N36" s="10" t="s">
        <v>188</v>
      </c>
      <c r="O36" s="8"/>
      <c r="P36" s="1"/>
    </row>
    <row r="37" spans="1:16" ht="28.5" customHeight="1">
      <c r="A37" s="10">
        <v>1</v>
      </c>
      <c r="B37" s="33" t="s">
        <v>177</v>
      </c>
      <c r="C37" s="41" t="s">
        <v>28</v>
      </c>
      <c r="D37" s="41" t="s">
        <v>189</v>
      </c>
      <c r="E37" s="41" t="s">
        <v>100</v>
      </c>
      <c r="F37" s="117" t="s">
        <v>190</v>
      </c>
      <c r="G37" s="41" t="s">
        <v>41</v>
      </c>
      <c r="H37" s="8" t="s">
        <v>191</v>
      </c>
      <c r="I37" s="70" t="s">
        <v>60</v>
      </c>
      <c r="J37" s="70"/>
      <c r="K37" s="65">
        <v>109.9</v>
      </c>
      <c r="L37" s="41" t="s">
        <v>34</v>
      </c>
      <c r="M37" s="41" t="s">
        <v>35</v>
      </c>
      <c r="N37" s="10" t="s">
        <v>192</v>
      </c>
      <c r="O37" s="8"/>
      <c r="P37" s="1"/>
    </row>
    <row r="38" spans="1:16" ht="28.5" customHeight="1">
      <c r="A38" s="10">
        <v>1</v>
      </c>
      <c r="B38" s="33" t="s">
        <v>177</v>
      </c>
      <c r="C38" s="41" t="s">
        <v>28</v>
      </c>
      <c r="D38" s="41" t="s">
        <v>193</v>
      </c>
      <c r="E38" s="41" t="s">
        <v>39</v>
      </c>
      <c r="F38" s="115" t="s">
        <v>194</v>
      </c>
      <c r="G38" s="41" t="s">
        <v>41</v>
      </c>
      <c r="H38" s="8" t="s">
        <v>191</v>
      </c>
      <c r="I38" s="70" t="s">
        <v>195</v>
      </c>
      <c r="J38" s="70"/>
      <c r="K38" s="65">
        <v>59.9</v>
      </c>
      <c r="L38" s="41" t="s">
        <v>49</v>
      </c>
      <c r="M38" s="41" t="s">
        <v>61</v>
      </c>
      <c r="N38" s="10" t="s">
        <v>196</v>
      </c>
      <c r="O38" s="8"/>
      <c r="P38" s="1"/>
    </row>
    <row r="39" spans="1:16" ht="28.5" customHeight="1">
      <c r="A39" s="10">
        <v>1</v>
      </c>
      <c r="B39" s="33" t="s">
        <v>177</v>
      </c>
      <c r="C39" s="41" t="s">
        <v>28</v>
      </c>
      <c r="D39" s="41" t="s">
        <v>197</v>
      </c>
      <c r="E39" s="41" t="s">
        <v>108</v>
      </c>
      <c r="F39" s="115">
        <v>51982388794</v>
      </c>
      <c r="G39" s="41" t="s">
        <v>66</v>
      </c>
      <c r="H39" s="8" t="s">
        <v>67</v>
      </c>
      <c r="I39" s="70" t="s">
        <v>110</v>
      </c>
      <c r="J39" s="70"/>
      <c r="K39" s="65">
        <v>99.9</v>
      </c>
      <c r="L39" s="41" t="s">
        <v>55</v>
      </c>
      <c r="M39" s="41" t="s">
        <v>35</v>
      </c>
      <c r="N39" s="10" t="s">
        <v>198</v>
      </c>
      <c r="O39" s="8"/>
      <c r="P39" s="1"/>
    </row>
    <row r="40" spans="1:16" ht="28.5" customHeight="1">
      <c r="A40" s="10">
        <v>1</v>
      </c>
      <c r="B40" s="33" t="s">
        <v>177</v>
      </c>
      <c r="C40" s="41" t="s">
        <v>28</v>
      </c>
      <c r="D40" s="41" t="s">
        <v>199</v>
      </c>
      <c r="E40" s="41" t="s">
        <v>200</v>
      </c>
      <c r="F40" s="115" t="s">
        <v>201</v>
      </c>
      <c r="G40" s="41" t="s">
        <v>66</v>
      </c>
      <c r="H40" s="8" t="s">
        <v>67</v>
      </c>
      <c r="I40" s="70" t="s">
        <v>202</v>
      </c>
      <c r="J40" s="70"/>
      <c r="K40" s="65">
        <v>99.9</v>
      </c>
      <c r="L40" s="41" t="s">
        <v>49</v>
      </c>
      <c r="M40" s="41" t="s">
        <v>61</v>
      </c>
      <c r="N40" s="10" t="s">
        <v>203</v>
      </c>
      <c r="O40" s="8"/>
      <c r="P40" s="1"/>
    </row>
    <row r="41" spans="1:16" ht="28.5" customHeight="1">
      <c r="A41" s="10">
        <v>1</v>
      </c>
      <c r="B41" s="33" t="s">
        <v>177</v>
      </c>
      <c r="C41" s="41" t="s">
        <v>93</v>
      </c>
      <c r="D41" s="41" t="s">
        <v>204</v>
      </c>
      <c r="E41" s="41" t="s">
        <v>186</v>
      </c>
      <c r="F41" s="115" t="s">
        <v>205</v>
      </c>
      <c r="G41" s="41" t="s">
        <v>66</v>
      </c>
      <c r="H41" s="8" t="s">
        <v>206</v>
      </c>
      <c r="I41" s="70"/>
      <c r="J41" s="70"/>
      <c r="K41" s="70" t="s">
        <v>179</v>
      </c>
      <c r="L41" s="41" t="s">
        <v>49</v>
      </c>
      <c r="M41" s="41"/>
      <c r="N41" s="10" t="s">
        <v>207</v>
      </c>
      <c r="O41" s="8"/>
      <c r="P41" s="1"/>
    </row>
    <row r="42" spans="1:16" ht="28.5" customHeight="1">
      <c r="A42" s="10">
        <v>1</v>
      </c>
      <c r="B42" s="33" t="s">
        <v>177</v>
      </c>
      <c r="C42" s="41" t="s">
        <v>28</v>
      </c>
      <c r="D42" s="41" t="s">
        <v>208</v>
      </c>
      <c r="E42" s="41" t="s">
        <v>209</v>
      </c>
      <c r="F42" s="115">
        <v>51997350346</v>
      </c>
      <c r="G42" s="41" t="s">
        <v>147</v>
      </c>
      <c r="H42" s="8" t="s">
        <v>33</v>
      </c>
      <c r="I42" s="70" t="s">
        <v>210</v>
      </c>
      <c r="J42" s="70"/>
      <c r="K42" s="65">
        <v>99.9</v>
      </c>
      <c r="L42" s="41" t="s">
        <v>55</v>
      </c>
      <c r="M42" s="41" t="s">
        <v>61</v>
      </c>
      <c r="N42" s="10" t="s">
        <v>211</v>
      </c>
      <c r="O42" s="8"/>
      <c r="P42" s="1"/>
    </row>
    <row r="43" spans="1:16" ht="28.5" customHeight="1">
      <c r="A43" s="10">
        <v>1</v>
      </c>
      <c r="B43" s="33" t="s">
        <v>177</v>
      </c>
      <c r="C43" s="41" t="s">
        <v>93</v>
      </c>
      <c r="D43" s="41" t="s">
        <v>212</v>
      </c>
      <c r="E43" s="41" t="s">
        <v>213</v>
      </c>
      <c r="F43" s="115" t="s">
        <v>214</v>
      </c>
      <c r="G43" s="41" t="s">
        <v>32</v>
      </c>
      <c r="H43" s="8" t="s">
        <v>215</v>
      </c>
      <c r="I43" s="70"/>
      <c r="J43" s="70"/>
      <c r="K43" s="70" t="s">
        <v>142</v>
      </c>
      <c r="L43" s="41" t="s">
        <v>49</v>
      </c>
      <c r="M43" s="41"/>
      <c r="N43" s="10" t="s">
        <v>216</v>
      </c>
      <c r="O43" s="8"/>
      <c r="P43" s="1"/>
    </row>
    <row r="44" spans="1:16" ht="28.5" customHeight="1">
      <c r="A44" s="10">
        <v>1</v>
      </c>
      <c r="B44" s="33" t="s">
        <v>177</v>
      </c>
      <c r="C44" s="41" t="s">
        <v>28</v>
      </c>
      <c r="D44" s="41" t="s">
        <v>217</v>
      </c>
      <c r="E44" s="41" t="s">
        <v>218</v>
      </c>
      <c r="F44" s="115" t="s">
        <v>219</v>
      </c>
      <c r="G44" s="41" t="s">
        <v>66</v>
      </c>
      <c r="H44" s="8" t="s">
        <v>67</v>
      </c>
      <c r="I44" s="70" t="s">
        <v>202</v>
      </c>
      <c r="J44" s="70"/>
      <c r="K44" s="65">
        <v>79.900000000000006</v>
      </c>
      <c r="L44" s="41" t="s">
        <v>49</v>
      </c>
      <c r="M44" s="41" t="s">
        <v>111</v>
      </c>
      <c r="N44" s="10" t="s">
        <v>220</v>
      </c>
      <c r="O44" s="8"/>
      <c r="P44" s="1"/>
    </row>
    <row r="45" spans="1:16" ht="28.5" customHeight="1">
      <c r="A45" s="10">
        <v>1</v>
      </c>
      <c r="B45" s="33" t="s">
        <v>177</v>
      </c>
      <c r="C45" s="41" t="s">
        <v>28</v>
      </c>
      <c r="D45" s="41" t="s">
        <v>221</v>
      </c>
      <c r="E45" s="41" t="s">
        <v>222</v>
      </c>
      <c r="F45" s="115" t="s">
        <v>223</v>
      </c>
      <c r="G45" s="41" t="s">
        <v>41</v>
      </c>
      <c r="H45" s="8" t="s">
        <v>33</v>
      </c>
      <c r="I45" s="70" t="s">
        <v>74</v>
      </c>
      <c r="J45" s="70"/>
      <c r="K45" s="65">
        <v>109.9</v>
      </c>
      <c r="L45" s="41" t="s">
        <v>49</v>
      </c>
      <c r="M45" s="41" t="s">
        <v>128</v>
      </c>
      <c r="N45" s="10" t="s">
        <v>224</v>
      </c>
      <c r="O45" s="8"/>
      <c r="P45" s="1"/>
    </row>
    <row r="46" spans="1:16" ht="28.5" customHeight="1">
      <c r="A46" s="10">
        <v>1</v>
      </c>
      <c r="B46" s="33" t="s">
        <v>177</v>
      </c>
      <c r="C46" s="41" t="s">
        <v>28</v>
      </c>
      <c r="D46" s="41" t="s">
        <v>225</v>
      </c>
      <c r="E46" s="41" t="s">
        <v>226</v>
      </c>
      <c r="F46" s="115">
        <v>51995670420</v>
      </c>
      <c r="G46" s="41" t="s">
        <v>91</v>
      </c>
      <c r="H46" s="8" t="s">
        <v>67</v>
      </c>
      <c r="I46" s="70" t="s">
        <v>202</v>
      </c>
      <c r="J46" s="70"/>
      <c r="K46" s="65">
        <v>89.9</v>
      </c>
      <c r="L46" s="41" t="s">
        <v>55</v>
      </c>
      <c r="M46" s="41" t="s">
        <v>128</v>
      </c>
      <c r="N46" s="10" t="s">
        <v>129</v>
      </c>
      <c r="O46" s="8"/>
      <c r="P46" s="1"/>
    </row>
    <row r="47" spans="1:16" ht="28.5" customHeight="1">
      <c r="A47" s="10">
        <v>1</v>
      </c>
      <c r="B47" s="33" t="s">
        <v>177</v>
      </c>
      <c r="C47" s="41" t="s">
        <v>28</v>
      </c>
      <c r="D47" s="41" t="s">
        <v>227</v>
      </c>
      <c r="E47" s="41" t="s">
        <v>157</v>
      </c>
      <c r="F47" s="115" t="s">
        <v>228</v>
      </c>
      <c r="G47" s="41" t="s">
        <v>73</v>
      </c>
      <c r="H47" s="8" t="s">
        <v>33</v>
      </c>
      <c r="I47" s="70" t="s">
        <v>195</v>
      </c>
      <c r="J47" s="70"/>
      <c r="K47" s="65">
        <v>99.9</v>
      </c>
      <c r="L47" s="41" t="s">
        <v>49</v>
      </c>
      <c r="M47" s="41" t="s">
        <v>128</v>
      </c>
      <c r="N47" s="10" t="s">
        <v>229</v>
      </c>
      <c r="O47" s="8"/>
      <c r="P47" s="1"/>
    </row>
    <row r="48" spans="1:16" ht="28.5" customHeight="1">
      <c r="A48" s="10">
        <v>1</v>
      </c>
      <c r="B48" s="33" t="s">
        <v>177</v>
      </c>
      <c r="C48" s="41" t="s">
        <v>28</v>
      </c>
      <c r="D48" s="41" t="s">
        <v>230</v>
      </c>
      <c r="E48" s="41" t="s">
        <v>231</v>
      </c>
      <c r="F48" s="115" t="s">
        <v>232</v>
      </c>
      <c r="G48" s="41" t="s">
        <v>32</v>
      </c>
      <c r="H48" s="8" t="s">
        <v>33</v>
      </c>
      <c r="I48" s="70" t="s">
        <v>195</v>
      </c>
      <c r="J48" s="70"/>
      <c r="K48" s="65">
        <v>69.900000000000006</v>
      </c>
      <c r="L48" s="41" t="s">
        <v>49</v>
      </c>
      <c r="M48" s="41" t="s">
        <v>35</v>
      </c>
      <c r="N48" s="10" t="s">
        <v>233</v>
      </c>
      <c r="O48" s="8"/>
      <c r="P48" s="1"/>
    </row>
    <row r="49" spans="1:16" ht="28.5" customHeight="1">
      <c r="A49" s="10">
        <v>1</v>
      </c>
      <c r="B49" s="33" t="s">
        <v>177</v>
      </c>
      <c r="C49" s="41" t="s">
        <v>28</v>
      </c>
      <c r="D49" s="41" t="s">
        <v>234</v>
      </c>
      <c r="E49" s="41" t="s">
        <v>235</v>
      </c>
      <c r="F49" s="115">
        <v>51999178764</v>
      </c>
      <c r="G49" s="41" t="s">
        <v>85</v>
      </c>
      <c r="H49" s="8" t="s">
        <v>33</v>
      </c>
      <c r="I49" s="70" t="s">
        <v>86</v>
      </c>
      <c r="J49" s="70"/>
      <c r="K49" s="65">
        <v>69.900000000000006</v>
      </c>
      <c r="L49" s="41" t="s">
        <v>55</v>
      </c>
      <c r="M49" s="41" t="s">
        <v>61</v>
      </c>
      <c r="N49" s="10" t="s">
        <v>120</v>
      </c>
      <c r="O49" s="8"/>
      <c r="P49" s="1"/>
    </row>
    <row r="50" spans="1:16" ht="28.5" customHeight="1">
      <c r="A50" s="10">
        <v>1</v>
      </c>
      <c r="B50" s="33" t="s">
        <v>177</v>
      </c>
      <c r="C50" s="41" t="s">
        <v>93</v>
      </c>
      <c r="D50" s="41" t="s">
        <v>236</v>
      </c>
      <c r="E50" s="41" t="s">
        <v>237</v>
      </c>
      <c r="F50" s="115">
        <v>51986136933</v>
      </c>
      <c r="G50" s="41" t="s">
        <v>238</v>
      </c>
      <c r="H50" s="8" t="s">
        <v>47</v>
      </c>
      <c r="I50" s="70"/>
      <c r="J50" s="70"/>
      <c r="K50" s="70" t="s">
        <v>142</v>
      </c>
      <c r="L50" s="41" t="s">
        <v>55</v>
      </c>
      <c r="M50" s="41"/>
      <c r="N50" s="10" t="s">
        <v>239</v>
      </c>
      <c r="O50" s="8"/>
      <c r="P50" s="1"/>
    </row>
    <row r="51" spans="1:16" ht="28.5" customHeight="1">
      <c r="A51" s="10">
        <v>1</v>
      </c>
      <c r="B51" s="33" t="s">
        <v>68</v>
      </c>
      <c r="C51" s="41" t="s">
        <v>28</v>
      </c>
      <c r="D51" s="41" t="s">
        <v>240</v>
      </c>
      <c r="E51" s="41" t="s">
        <v>71</v>
      </c>
      <c r="F51" s="115">
        <v>51999100777</v>
      </c>
      <c r="G51" s="41" t="s">
        <v>147</v>
      </c>
      <c r="H51" s="8" t="s">
        <v>33</v>
      </c>
      <c r="I51" s="70" t="s">
        <v>74</v>
      </c>
      <c r="J51" s="70"/>
      <c r="K51" s="65">
        <v>99.9</v>
      </c>
      <c r="L51" s="41" t="s">
        <v>55</v>
      </c>
      <c r="M51" s="41" t="s">
        <v>61</v>
      </c>
      <c r="N51" s="10" t="s">
        <v>211</v>
      </c>
      <c r="O51" s="8"/>
      <c r="P51" s="1"/>
    </row>
    <row r="52" spans="1:16" ht="28.5" customHeight="1">
      <c r="A52" s="10">
        <v>1</v>
      </c>
      <c r="B52" s="33" t="s">
        <v>68</v>
      </c>
      <c r="C52" s="41" t="s">
        <v>28</v>
      </c>
      <c r="D52" s="41" t="s">
        <v>241</v>
      </c>
      <c r="E52" s="41" t="s">
        <v>242</v>
      </c>
      <c r="F52" s="115">
        <v>51993739169</v>
      </c>
      <c r="G52" s="41" t="s">
        <v>243</v>
      </c>
      <c r="H52" s="8" t="s">
        <v>33</v>
      </c>
      <c r="I52" s="70" t="s">
        <v>54</v>
      </c>
      <c r="J52" s="70"/>
      <c r="K52" s="65">
        <v>69.900000000000006</v>
      </c>
      <c r="L52" s="41" t="s">
        <v>55</v>
      </c>
      <c r="M52" s="41" t="s">
        <v>56</v>
      </c>
      <c r="N52" s="10"/>
      <c r="O52" s="8"/>
      <c r="P52" s="1"/>
    </row>
    <row r="53" spans="1:16" ht="28.5" customHeight="1">
      <c r="A53" s="10">
        <v>1</v>
      </c>
      <c r="B53" s="33" t="s">
        <v>68</v>
      </c>
      <c r="C53" s="41" t="s">
        <v>28</v>
      </c>
      <c r="D53" s="41" t="s">
        <v>244</v>
      </c>
      <c r="E53" s="41" t="s">
        <v>245</v>
      </c>
      <c r="F53" s="115" t="s">
        <v>246</v>
      </c>
      <c r="G53" s="41" t="s">
        <v>66</v>
      </c>
      <c r="H53" s="8" t="s">
        <v>67</v>
      </c>
      <c r="I53" s="70"/>
      <c r="J53" s="70"/>
      <c r="K53" s="65">
        <v>99.9</v>
      </c>
      <c r="L53" s="41" t="s">
        <v>34</v>
      </c>
      <c r="M53" s="41" t="s">
        <v>56</v>
      </c>
      <c r="N53" s="10" t="s">
        <v>247</v>
      </c>
      <c r="O53" s="8"/>
      <c r="P53" s="1"/>
    </row>
    <row r="54" spans="1:16" ht="28.5" customHeight="1">
      <c r="A54" s="10">
        <v>1</v>
      </c>
      <c r="B54" s="33" t="s">
        <v>202</v>
      </c>
      <c r="C54" s="41" t="s">
        <v>93</v>
      </c>
      <c r="D54" s="41" t="s">
        <v>248</v>
      </c>
      <c r="E54" s="41" t="s">
        <v>235</v>
      </c>
      <c r="F54" s="115">
        <v>51984010368</v>
      </c>
      <c r="G54" s="41" t="s">
        <v>79</v>
      </c>
      <c r="H54" s="8" t="s">
        <v>249</v>
      </c>
      <c r="I54" s="70"/>
      <c r="J54" s="70"/>
      <c r="K54" s="70" t="s">
        <v>250</v>
      </c>
      <c r="L54" s="41" t="s">
        <v>55</v>
      </c>
      <c r="M54" s="41"/>
      <c r="N54" s="10" t="s">
        <v>251</v>
      </c>
      <c r="O54" s="8"/>
      <c r="P54" s="1"/>
    </row>
    <row r="55" spans="1:16" ht="28.5" customHeight="1">
      <c r="A55" s="10">
        <v>1</v>
      </c>
      <c r="B55" s="33" t="s">
        <v>202</v>
      </c>
      <c r="C55" s="41" t="s">
        <v>28</v>
      </c>
      <c r="D55" s="41" t="s">
        <v>252</v>
      </c>
      <c r="E55" s="41" t="s">
        <v>253</v>
      </c>
      <c r="F55" s="115" t="s">
        <v>254</v>
      </c>
      <c r="G55" s="41" t="s">
        <v>91</v>
      </c>
      <c r="H55" s="8" t="s">
        <v>67</v>
      </c>
      <c r="I55" s="70" t="s">
        <v>171</v>
      </c>
      <c r="J55" s="70"/>
      <c r="K55" s="65">
        <v>59.9</v>
      </c>
      <c r="L55" s="41" t="s">
        <v>49</v>
      </c>
      <c r="M55" s="41" t="s">
        <v>111</v>
      </c>
      <c r="N55" s="10" t="s">
        <v>255</v>
      </c>
      <c r="O55" s="8"/>
      <c r="P55" s="1"/>
    </row>
    <row r="56" spans="1:16" ht="28.5" customHeight="1">
      <c r="A56" s="10">
        <v>1</v>
      </c>
      <c r="B56" s="33" t="s">
        <v>202</v>
      </c>
      <c r="C56" s="41" t="s">
        <v>28</v>
      </c>
      <c r="D56" s="41" t="s">
        <v>256</v>
      </c>
      <c r="E56" s="41" t="s">
        <v>161</v>
      </c>
      <c r="F56" s="115" t="s">
        <v>257</v>
      </c>
      <c r="G56" s="41" t="s">
        <v>66</v>
      </c>
      <c r="H56" s="8" t="s">
        <v>67</v>
      </c>
      <c r="I56" s="70" t="s">
        <v>171</v>
      </c>
      <c r="J56" s="70"/>
      <c r="K56" s="65">
        <v>59.9</v>
      </c>
      <c r="L56" s="41" t="s">
        <v>49</v>
      </c>
      <c r="M56" s="41" t="s">
        <v>56</v>
      </c>
      <c r="N56" s="10" t="s">
        <v>258</v>
      </c>
      <c r="O56" s="8"/>
      <c r="P56" s="1"/>
    </row>
    <row r="57" spans="1:16" ht="28.5" customHeight="1">
      <c r="A57" s="10">
        <v>1</v>
      </c>
      <c r="B57" s="33" t="s">
        <v>202</v>
      </c>
      <c r="C57" s="41" t="s">
        <v>28</v>
      </c>
      <c r="D57" s="41" t="s">
        <v>259</v>
      </c>
      <c r="E57" s="41" t="s">
        <v>260</v>
      </c>
      <c r="F57" s="115" t="s">
        <v>261</v>
      </c>
      <c r="G57" s="41" t="s">
        <v>32</v>
      </c>
      <c r="H57" s="8" t="s">
        <v>33</v>
      </c>
      <c r="I57" s="70" t="s">
        <v>262</v>
      </c>
      <c r="J57" s="70"/>
      <c r="K57" s="65">
        <v>79.900000000000006</v>
      </c>
      <c r="L57" s="41" t="s">
        <v>49</v>
      </c>
      <c r="M57" s="41" t="s">
        <v>61</v>
      </c>
      <c r="N57" s="10" t="s">
        <v>263</v>
      </c>
      <c r="O57" s="8"/>
      <c r="P57" s="1"/>
    </row>
    <row r="58" spans="1:16" ht="28.5" customHeight="1">
      <c r="A58" s="10">
        <v>1</v>
      </c>
      <c r="B58" s="33" t="s">
        <v>202</v>
      </c>
      <c r="C58" s="41" t="s">
        <v>28</v>
      </c>
      <c r="D58" s="41" t="s">
        <v>264</v>
      </c>
      <c r="E58" s="41" t="s">
        <v>83</v>
      </c>
      <c r="F58" s="115">
        <v>51997708219</v>
      </c>
      <c r="G58" s="41" t="s">
        <v>85</v>
      </c>
      <c r="H58" s="8" t="s">
        <v>33</v>
      </c>
      <c r="I58" s="70" t="s">
        <v>74</v>
      </c>
      <c r="J58" s="70"/>
      <c r="K58" s="65">
        <v>89.9</v>
      </c>
      <c r="L58" s="41" t="s">
        <v>55</v>
      </c>
      <c r="M58" s="41" t="s">
        <v>61</v>
      </c>
      <c r="N58" s="10" t="s">
        <v>265</v>
      </c>
      <c r="O58" s="8"/>
      <c r="P58" s="1"/>
    </row>
    <row r="59" spans="1:16" ht="28.5" customHeight="1">
      <c r="A59" s="10">
        <v>1</v>
      </c>
      <c r="B59" s="33" t="s">
        <v>202</v>
      </c>
      <c r="C59" s="41" t="s">
        <v>93</v>
      </c>
      <c r="D59" s="41" t="s">
        <v>266</v>
      </c>
      <c r="E59" s="41" t="s">
        <v>39</v>
      </c>
      <c r="F59" s="115" t="s">
        <v>267</v>
      </c>
      <c r="G59" s="41" t="s">
        <v>41</v>
      </c>
      <c r="H59" s="8" t="s">
        <v>33</v>
      </c>
      <c r="I59" s="70"/>
      <c r="J59" s="70"/>
      <c r="K59" s="70" t="s">
        <v>179</v>
      </c>
      <c r="L59" s="41" t="s">
        <v>49</v>
      </c>
      <c r="M59" s="41"/>
      <c r="N59" s="10" t="s">
        <v>268</v>
      </c>
      <c r="O59" s="8"/>
      <c r="P59" s="1"/>
    </row>
    <row r="60" spans="1:16" ht="28.5" customHeight="1">
      <c r="A60" s="10">
        <v>1</v>
      </c>
      <c r="B60" s="33" t="s">
        <v>202</v>
      </c>
      <c r="C60" s="41" t="s">
        <v>28</v>
      </c>
      <c r="D60" s="41" t="s">
        <v>269</v>
      </c>
      <c r="E60" s="41" t="s">
        <v>270</v>
      </c>
      <c r="F60" s="115" t="s">
        <v>271</v>
      </c>
      <c r="G60" s="41" t="s">
        <v>66</v>
      </c>
      <c r="H60" s="8" t="s">
        <v>67</v>
      </c>
      <c r="I60" s="70" t="s">
        <v>171</v>
      </c>
      <c r="J60" s="70"/>
      <c r="K60" s="65">
        <v>99.9</v>
      </c>
      <c r="L60" s="41" t="s">
        <v>49</v>
      </c>
      <c r="M60" s="41" t="s">
        <v>128</v>
      </c>
      <c r="N60" s="10" t="s">
        <v>272</v>
      </c>
      <c r="O60" s="8"/>
      <c r="P60" s="1"/>
    </row>
    <row r="61" spans="1:16" ht="28.5" customHeight="1">
      <c r="A61" s="10">
        <v>1</v>
      </c>
      <c r="B61" s="33" t="s">
        <v>202</v>
      </c>
      <c r="C61" s="41" t="s">
        <v>28</v>
      </c>
      <c r="D61" s="41" t="s">
        <v>273</v>
      </c>
      <c r="E61" s="41" t="s">
        <v>274</v>
      </c>
      <c r="F61" s="115" t="s">
        <v>275</v>
      </c>
      <c r="G61" s="41" t="s">
        <v>85</v>
      </c>
      <c r="H61" s="8" t="s">
        <v>33</v>
      </c>
      <c r="I61" s="70" t="s">
        <v>262</v>
      </c>
      <c r="J61" s="70"/>
      <c r="K61" s="65">
        <v>69.900000000000006</v>
      </c>
      <c r="L61" s="41" t="s">
        <v>49</v>
      </c>
      <c r="M61" s="41" t="s">
        <v>128</v>
      </c>
      <c r="N61" s="10" t="s">
        <v>276</v>
      </c>
      <c r="O61" s="8"/>
      <c r="P61" s="1"/>
    </row>
    <row r="62" spans="1:16" ht="28.5" customHeight="1">
      <c r="A62" s="10">
        <v>1</v>
      </c>
      <c r="B62" s="33" t="s">
        <v>202</v>
      </c>
      <c r="C62" s="41" t="s">
        <v>28</v>
      </c>
      <c r="D62" s="41" t="s">
        <v>277</v>
      </c>
      <c r="E62" s="41" t="s">
        <v>278</v>
      </c>
      <c r="F62" s="115" t="s">
        <v>279</v>
      </c>
      <c r="G62" s="41" t="s">
        <v>280</v>
      </c>
      <c r="H62" s="8" t="s">
        <v>33</v>
      </c>
      <c r="I62" s="70" t="s">
        <v>262</v>
      </c>
      <c r="J62" s="70"/>
      <c r="K62" s="65">
        <v>69.900000000000006</v>
      </c>
      <c r="L62" s="41" t="s">
        <v>49</v>
      </c>
      <c r="M62" s="41" t="s">
        <v>35</v>
      </c>
      <c r="N62" s="10" t="s">
        <v>281</v>
      </c>
      <c r="O62" s="8"/>
      <c r="P62" s="1"/>
    </row>
    <row r="63" spans="1:16" ht="28.5" customHeight="1">
      <c r="A63" s="10">
        <v>1</v>
      </c>
      <c r="B63" s="33" t="s">
        <v>202</v>
      </c>
      <c r="C63" s="41" t="s">
        <v>93</v>
      </c>
      <c r="D63" s="41" t="s">
        <v>282</v>
      </c>
      <c r="E63" s="41" t="s">
        <v>237</v>
      </c>
      <c r="F63" s="115">
        <v>51998481302</v>
      </c>
      <c r="G63" s="41" t="s">
        <v>283</v>
      </c>
      <c r="H63" s="8" t="s">
        <v>47</v>
      </c>
      <c r="I63" s="70"/>
      <c r="J63" s="70"/>
      <c r="K63" s="70" t="s">
        <v>184</v>
      </c>
      <c r="L63" s="41" t="s">
        <v>55</v>
      </c>
      <c r="M63" s="41"/>
      <c r="N63" s="10" t="s">
        <v>239</v>
      </c>
      <c r="O63" s="8"/>
      <c r="P63" s="1"/>
    </row>
    <row r="64" spans="1:16" ht="28.5" customHeight="1">
      <c r="A64" s="10">
        <v>1</v>
      </c>
      <c r="B64" s="33" t="s">
        <v>202</v>
      </c>
      <c r="C64" s="41" t="s">
        <v>93</v>
      </c>
      <c r="D64" s="41" t="s">
        <v>284</v>
      </c>
      <c r="E64" s="41" t="s">
        <v>285</v>
      </c>
      <c r="F64" s="115" t="s">
        <v>286</v>
      </c>
      <c r="G64" s="41" t="s">
        <v>66</v>
      </c>
      <c r="H64" s="8" t="s">
        <v>67</v>
      </c>
      <c r="I64" s="70"/>
      <c r="J64" s="70"/>
      <c r="K64" s="70" t="s">
        <v>184</v>
      </c>
      <c r="L64" s="41" t="s">
        <v>34</v>
      </c>
      <c r="M64" s="41"/>
      <c r="N64" s="10" t="s">
        <v>287</v>
      </c>
      <c r="O64" s="8"/>
      <c r="P64" s="1"/>
    </row>
    <row r="65" spans="1:16" ht="28.5" customHeight="1">
      <c r="A65" s="10">
        <v>1</v>
      </c>
      <c r="B65" s="33" t="s">
        <v>202</v>
      </c>
      <c r="C65" s="41" t="s">
        <v>28</v>
      </c>
      <c r="D65" s="41" t="s">
        <v>288</v>
      </c>
      <c r="E65" s="41" t="s">
        <v>39</v>
      </c>
      <c r="F65" s="115">
        <v>51998285227</v>
      </c>
      <c r="G65" s="41" t="s">
        <v>41</v>
      </c>
      <c r="H65" s="8" t="s">
        <v>33</v>
      </c>
      <c r="I65" s="70" t="s">
        <v>54</v>
      </c>
      <c r="J65" s="70"/>
      <c r="K65" s="65">
        <v>79.900000000000006</v>
      </c>
      <c r="L65" s="41" t="s">
        <v>55</v>
      </c>
      <c r="M65" s="41" t="s">
        <v>56</v>
      </c>
      <c r="N65" s="10" t="s">
        <v>120</v>
      </c>
      <c r="O65" s="8"/>
      <c r="P65" s="1"/>
    </row>
    <row r="66" spans="1:16" ht="28.5" customHeight="1">
      <c r="A66" s="10">
        <v>1</v>
      </c>
      <c r="B66" s="33" t="s">
        <v>110</v>
      </c>
      <c r="C66" s="41" t="s">
        <v>93</v>
      </c>
      <c r="D66" s="41" t="s">
        <v>289</v>
      </c>
      <c r="E66" s="41" t="s">
        <v>290</v>
      </c>
      <c r="F66" s="115">
        <v>51984508315</v>
      </c>
      <c r="G66" s="41" t="s">
        <v>91</v>
      </c>
      <c r="H66" s="8" t="s">
        <v>67</v>
      </c>
      <c r="I66" s="70"/>
      <c r="J66" s="70"/>
      <c r="K66" s="70" t="s">
        <v>250</v>
      </c>
      <c r="L66" s="41" t="s">
        <v>55</v>
      </c>
      <c r="M66" s="41"/>
      <c r="N66" s="10" t="s">
        <v>155</v>
      </c>
      <c r="O66" s="8"/>
      <c r="P66" s="1"/>
    </row>
    <row r="67" spans="1:16" ht="28.5" customHeight="1">
      <c r="A67" s="10">
        <v>1</v>
      </c>
      <c r="B67" s="33" t="s">
        <v>110</v>
      </c>
      <c r="C67" s="41" t="s">
        <v>28</v>
      </c>
      <c r="D67" s="41" t="s">
        <v>291</v>
      </c>
      <c r="E67" s="41" t="s">
        <v>292</v>
      </c>
      <c r="F67" s="115">
        <v>51981774834</v>
      </c>
      <c r="G67" s="41" t="s">
        <v>41</v>
      </c>
      <c r="H67" s="8" t="s">
        <v>33</v>
      </c>
      <c r="I67" s="70" t="s">
        <v>293</v>
      </c>
      <c r="J67" s="70"/>
      <c r="K67" s="65">
        <v>49.9</v>
      </c>
      <c r="L67" s="41" t="s">
        <v>55</v>
      </c>
      <c r="M67" s="41" t="s">
        <v>61</v>
      </c>
      <c r="N67" s="10" t="s">
        <v>294</v>
      </c>
      <c r="O67" s="8"/>
      <c r="P67" s="1"/>
    </row>
    <row r="68" spans="1:16" ht="28.5" customHeight="1">
      <c r="A68" s="10">
        <v>1</v>
      </c>
      <c r="B68" s="33" t="s">
        <v>110</v>
      </c>
      <c r="C68" s="41" t="s">
        <v>93</v>
      </c>
      <c r="D68" s="41" t="s">
        <v>295</v>
      </c>
      <c r="E68" s="41" t="s">
        <v>296</v>
      </c>
      <c r="F68" s="115">
        <v>51997028706</v>
      </c>
      <c r="G68" s="41" t="s">
        <v>66</v>
      </c>
      <c r="H68" s="8" t="s">
        <v>67</v>
      </c>
      <c r="I68" s="70"/>
      <c r="J68" s="70"/>
      <c r="K68" s="70" t="s">
        <v>250</v>
      </c>
      <c r="L68" s="41" t="s">
        <v>55</v>
      </c>
      <c r="M68" s="41"/>
      <c r="N68" s="10" t="s">
        <v>251</v>
      </c>
      <c r="O68" s="8"/>
      <c r="P68" s="1"/>
    </row>
    <row r="69" spans="1:16" ht="28.5" customHeight="1">
      <c r="A69" s="10">
        <v>1</v>
      </c>
      <c r="B69" s="33" t="s">
        <v>110</v>
      </c>
      <c r="C69" s="41" t="s">
        <v>28</v>
      </c>
      <c r="D69" s="41" t="s">
        <v>297</v>
      </c>
      <c r="E69" s="41" t="s">
        <v>298</v>
      </c>
      <c r="F69" s="115" t="s">
        <v>299</v>
      </c>
      <c r="G69" s="41" t="s">
        <v>300</v>
      </c>
      <c r="H69" s="8" t="s">
        <v>206</v>
      </c>
      <c r="I69" s="70" t="s">
        <v>124</v>
      </c>
      <c r="J69" s="70"/>
      <c r="K69" s="65">
        <v>99.9</v>
      </c>
      <c r="L69" s="41" t="s">
        <v>34</v>
      </c>
      <c r="M69" s="41" t="s">
        <v>128</v>
      </c>
      <c r="N69" s="10" t="s">
        <v>301</v>
      </c>
      <c r="O69" s="8"/>
      <c r="P69" s="1"/>
    </row>
    <row r="70" spans="1:16" ht="28.5" customHeight="1">
      <c r="A70" s="10">
        <v>1</v>
      </c>
      <c r="B70" s="33" t="s">
        <v>110</v>
      </c>
      <c r="C70" s="41" t="s">
        <v>28</v>
      </c>
      <c r="D70" s="41" t="s">
        <v>302</v>
      </c>
      <c r="E70" s="41" t="s">
        <v>303</v>
      </c>
      <c r="F70" s="115" t="s">
        <v>304</v>
      </c>
      <c r="G70" s="41" t="s">
        <v>305</v>
      </c>
      <c r="H70" s="8" t="s">
        <v>215</v>
      </c>
      <c r="I70" s="70" t="s">
        <v>306</v>
      </c>
      <c r="J70" s="70"/>
      <c r="K70" s="65">
        <v>79.900000000000006</v>
      </c>
      <c r="L70" s="41" t="s">
        <v>34</v>
      </c>
      <c r="M70" s="41" t="s">
        <v>61</v>
      </c>
      <c r="N70" s="10" t="s">
        <v>307</v>
      </c>
      <c r="O70" s="8"/>
      <c r="P70" s="1"/>
    </row>
    <row r="71" spans="1:16" ht="28.5" customHeight="1">
      <c r="A71" s="10">
        <v>1</v>
      </c>
      <c r="B71" s="33" t="s">
        <v>110</v>
      </c>
      <c r="C71" s="41" t="s">
        <v>28</v>
      </c>
      <c r="D71" s="41" t="s">
        <v>308</v>
      </c>
      <c r="E71" s="41" t="s">
        <v>309</v>
      </c>
      <c r="F71" s="115">
        <v>51992212149</v>
      </c>
      <c r="G71" s="41" t="s">
        <v>310</v>
      </c>
      <c r="H71" s="8" t="s">
        <v>47</v>
      </c>
      <c r="I71" s="70" t="s">
        <v>60</v>
      </c>
      <c r="J71" s="70"/>
      <c r="K71" s="65">
        <v>59.9</v>
      </c>
      <c r="L71" s="41" t="s">
        <v>34</v>
      </c>
      <c r="M71" s="41" t="s">
        <v>128</v>
      </c>
      <c r="N71" s="10" t="s">
        <v>120</v>
      </c>
      <c r="O71" s="8"/>
      <c r="P71" s="1"/>
    </row>
    <row r="72" spans="1:16" ht="28.5" customHeight="1">
      <c r="A72" s="10">
        <v>1</v>
      </c>
      <c r="B72" s="33" t="s">
        <v>110</v>
      </c>
      <c r="C72" s="41" t="s">
        <v>28</v>
      </c>
      <c r="D72" s="41" t="s">
        <v>311</v>
      </c>
      <c r="E72" s="41" t="s">
        <v>312</v>
      </c>
      <c r="F72" s="115">
        <v>51985216927</v>
      </c>
      <c r="G72" s="41" t="s">
        <v>313</v>
      </c>
      <c r="H72" s="8" t="s">
        <v>33</v>
      </c>
      <c r="I72" s="70" t="s">
        <v>293</v>
      </c>
      <c r="J72" s="70"/>
      <c r="K72" s="65">
        <v>89.9</v>
      </c>
      <c r="L72" s="41" t="s">
        <v>55</v>
      </c>
      <c r="M72" s="41" t="s">
        <v>61</v>
      </c>
      <c r="N72" s="10" t="s">
        <v>211</v>
      </c>
      <c r="O72" s="8"/>
      <c r="P72" s="1"/>
    </row>
    <row r="73" spans="1:16" ht="28.5" customHeight="1">
      <c r="A73" s="10">
        <v>1</v>
      </c>
      <c r="B73" s="33" t="s">
        <v>110</v>
      </c>
      <c r="C73" s="41" t="s">
        <v>28</v>
      </c>
      <c r="D73" s="41" t="s">
        <v>314</v>
      </c>
      <c r="E73" s="41" t="s">
        <v>315</v>
      </c>
      <c r="F73" s="115" t="s">
        <v>316</v>
      </c>
      <c r="G73" s="41" t="s">
        <v>66</v>
      </c>
      <c r="H73" s="8" t="s">
        <v>206</v>
      </c>
      <c r="I73" s="70" t="s">
        <v>171</v>
      </c>
      <c r="J73" s="70"/>
      <c r="K73" s="65">
        <v>129.9</v>
      </c>
      <c r="L73" s="41" t="s">
        <v>49</v>
      </c>
      <c r="M73" s="41" t="s">
        <v>35</v>
      </c>
      <c r="N73" s="10" t="s">
        <v>317</v>
      </c>
      <c r="O73" s="8"/>
      <c r="P73" s="1"/>
    </row>
    <row r="74" spans="1:16" ht="28.5" customHeight="1">
      <c r="A74" s="10">
        <v>1</v>
      </c>
      <c r="B74" s="33" t="s">
        <v>110</v>
      </c>
      <c r="C74" s="41" t="s">
        <v>28</v>
      </c>
      <c r="D74" s="41" t="s">
        <v>318</v>
      </c>
      <c r="E74" s="41" t="s">
        <v>150</v>
      </c>
      <c r="F74" s="115" t="s">
        <v>319</v>
      </c>
      <c r="G74" s="41" t="s">
        <v>91</v>
      </c>
      <c r="H74" s="8" t="s">
        <v>206</v>
      </c>
      <c r="I74" s="70" t="s">
        <v>124</v>
      </c>
      <c r="J74" s="70"/>
      <c r="K74" s="65">
        <v>129.9</v>
      </c>
      <c r="L74" s="41" t="s">
        <v>34</v>
      </c>
      <c r="M74" s="41" t="s">
        <v>128</v>
      </c>
      <c r="N74" s="10" t="s">
        <v>320</v>
      </c>
      <c r="O74" s="8"/>
      <c r="P74" s="1"/>
    </row>
    <row r="75" spans="1:16" ht="28.5" customHeight="1">
      <c r="A75" s="10">
        <v>1</v>
      </c>
      <c r="B75" s="33" t="s">
        <v>110</v>
      </c>
      <c r="C75" s="41" t="s">
        <v>28</v>
      </c>
      <c r="D75" s="41" t="s">
        <v>321</v>
      </c>
      <c r="E75" s="41" t="s">
        <v>285</v>
      </c>
      <c r="F75" s="115">
        <v>51991690430</v>
      </c>
      <c r="G75" s="41" t="s">
        <v>66</v>
      </c>
      <c r="H75" s="8" t="s">
        <v>67</v>
      </c>
      <c r="I75" s="70" t="s">
        <v>60</v>
      </c>
      <c r="J75" s="70"/>
      <c r="K75" s="65">
        <v>89.9</v>
      </c>
      <c r="L75" s="41" t="s">
        <v>55</v>
      </c>
      <c r="M75" s="41" t="s">
        <v>128</v>
      </c>
      <c r="N75" s="10" t="s">
        <v>129</v>
      </c>
      <c r="O75" s="8"/>
      <c r="P75" s="1"/>
    </row>
    <row r="76" spans="1:16" ht="28.5" customHeight="1">
      <c r="A76" s="10">
        <v>1</v>
      </c>
      <c r="B76" s="33" t="s">
        <v>110</v>
      </c>
      <c r="C76" s="41" t="s">
        <v>93</v>
      </c>
      <c r="D76" s="41" t="s">
        <v>322</v>
      </c>
      <c r="E76" s="41" t="s">
        <v>323</v>
      </c>
      <c r="F76" s="115">
        <v>51997249907</v>
      </c>
      <c r="G76" s="41" t="s">
        <v>79</v>
      </c>
      <c r="H76" s="8" t="s">
        <v>47</v>
      </c>
      <c r="I76" s="70"/>
      <c r="J76" s="70"/>
      <c r="K76" s="70" t="s">
        <v>184</v>
      </c>
      <c r="L76" s="41" t="s">
        <v>55</v>
      </c>
      <c r="M76" s="41"/>
      <c r="N76" s="10">
        <v>1</v>
      </c>
      <c r="O76" s="8"/>
      <c r="P76" s="1"/>
    </row>
    <row r="77" spans="1:16" ht="28.5" customHeight="1">
      <c r="A77" s="10">
        <v>1</v>
      </c>
      <c r="B77" s="33" t="s">
        <v>110</v>
      </c>
      <c r="C77" s="41" t="s">
        <v>28</v>
      </c>
      <c r="D77" s="41" t="s">
        <v>324</v>
      </c>
      <c r="E77" s="41" t="s">
        <v>325</v>
      </c>
      <c r="F77" s="115">
        <v>51991364383</v>
      </c>
      <c r="G77" s="41" t="s">
        <v>147</v>
      </c>
      <c r="H77" s="8" t="s">
        <v>33</v>
      </c>
      <c r="I77" s="70" t="s">
        <v>74</v>
      </c>
      <c r="J77" s="70"/>
      <c r="K77" s="65">
        <v>89.9</v>
      </c>
      <c r="L77" s="41" t="s">
        <v>55</v>
      </c>
      <c r="M77" s="41" t="s">
        <v>61</v>
      </c>
      <c r="N77" s="10" t="s">
        <v>294</v>
      </c>
      <c r="O77" s="8"/>
      <c r="P77" s="1"/>
    </row>
    <row r="78" spans="1:16" ht="28.5" customHeight="1">
      <c r="A78" s="10">
        <v>1</v>
      </c>
      <c r="B78" s="33" t="s">
        <v>110</v>
      </c>
      <c r="C78" s="41" t="s">
        <v>93</v>
      </c>
      <c r="D78" s="41" t="s">
        <v>326</v>
      </c>
      <c r="E78" s="41" t="s">
        <v>327</v>
      </c>
      <c r="F78" s="115" t="s">
        <v>328</v>
      </c>
      <c r="G78" s="41" t="s">
        <v>91</v>
      </c>
      <c r="H78" s="8" t="s">
        <v>67</v>
      </c>
      <c r="I78" s="70"/>
      <c r="J78" s="70"/>
      <c r="K78" s="70" t="s">
        <v>97</v>
      </c>
      <c r="L78" s="41" t="s">
        <v>49</v>
      </c>
      <c r="M78" s="41"/>
      <c r="N78" s="10" t="s">
        <v>329</v>
      </c>
      <c r="O78" s="8"/>
      <c r="P78" s="1"/>
    </row>
    <row r="79" spans="1:16" ht="28.5" customHeight="1">
      <c r="A79" s="10">
        <v>1</v>
      </c>
      <c r="B79" s="33" t="s">
        <v>110</v>
      </c>
      <c r="C79" s="41" t="s">
        <v>93</v>
      </c>
      <c r="D79" s="41" t="s">
        <v>330</v>
      </c>
      <c r="E79" s="41" t="s">
        <v>118</v>
      </c>
      <c r="F79" s="115" t="s">
        <v>331</v>
      </c>
      <c r="G79" s="41" t="s">
        <v>66</v>
      </c>
      <c r="H79" s="8" t="s">
        <v>67</v>
      </c>
      <c r="I79" s="70"/>
      <c r="J79" s="70"/>
      <c r="K79" s="70" t="s">
        <v>97</v>
      </c>
      <c r="L79" s="41" t="s">
        <v>49</v>
      </c>
      <c r="M79" s="41"/>
      <c r="N79" s="10" t="s">
        <v>332</v>
      </c>
      <c r="O79" s="8"/>
      <c r="P79" s="1"/>
    </row>
    <row r="80" spans="1:16" ht="28.5" customHeight="1">
      <c r="A80" s="10">
        <v>1</v>
      </c>
      <c r="B80" s="33" t="s">
        <v>110</v>
      </c>
      <c r="C80" s="41" t="s">
        <v>28</v>
      </c>
      <c r="D80" s="41" t="s">
        <v>333</v>
      </c>
      <c r="E80" s="41" t="s">
        <v>334</v>
      </c>
      <c r="F80" s="115" t="s">
        <v>335</v>
      </c>
      <c r="G80" s="41" t="s">
        <v>66</v>
      </c>
      <c r="H80" s="8" t="s">
        <v>67</v>
      </c>
      <c r="I80" s="70" t="s">
        <v>105</v>
      </c>
      <c r="J80" s="70"/>
      <c r="K80" s="65">
        <v>99.9</v>
      </c>
      <c r="L80" s="41" t="s">
        <v>49</v>
      </c>
      <c r="M80" s="41" t="s">
        <v>128</v>
      </c>
      <c r="N80" s="10" t="s">
        <v>336</v>
      </c>
      <c r="O80" s="8"/>
      <c r="P80" s="1"/>
    </row>
    <row r="81" spans="1:16" ht="28.5" customHeight="1">
      <c r="A81" s="10">
        <v>1</v>
      </c>
      <c r="B81" s="33" t="s">
        <v>110</v>
      </c>
      <c r="C81" s="41" t="s">
        <v>93</v>
      </c>
      <c r="D81" s="41" t="s">
        <v>337</v>
      </c>
      <c r="E81" s="41" t="s">
        <v>285</v>
      </c>
      <c r="F81" s="115" t="s">
        <v>338</v>
      </c>
      <c r="G81" s="41" t="s">
        <v>66</v>
      </c>
      <c r="H81" s="8" t="s">
        <v>67</v>
      </c>
      <c r="I81" s="70"/>
      <c r="J81" s="70"/>
      <c r="K81" s="70" t="s">
        <v>250</v>
      </c>
      <c r="L81" s="41" t="s">
        <v>55</v>
      </c>
      <c r="M81" s="41"/>
      <c r="N81" s="10" t="s">
        <v>102</v>
      </c>
      <c r="O81" s="8"/>
      <c r="P81" s="1"/>
    </row>
    <row r="82" spans="1:16" ht="28.5" customHeight="1">
      <c r="A82" s="10">
        <v>1</v>
      </c>
      <c r="B82" s="33" t="s">
        <v>110</v>
      </c>
      <c r="C82" s="41" t="s">
        <v>93</v>
      </c>
      <c r="D82" s="41" t="s">
        <v>339</v>
      </c>
      <c r="E82" s="41" t="s">
        <v>340</v>
      </c>
      <c r="F82" s="115" t="s">
        <v>341</v>
      </c>
      <c r="G82" s="41" t="s">
        <v>66</v>
      </c>
      <c r="H82" s="8" t="s">
        <v>67</v>
      </c>
      <c r="I82" s="70"/>
      <c r="J82" s="70"/>
      <c r="K82" s="70" t="s">
        <v>142</v>
      </c>
      <c r="L82" s="41" t="s">
        <v>49</v>
      </c>
      <c r="M82" s="41"/>
      <c r="N82" s="10" t="s">
        <v>342</v>
      </c>
      <c r="O82" s="8"/>
      <c r="P82" s="1"/>
    </row>
    <row r="83" spans="1:16" ht="28.5" customHeight="1">
      <c r="A83" s="10">
        <v>1</v>
      </c>
      <c r="B83" s="33" t="s">
        <v>110</v>
      </c>
      <c r="C83" s="41" t="s">
        <v>28</v>
      </c>
      <c r="D83" s="41" t="s">
        <v>343</v>
      </c>
      <c r="E83" s="41" t="s">
        <v>344</v>
      </c>
      <c r="F83" s="115" t="s">
        <v>345</v>
      </c>
      <c r="G83" s="41" t="s">
        <v>53</v>
      </c>
      <c r="H83" s="8" t="s">
        <v>33</v>
      </c>
      <c r="I83" s="70" t="s">
        <v>86</v>
      </c>
      <c r="J83" s="70"/>
      <c r="K83" s="65">
        <v>109.9</v>
      </c>
      <c r="L83" s="41" t="s">
        <v>49</v>
      </c>
      <c r="M83" s="41" t="s">
        <v>80</v>
      </c>
      <c r="N83" s="10" t="s">
        <v>346</v>
      </c>
      <c r="O83" s="8"/>
      <c r="P83" s="1"/>
    </row>
    <row r="84" spans="1:16" ht="28.5" customHeight="1">
      <c r="A84" s="10">
        <v>1</v>
      </c>
      <c r="B84" s="33" t="s">
        <v>110</v>
      </c>
      <c r="C84" s="41" t="s">
        <v>93</v>
      </c>
      <c r="D84" s="41" t="s">
        <v>347</v>
      </c>
      <c r="E84" s="41" t="s">
        <v>174</v>
      </c>
      <c r="F84" s="119" t="s">
        <v>348</v>
      </c>
      <c r="G84" s="41" t="s">
        <v>66</v>
      </c>
      <c r="H84" s="8" t="s">
        <v>67</v>
      </c>
      <c r="I84" s="70"/>
      <c r="J84" s="70"/>
      <c r="K84" s="70" t="s">
        <v>142</v>
      </c>
      <c r="L84" s="41" t="s">
        <v>34</v>
      </c>
      <c r="M84" s="41"/>
      <c r="N84" s="10" t="s">
        <v>349</v>
      </c>
      <c r="O84" s="8"/>
      <c r="P84" s="1"/>
    </row>
    <row r="85" spans="1:16" ht="28.5" customHeight="1">
      <c r="A85" s="10">
        <v>1</v>
      </c>
      <c r="B85" s="33" t="s">
        <v>110</v>
      </c>
      <c r="C85" s="41" t="s">
        <v>93</v>
      </c>
      <c r="D85" s="41" t="s">
        <v>350</v>
      </c>
      <c r="E85" s="41" t="s">
        <v>186</v>
      </c>
      <c r="F85" s="115" t="s">
        <v>351</v>
      </c>
      <c r="G85" s="41" t="s">
        <v>66</v>
      </c>
      <c r="H85" s="8" t="s">
        <v>67</v>
      </c>
      <c r="I85" s="70"/>
      <c r="J85" s="70"/>
      <c r="K85" s="70" t="s">
        <v>142</v>
      </c>
      <c r="L85" s="41" t="s">
        <v>49</v>
      </c>
      <c r="M85" s="41"/>
      <c r="N85" s="10" t="s">
        <v>352</v>
      </c>
      <c r="O85" s="8"/>
      <c r="P85" s="1"/>
    </row>
    <row r="86" spans="1:16" ht="28.5" customHeight="1">
      <c r="A86" s="10">
        <v>1</v>
      </c>
      <c r="B86" s="33" t="s">
        <v>110</v>
      </c>
      <c r="C86" s="41" t="s">
        <v>28</v>
      </c>
      <c r="D86" s="41" t="s">
        <v>353</v>
      </c>
      <c r="E86" s="41" t="s">
        <v>354</v>
      </c>
      <c r="F86" s="119" t="s">
        <v>355</v>
      </c>
      <c r="G86" s="41" t="s">
        <v>310</v>
      </c>
      <c r="H86" s="8" t="s">
        <v>47</v>
      </c>
      <c r="I86" s="70" t="s">
        <v>105</v>
      </c>
      <c r="J86" s="70"/>
      <c r="K86" s="65">
        <v>89.9</v>
      </c>
      <c r="L86" s="41" t="s">
        <v>34</v>
      </c>
      <c r="M86" s="41" t="s">
        <v>61</v>
      </c>
      <c r="N86" s="10" t="s">
        <v>356</v>
      </c>
      <c r="O86" s="8"/>
      <c r="P86" s="1"/>
    </row>
    <row r="87" spans="1:16" ht="28.5" customHeight="1">
      <c r="A87" s="10">
        <v>1</v>
      </c>
      <c r="B87" s="33" t="s">
        <v>110</v>
      </c>
      <c r="C87" s="41" t="s">
        <v>28</v>
      </c>
      <c r="D87" s="41" t="s">
        <v>357</v>
      </c>
      <c r="E87" s="41" t="s">
        <v>165</v>
      </c>
      <c r="F87" s="115">
        <v>51993297919</v>
      </c>
      <c r="G87" s="41" t="s">
        <v>66</v>
      </c>
      <c r="H87" s="8" t="s">
        <v>67</v>
      </c>
      <c r="I87" s="70" t="s">
        <v>60</v>
      </c>
      <c r="J87" s="70"/>
      <c r="K87" s="65">
        <v>99.9</v>
      </c>
      <c r="L87" s="41" t="s">
        <v>55</v>
      </c>
      <c r="M87" s="41" t="s">
        <v>61</v>
      </c>
      <c r="N87" s="10" t="s">
        <v>358</v>
      </c>
      <c r="O87" s="8"/>
      <c r="P87" s="1"/>
    </row>
    <row r="88" spans="1:16" ht="28.5" customHeight="1">
      <c r="A88" s="10">
        <v>1</v>
      </c>
      <c r="B88" s="33" t="s">
        <v>110</v>
      </c>
      <c r="C88" s="41" t="s">
        <v>28</v>
      </c>
      <c r="D88" s="41" t="s">
        <v>359</v>
      </c>
      <c r="E88" s="41" t="s">
        <v>145</v>
      </c>
      <c r="F88" s="118" t="s">
        <v>360</v>
      </c>
      <c r="G88" s="41" t="s">
        <v>79</v>
      </c>
      <c r="H88" s="8" t="s">
        <v>47</v>
      </c>
      <c r="I88" s="70" t="s">
        <v>171</v>
      </c>
      <c r="J88" s="70"/>
      <c r="K88" s="65">
        <v>89.9</v>
      </c>
      <c r="L88" s="41" t="s">
        <v>49</v>
      </c>
      <c r="M88" s="41" t="s">
        <v>61</v>
      </c>
      <c r="N88" s="10" t="s">
        <v>361</v>
      </c>
      <c r="O88" s="8"/>
      <c r="P88" s="1"/>
    </row>
    <row r="89" spans="1:16" ht="28.5" customHeight="1">
      <c r="A89" s="10">
        <v>1</v>
      </c>
      <c r="B89" s="33" t="s">
        <v>110</v>
      </c>
      <c r="C89" s="41" t="s">
        <v>93</v>
      </c>
      <c r="D89" s="41" t="s">
        <v>362</v>
      </c>
      <c r="E89" s="41" t="s">
        <v>363</v>
      </c>
      <c r="F89" s="118" t="s">
        <v>364</v>
      </c>
      <c r="G89" s="41" t="s">
        <v>66</v>
      </c>
      <c r="H89" s="8" t="s">
        <v>67</v>
      </c>
      <c r="I89" s="70"/>
      <c r="J89" s="70"/>
      <c r="K89" s="70" t="s">
        <v>142</v>
      </c>
      <c r="L89" s="41" t="s">
        <v>49</v>
      </c>
      <c r="M89" s="41"/>
      <c r="N89" s="10" t="s">
        <v>365</v>
      </c>
      <c r="O89" s="8"/>
      <c r="P89" s="1"/>
    </row>
    <row r="90" spans="1:16" ht="28.5" customHeight="1">
      <c r="A90" s="10">
        <v>1</v>
      </c>
      <c r="B90" s="33" t="s">
        <v>171</v>
      </c>
      <c r="C90" s="41" t="s">
        <v>28</v>
      </c>
      <c r="D90" s="41" t="s">
        <v>366</v>
      </c>
      <c r="E90" s="41" t="s">
        <v>145</v>
      </c>
      <c r="F90" s="118">
        <v>51995800056</v>
      </c>
      <c r="G90" s="41" t="s">
        <v>85</v>
      </c>
      <c r="H90" s="8" t="s">
        <v>33</v>
      </c>
      <c r="I90" s="70" t="s">
        <v>54</v>
      </c>
      <c r="J90" s="70"/>
      <c r="K90" s="65">
        <v>99.9</v>
      </c>
      <c r="L90" s="41" t="s">
        <v>55</v>
      </c>
      <c r="M90" s="41" t="s">
        <v>61</v>
      </c>
      <c r="N90" s="10" t="s">
        <v>367</v>
      </c>
      <c r="O90" s="8"/>
      <c r="P90" s="1"/>
    </row>
    <row r="91" spans="1:16" ht="28.5" customHeight="1">
      <c r="A91" s="10">
        <v>1</v>
      </c>
      <c r="B91" s="33" t="s">
        <v>171</v>
      </c>
      <c r="C91" s="41" t="s">
        <v>28</v>
      </c>
      <c r="D91" s="41" t="s">
        <v>368</v>
      </c>
      <c r="E91" s="41" t="s">
        <v>363</v>
      </c>
      <c r="F91" s="118" t="s">
        <v>369</v>
      </c>
      <c r="G91" s="41" t="s">
        <v>66</v>
      </c>
      <c r="H91" s="8" t="s">
        <v>67</v>
      </c>
      <c r="I91" s="70" t="s">
        <v>124</v>
      </c>
      <c r="J91" s="70"/>
      <c r="K91" s="65">
        <v>89.9</v>
      </c>
      <c r="L91" s="41" t="s">
        <v>55</v>
      </c>
      <c r="M91" s="41" t="s">
        <v>61</v>
      </c>
      <c r="N91" s="10" t="s">
        <v>211</v>
      </c>
      <c r="O91" s="8"/>
      <c r="P91" s="1"/>
    </row>
    <row r="92" spans="1:16" ht="28.5" customHeight="1">
      <c r="A92" s="10">
        <v>1</v>
      </c>
      <c r="B92" s="33" t="s">
        <v>171</v>
      </c>
      <c r="C92" s="41" t="s">
        <v>93</v>
      </c>
      <c r="D92" s="41" t="s">
        <v>370</v>
      </c>
      <c r="E92" s="41" t="s">
        <v>296</v>
      </c>
      <c r="F92" s="118">
        <v>51995620361</v>
      </c>
      <c r="G92" s="41" t="s">
        <v>66</v>
      </c>
      <c r="H92" s="8" t="s">
        <v>67</v>
      </c>
      <c r="I92" s="70"/>
      <c r="J92" s="70"/>
      <c r="K92" s="65">
        <v>59.9</v>
      </c>
      <c r="L92" s="41" t="s">
        <v>55</v>
      </c>
      <c r="M92" s="41"/>
      <c r="N92" s="10" t="s">
        <v>371</v>
      </c>
      <c r="O92" s="8"/>
      <c r="P92" s="1"/>
    </row>
    <row r="93" spans="1:16" ht="28.5" customHeight="1">
      <c r="A93" s="10">
        <v>1</v>
      </c>
      <c r="B93" s="33" t="s">
        <v>171</v>
      </c>
      <c r="C93" s="41" t="s">
        <v>93</v>
      </c>
      <c r="D93" s="41" t="s">
        <v>372</v>
      </c>
      <c r="E93" s="41" t="s">
        <v>292</v>
      </c>
      <c r="F93" s="115">
        <v>51983159807</v>
      </c>
      <c r="G93" s="41" t="s">
        <v>313</v>
      </c>
      <c r="H93" s="8" t="s">
        <v>33</v>
      </c>
      <c r="I93" s="70"/>
      <c r="J93" s="70"/>
      <c r="K93" s="65">
        <v>99.9</v>
      </c>
      <c r="L93" s="41" t="s">
        <v>55</v>
      </c>
      <c r="M93" s="41"/>
      <c r="N93" s="10" t="s">
        <v>373</v>
      </c>
      <c r="O93" s="8"/>
      <c r="P93" s="1"/>
    </row>
    <row r="94" spans="1:16" ht="28.5" customHeight="1">
      <c r="A94" s="10">
        <v>1</v>
      </c>
      <c r="B94" s="33" t="s">
        <v>171</v>
      </c>
      <c r="C94" s="41" t="s">
        <v>28</v>
      </c>
      <c r="D94" s="41" t="s">
        <v>374</v>
      </c>
      <c r="E94" s="41" t="s">
        <v>145</v>
      </c>
      <c r="F94" s="115">
        <v>51992244855</v>
      </c>
      <c r="G94" s="41" t="s">
        <v>79</v>
      </c>
      <c r="H94" s="8" t="s">
        <v>47</v>
      </c>
      <c r="I94" s="70" t="s">
        <v>375</v>
      </c>
      <c r="J94" s="70"/>
      <c r="K94" s="65">
        <v>99.9</v>
      </c>
      <c r="L94" s="41" t="s">
        <v>55</v>
      </c>
      <c r="M94" s="41" t="s">
        <v>56</v>
      </c>
      <c r="N94" s="10" t="s">
        <v>376</v>
      </c>
      <c r="O94" s="8"/>
      <c r="P94" s="1"/>
    </row>
    <row r="95" spans="1:16" ht="28.5" customHeight="1">
      <c r="A95" s="10">
        <v>1</v>
      </c>
      <c r="B95" s="33" t="s">
        <v>171</v>
      </c>
      <c r="C95" s="41" t="s">
        <v>93</v>
      </c>
      <c r="D95" s="41" t="s">
        <v>377</v>
      </c>
      <c r="E95" s="41" t="s">
        <v>186</v>
      </c>
      <c r="F95" s="120" t="s">
        <v>378</v>
      </c>
      <c r="G95" s="41" t="s">
        <v>66</v>
      </c>
      <c r="H95" s="8" t="s">
        <v>67</v>
      </c>
      <c r="I95" s="70"/>
      <c r="J95" s="70"/>
      <c r="K95" s="65">
        <v>99.9</v>
      </c>
      <c r="L95" s="41" t="s">
        <v>49</v>
      </c>
      <c r="M95" s="41"/>
      <c r="N95" s="10" t="s">
        <v>379</v>
      </c>
      <c r="O95" s="8"/>
      <c r="P95" s="1"/>
    </row>
    <row r="96" spans="1:16" ht="28.5" customHeight="1">
      <c r="A96" s="10">
        <v>1</v>
      </c>
      <c r="B96" s="33" t="s">
        <v>171</v>
      </c>
      <c r="C96" s="41" t="s">
        <v>93</v>
      </c>
      <c r="D96" s="41" t="s">
        <v>380</v>
      </c>
      <c r="E96" s="41" t="s">
        <v>290</v>
      </c>
      <c r="F96" s="120" t="s">
        <v>381</v>
      </c>
      <c r="G96" s="41" t="s">
        <v>91</v>
      </c>
      <c r="H96" s="8" t="s">
        <v>67</v>
      </c>
      <c r="I96" s="70"/>
      <c r="J96" s="70"/>
      <c r="K96" s="65">
        <v>119.9</v>
      </c>
      <c r="L96" s="41" t="s">
        <v>49</v>
      </c>
      <c r="M96" s="41"/>
      <c r="N96" s="10" t="s">
        <v>382</v>
      </c>
      <c r="O96" s="8"/>
      <c r="P96" s="1"/>
    </row>
    <row r="97" spans="1:16" ht="28.5" customHeight="1">
      <c r="A97" s="10">
        <v>1</v>
      </c>
      <c r="B97" s="33" t="s">
        <v>171</v>
      </c>
      <c r="C97" s="41" t="s">
        <v>28</v>
      </c>
      <c r="D97" s="41" t="s">
        <v>383</v>
      </c>
      <c r="E97" s="41" t="s">
        <v>384</v>
      </c>
      <c r="F97" s="120" t="s">
        <v>385</v>
      </c>
      <c r="G97" s="41" t="s">
        <v>79</v>
      </c>
      <c r="H97" s="8" t="s">
        <v>47</v>
      </c>
      <c r="I97" s="70" t="s">
        <v>386</v>
      </c>
      <c r="J97" s="70"/>
      <c r="K97" s="65">
        <v>79.900000000000006</v>
      </c>
      <c r="L97" s="41" t="s">
        <v>49</v>
      </c>
      <c r="M97" s="41" t="s">
        <v>128</v>
      </c>
      <c r="N97" s="10" t="s">
        <v>387</v>
      </c>
      <c r="O97" s="8"/>
      <c r="P97" s="1"/>
    </row>
    <row r="98" spans="1:16" ht="28.5" customHeight="1">
      <c r="A98" s="10">
        <v>1</v>
      </c>
      <c r="B98" s="33" t="s">
        <v>171</v>
      </c>
      <c r="C98" s="41" t="s">
        <v>93</v>
      </c>
      <c r="D98" s="41" t="s">
        <v>388</v>
      </c>
      <c r="E98" s="41" t="s">
        <v>389</v>
      </c>
      <c r="F98" s="114" t="s">
        <v>390</v>
      </c>
      <c r="G98" s="41" t="s">
        <v>85</v>
      </c>
      <c r="H98" s="8" t="s">
        <v>33</v>
      </c>
      <c r="I98" s="70"/>
      <c r="J98" s="70"/>
      <c r="K98" s="65">
        <v>59.9</v>
      </c>
      <c r="L98" s="41" t="s">
        <v>34</v>
      </c>
      <c r="M98" s="41"/>
      <c r="N98" s="10" t="s">
        <v>391</v>
      </c>
      <c r="O98" s="8"/>
      <c r="P98" s="1"/>
    </row>
    <row r="99" spans="1:16" ht="28.5" customHeight="1">
      <c r="A99" s="10">
        <v>1</v>
      </c>
      <c r="B99" s="33" t="s">
        <v>171</v>
      </c>
      <c r="C99" s="41" t="s">
        <v>28</v>
      </c>
      <c r="D99" s="41" t="s">
        <v>392</v>
      </c>
      <c r="E99" s="41" t="s">
        <v>393</v>
      </c>
      <c r="F99" s="114" t="s">
        <v>394</v>
      </c>
      <c r="G99" s="41" t="s">
        <v>395</v>
      </c>
      <c r="H99" s="8" t="s">
        <v>33</v>
      </c>
      <c r="I99" s="70"/>
      <c r="J99" s="70"/>
      <c r="K99" s="65">
        <v>109.9</v>
      </c>
      <c r="L99" s="41" t="s">
        <v>34</v>
      </c>
      <c r="M99" s="41"/>
      <c r="N99" s="10" t="s">
        <v>396</v>
      </c>
      <c r="O99" s="8"/>
      <c r="P99" s="1"/>
    </row>
    <row r="100" spans="1:16" ht="28.5" customHeight="1">
      <c r="A100" s="10">
        <v>1</v>
      </c>
      <c r="B100" s="33" t="s">
        <v>171</v>
      </c>
      <c r="C100" s="41" t="s">
        <v>93</v>
      </c>
      <c r="D100" s="41" t="s">
        <v>397</v>
      </c>
      <c r="E100" s="41" t="s">
        <v>285</v>
      </c>
      <c r="F100" s="115">
        <v>51986238011</v>
      </c>
      <c r="G100" s="41" t="s">
        <v>66</v>
      </c>
      <c r="H100" s="8" t="s">
        <v>67</v>
      </c>
      <c r="I100" s="70"/>
      <c r="J100" s="70"/>
      <c r="K100" s="65">
        <v>99.9</v>
      </c>
      <c r="L100" s="41" t="s">
        <v>55</v>
      </c>
      <c r="M100" s="41"/>
      <c r="N100" s="10" t="s">
        <v>102</v>
      </c>
      <c r="O100" s="8"/>
      <c r="P100" s="1"/>
    </row>
    <row r="101" spans="1:16" ht="28.5" customHeight="1">
      <c r="A101" s="10">
        <v>1</v>
      </c>
      <c r="B101" s="33" t="s">
        <v>171</v>
      </c>
      <c r="C101" s="41" t="s">
        <v>398</v>
      </c>
      <c r="D101" s="41" t="s">
        <v>399</v>
      </c>
      <c r="E101" s="41" t="s">
        <v>400</v>
      </c>
      <c r="F101" s="115" t="s">
        <v>401</v>
      </c>
      <c r="G101" s="41" t="s">
        <v>79</v>
      </c>
      <c r="H101" s="8" t="s">
        <v>402</v>
      </c>
      <c r="I101" s="70" t="s">
        <v>60</v>
      </c>
      <c r="J101" s="70"/>
      <c r="K101" s="65">
        <v>129.9</v>
      </c>
      <c r="L101" s="41"/>
      <c r="M101" s="41"/>
      <c r="N101" s="10"/>
      <c r="O101" s="8"/>
      <c r="P101" s="1"/>
    </row>
    <row r="102" spans="1:16" ht="28.5" customHeight="1">
      <c r="A102" s="10">
        <v>1</v>
      </c>
      <c r="B102" s="33" t="s">
        <v>171</v>
      </c>
      <c r="C102" s="41" t="s">
        <v>93</v>
      </c>
      <c r="D102" s="41" t="s">
        <v>403</v>
      </c>
      <c r="E102" s="41" t="s">
        <v>404</v>
      </c>
      <c r="F102" s="115">
        <v>51983592397</v>
      </c>
      <c r="G102" s="41" t="s">
        <v>243</v>
      </c>
      <c r="H102" s="8" t="s">
        <v>33</v>
      </c>
      <c r="I102" s="70"/>
      <c r="J102" s="70"/>
      <c r="K102" s="65">
        <v>99.9</v>
      </c>
      <c r="L102" s="41" t="s">
        <v>55</v>
      </c>
      <c r="M102" s="41"/>
      <c r="N102" s="10" t="s">
        <v>405</v>
      </c>
      <c r="O102" s="8"/>
      <c r="P102" s="1"/>
    </row>
    <row r="103" spans="1:16" ht="28.5" customHeight="1">
      <c r="A103" s="10">
        <v>1</v>
      </c>
      <c r="B103" s="33" t="s">
        <v>171</v>
      </c>
      <c r="C103" s="41" t="s">
        <v>28</v>
      </c>
      <c r="D103" s="41" t="s">
        <v>406</v>
      </c>
      <c r="E103" s="41" t="s">
        <v>407</v>
      </c>
      <c r="F103" s="120" t="s">
        <v>408</v>
      </c>
      <c r="G103" s="41" t="s">
        <v>66</v>
      </c>
      <c r="H103" s="8" t="s">
        <v>67</v>
      </c>
      <c r="I103" s="70" t="s">
        <v>105</v>
      </c>
      <c r="J103" s="70"/>
      <c r="K103" s="65">
        <v>99.9</v>
      </c>
      <c r="L103" s="41" t="s">
        <v>49</v>
      </c>
      <c r="M103" s="41" t="s">
        <v>61</v>
      </c>
      <c r="N103" s="10" t="s">
        <v>409</v>
      </c>
      <c r="O103" s="8"/>
      <c r="P103" s="1"/>
    </row>
    <row r="104" spans="1:16" ht="28.5" customHeight="1">
      <c r="A104" s="10">
        <v>1</v>
      </c>
      <c r="B104" s="33" t="s">
        <v>171</v>
      </c>
      <c r="C104" s="41" t="s">
        <v>93</v>
      </c>
      <c r="D104" s="41" t="s">
        <v>410</v>
      </c>
      <c r="E104" s="41" t="s">
        <v>411</v>
      </c>
      <c r="F104" s="115">
        <v>51994433248</v>
      </c>
      <c r="G104" s="41" t="s">
        <v>66</v>
      </c>
      <c r="H104" s="8" t="s">
        <v>67</v>
      </c>
      <c r="I104" s="70"/>
      <c r="J104" s="70"/>
      <c r="K104" s="65">
        <v>89.9</v>
      </c>
      <c r="L104" s="41" t="s">
        <v>55</v>
      </c>
      <c r="M104" s="41"/>
      <c r="N104" s="10" t="s">
        <v>412</v>
      </c>
      <c r="O104" s="8"/>
      <c r="P104" s="1"/>
    </row>
    <row r="105" spans="1:16" ht="28.5" customHeight="1">
      <c r="A105" s="10">
        <v>1</v>
      </c>
      <c r="B105" s="33" t="s">
        <v>171</v>
      </c>
      <c r="C105" s="41" t="s">
        <v>28</v>
      </c>
      <c r="D105" s="41" t="s">
        <v>413</v>
      </c>
      <c r="E105" s="41" t="s">
        <v>145</v>
      </c>
      <c r="F105" s="120" t="s">
        <v>414</v>
      </c>
      <c r="G105" s="41" t="s">
        <v>415</v>
      </c>
      <c r="H105" s="8" t="s">
        <v>33</v>
      </c>
      <c r="I105" s="70" t="s">
        <v>416</v>
      </c>
      <c r="J105" s="70"/>
      <c r="K105" s="70" t="s">
        <v>417</v>
      </c>
      <c r="L105" s="41" t="s">
        <v>49</v>
      </c>
      <c r="M105" s="41" t="s">
        <v>56</v>
      </c>
      <c r="N105" s="10" t="s">
        <v>418</v>
      </c>
      <c r="O105" s="8"/>
      <c r="P105" s="1"/>
    </row>
    <row r="106" spans="1:16" ht="28.5" customHeight="1">
      <c r="A106" s="10">
        <v>1</v>
      </c>
      <c r="B106" s="33" t="s">
        <v>171</v>
      </c>
      <c r="C106" s="41" t="s">
        <v>28</v>
      </c>
      <c r="D106" s="41" t="s">
        <v>419</v>
      </c>
      <c r="E106" s="41" t="s">
        <v>407</v>
      </c>
      <c r="F106" s="115">
        <v>51986599829</v>
      </c>
      <c r="G106" s="41" t="s">
        <v>420</v>
      </c>
      <c r="H106" s="8" t="s">
        <v>67</v>
      </c>
      <c r="I106" s="70" t="s">
        <v>60</v>
      </c>
      <c r="J106" s="70"/>
      <c r="K106" s="65">
        <v>89.9</v>
      </c>
      <c r="L106" s="41" t="s">
        <v>55</v>
      </c>
      <c r="M106" s="41" t="s">
        <v>61</v>
      </c>
      <c r="N106" s="10"/>
      <c r="O106" s="8"/>
      <c r="P106" s="1"/>
    </row>
    <row r="107" spans="1:16" ht="28.5" customHeight="1">
      <c r="A107" s="10">
        <v>1</v>
      </c>
      <c r="B107" s="33" t="s">
        <v>171</v>
      </c>
      <c r="C107" s="41" t="s">
        <v>93</v>
      </c>
      <c r="D107" s="41" t="s">
        <v>421</v>
      </c>
      <c r="E107" s="41" t="s">
        <v>315</v>
      </c>
      <c r="F107" s="121" t="s">
        <v>422</v>
      </c>
      <c r="G107" s="41" t="s">
        <v>66</v>
      </c>
      <c r="H107" s="8" t="s">
        <v>67</v>
      </c>
      <c r="I107" s="70"/>
      <c r="J107" s="70"/>
      <c r="K107" s="70" t="s">
        <v>423</v>
      </c>
      <c r="L107" s="41" t="s">
        <v>34</v>
      </c>
      <c r="M107" s="41"/>
      <c r="N107" s="10" t="s">
        <v>424</v>
      </c>
      <c r="O107" s="8"/>
      <c r="P107" s="1"/>
    </row>
    <row r="108" spans="1:16" ht="28.5" customHeight="1">
      <c r="A108" s="10">
        <v>1</v>
      </c>
      <c r="B108" s="33" t="s">
        <v>171</v>
      </c>
      <c r="C108" s="41" t="s">
        <v>28</v>
      </c>
      <c r="D108" s="41" t="s">
        <v>99</v>
      </c>
      <c r="E108" s="41" t="s">
        <v>100</v>
      </c>
      <c r="F108" s="115">
        <v>51997063941</v>
      </c>
      <c r="G108" s="41" t="s">
        <v>41</v>
      </c>
      <c r="H108" s="8" t="s">
        <v>33</v>
      </c>
      <c r="I108" s="70" t="s">
        <v>425</v>
      </c>
      <c r="J108" s="70"/>
      <c r="K108" s="65">
        <v>69.900000000000006</v>
      </c>
      <c r="L108" s="41" t="s">
        <v>55</v>
      </c>
      <c r="M108" s="41" t="s">
        <v>61</v>
      </c>
      <c r="N108" s="10" t="s">
        <v>211</v>
      </c>
      <c r="O108" s="8"/>
      <c r="P108" s="1"/>
    </row>
    <row r="109" spans="1:16" ht="28.5" customHeight="1">
      <c r="A109" s="10">
        <v>1</v>
      </c>
      <c r="B109" s="33" t="s">
        <v>171</v>
      </c>
      <c r="C109" s="41" t="s">
        <v>93</v>
      </c>
      <c r="D109" s="41" t="s">
        <v>426</v>
      </c>
      <c r="E109" s="41" t="s">
        <v>407</v>
      </c>
      <c r="F109" s="120" t="s">
        <v>427</v>
      </c>
      <c r="G109" s="41" t="s">
        <v>66</v>
      </c>
      <c r="H109" s="8" t="s">
        <v>67</v>
      </c>
      <c r="I109" s="70"/>
      <c r="J109" s="70"/>
      <c r="K109" s="65">
        <v>99.9</v>
      </c>
      <c r="L109" s="41" t="s">
        <v>49</v>
      </c>
      <c r="M109" s="41"/>
      <c r="N109" s="10" t="s">
        <v>428</v>
      </c>
      <c r="O109" s="8"/>
      <c r="P109" s="1"/>
    </row>
    <row r="110" spans="1:16" ht="28.5" customHeight="1">
      <c r="A110" s="10">
        <v>1</v>
      </c>
      <c r="B110" s="33" t="s">
        <v>171</v>
      </c>
      <c r="C110" s="41" t="s">
        <v>93</v>
      </c>
      <c r="D110" s="41" t="s">
        <v>429</v>
      </c>
      <c r="E110" s="41" t="s">
        <v>430</v>
      </c>
      <c r="F110" s="114" t="s">
        <v>431</v>
      </c>
      <c r="G110" s="41" t="s">
        <v>66</v>
      </c>
      <c r="H110" s="8" t="s">
        <v>67</v>
      </c>
      <c r="I110" s="70"/>
      <c r="J110" s="70"/>
      <c r="K110" s="70" t="s">
        <v>432</v>
      </c>
      <c r="L110" s="41" t="s">
        <v>34</v>
      </c>
      <c r="M110" s="41"/>
      <c r="N110" s="10" t="s">
        <v>433</v>
      </c>
      <c r="O110" s="8"/>
      <c r="P110" s="1"/>
    </row>
    <row r="111" spans="1:16" ht="28.5" customHeight="1">
      <c r="A111" s="10">
        <v>1</v>
      </c>
      <c r="B111" s="33" t="s">
        <v>171</v>
      </c>
      <c r="C111" s="41" t="s">
        <v>93</v>
      </c>
      <c r="D111" s="41" t="s">
        <v>434</v>
      </c>
      <c r="E111" s="41" t="s">
        <v>435</v>
      </c>
      <c r="F111" s="115">
        <v>51980263645</v>
      </c>
      <c r="G111" s="41" t="s">
        <v>91</v>
      </c>
      <c r="H111" s="8" t="s">
        <v>67</v>
      </c>
      <c r="I111" s="70"/>
      <c r="J111" s="70"/>
      <c r="K111" s="65">
        <v>119.9</v>
      </c>
      <c r="L111" s="41" t="s">
        <v>55</v>
      </c>
      <c r="M111" s="41"/>
      <c r="N111" s="10" t="s">
        <v>436</v>
      </c>
      <c r="O111" s="8"/>
      <c r="P111" s="1"/>
    </row>
    <row r="112" spans="1:16" ht="28.5" customHeight="1">
      <c r="A112" s="10">
        <v>1</v>
      </c>
      <c r="B112" s="33" t="s">
        <v>171</v>
      </c>
      <c r="C112" s="41" t="s">
        <v>93</v>
      </c>
      <c r="D112" s="41" t="s">
        <v>437</v>
      </c>
      <c r="E112" s="41" t="s">
        <v>438</v>
      </c>
      <c r="F112" s="120" t="s">
        <v>439</v>
      </c>
      <c r="G112" s="41" t="s">
        <v>91</v>
      </c>
      <c r="H112" s="8" t="s">
        <v>67</v>
      </c>
      <c r="I112" s="70"/>
      <c r="J112" s="70"/>
      <c r="K112" s="65">
        <v>59.9</v>
      </c>
      <c r="L112" s="41" t="s">
        <v>49</v>
      </c>
      <c r="M112" s="41"/>
      <c r="N112" s="10" t="s">
        <v>440</v>
      </c>
      <c r="O112" s="8"/>
      <c r="P112" s="1"/>
    </row>
    <row r="113" spans="1:16" ht="28.5" customHeight="1">
      <c r="A113" s="10">
        <v>1</v>
      </c>
      <c r="B113" s="33" t="s">
        <v>171</v>
      </c>
      <c r="C113" s="41" t="s">
        <v>93</v>
      </c>
      <c r="D113" s="41" t="s">
        <v>441</v>
      </c>
      <c r="E113" s="41" t="s">
        <v>442</v>
      </c>
      <c r="F113" s="114" t="s">
        <v>443</v>
      </c>
      <c r="G113" s="41" t="s">
        <v>53</v>
      </c>
      <c r="H113" s="8" t="s">
        <v>33</v>
      </c>
      <c r="I113" s="70"/>
      <c r="J113" s="70"/>
      <c r="K113" s="70" t="s">
        <v>432</v>
      </c>
      <c r="L113" s="41" t="s">
        <v>34</v>
      </c>
      <c r="M113" s="41"/>
      <c r="N113" s="10" t="s">
        <v>444</v>
      </c>
      <c r="O113" s="8"/>
      <c r="P113" s="1"/>
    </row>
    <row r="114" spans="1:16" ht="28.5" customHeight="1">
      <c r="A114" s="10">
        <v>1</v>
      </c>
      <c r="B114" s="33" t="s">
        <v>171</v>
      </c>
      <c r="C114" s="41" t="s">
        <v>28</v>
      </c>
      <c r="D114" s="41" t="s">
        <v>445</v>
      </c>
      <c r="E114" s="41" t="s">
        <v>446</v>
      </c>
      <c r="F114" s="114" t="s">
        <v>447</v>
      </c>
      <c r="G114" s="41" t="s">
        <v>66</v>
      </c>
      <c r="H114" s="8" t="s">
        <v>67</v>
      </c>
      <c r="I114" s="70"/>
      <c r="J114" s="70"/>
      <c r="K114" s="70" t="s">
        <v>448</v>
      </c>
      <c r="L114" s="41" t="s">
        <v>34</v>
      </c>
      <c r="M114" s="41" t="s">
        <v>61</v>
      </c>
      <c r="N114" s="10" t="s">
        <v>449</v>
      </c>
      <c r="O114" s="8"/>
      <c r="P114" s="1"/>
    </row>
    <row r="115" spans="1:16" ht="28.5" customHeight="1">
      <c r="A115" s="10">
        <v>1</v>
      </c>
      <c r="B115" s="33" t="s">
        <v>105</v>
      </c>
      <c r="C115" s="41" t="s">
        <v>93</v>
      </c>
      <c r="D115" s="41" t="s">
        <v>450</v>
      </c>
      <c r="E115" s="41" t="s">
        <v>209</v>
      </c>
      <c r="F115" s="115">
        <v>51996035308</v>
      </c>
      <c r="G115" s="41" t="s">
        <v>85</v>
      </c>
      <c r="H115" s="8" t="s">
        <v>33</v>
      </c>
      <c r="I115" s="70"/>
      <c r="J115" s="70"/>
      <c r="K115" s="65">
        <v>69.900000000000006</v>
      </c>
      <c r="L115" s="41" t="s">
        <v>55</v>
      </c>
      <c r="M115" s="41"/>
      <c r="N115" s="10" t="s">
        <v>102</v>
      </c>
      <c r="O115" s="8"/>
      <c r="P115" s="1"/>
    </row>
    <row r="116" spans="1:16" ht="28.5" customHeight="1">
      <c r="A116" s="10">
        <v>1</v>
      </c>
      <c r="B116" s="33" t="s">
        <v>105</v>
      </c>
      <c r="C116" s="41" t="s">
        <v>93</v>
      </c>
      <c r="D116" s="41" t="s">
        <v>451</v>
      </c>
      <c r="E116" s="41" t="s">
        <v>285</v>
      </c>
      <c r="F116" s="115">
        <v>51984220313</v>
      </c>
      <c r="G116" s="41" t="s">
        <v>66</v>
      </c>
      <c r="H116" s="8" t="s">
        <v>67</v>
      </c>
      <c r="I116" s="70"/>
      <c r="J116" s="70"/>
      <c r="K116" s="65">
        <v>129.9</v>
      </c>
      <c r="L116" s="41" t="s">
        <v>55</v>
      </c>
      <c r="M116" s="41"/>
      <c r="N116" s="10" t="s">
        <v>452</v>
      </c>
      <c r="O116" s="8"/>
      <c r="P116" s="1"/>
    </row>
    <row r="117" spans="1:16" ht="28.5" customHeight="1">
      <c r="A117" s="10">
        <v>1</v>
      </c>
      <c r="B117" s="33" t="s">
        <v>105</v>
      </c>
      <c r="C117" s="41" t="s">
        <v>28</v>
      </c>
      <c r="D117" s="41" t="s">
        <v>453</v>
      </c>
      <c r="E117" s="41" t="s">
        <v>454</v>
      </c>
      <c r="F117" s="120" t="s">
        <v>455</v>
      </c>
      <c r="G117" s="41" t="s">
        <v>66</v>
      </c>
      <c r="H117" s="8" t="s">
        <v>67</v>
      </c>
      <c r="I117" s="70" t="s">
        <v>60</v>
      </c>
      <c r="J117" s="70"/>
      <c r="K117" s="65">
        <v>99.9</v>
      </c>
      <c r="L117" s="41" t="s">
        <v>49</v>
      </c>
      <c r="M117" s="41" t="s">
        <v>61</v>
      </c>
      <c r="N117" s="10" t="s">
        <v>456</v>
      </c>
      <c r="O117" s="8"/>
      <c r="P117" s="1"/>
    </row>
    <row r="118" spans="1:16" ht="28.5" customHeight="1">
      <c r="A118" s="10">
        <v>1</v>
      </c>
      <c r="B118" s="33" t="s">
        <v>105</v>
      </c>
      <c r="C118" s="41" t="s">
        <v>28</v>
      </c>
      <c r="D118" s="41" t="s">
        <v>457</v>
      </c>
      <c r="E118" s="41" t="s">
        <v>39</v>
      </c>
      <c r="F118" s="115">
        <v>51980989389</v>
      </c>
      <c r="G118" s="41" t="s">
        <v>458</v>
      </c>
      <c r="H118" s="8" t="s">
        <v>33</v>
      </c>
      <c r="I118" s="70" t="s">
        <v>425</v>
      </c>
      <c r="J118" s="70"/>
      <c r="K118" s="65">
        <v>99.9</v>
      </c>
      <c r="L118" s="41" t="s">
        <v>55</v>
      </c>
      <c r="M118" s="41" t="s">
        <v>61</v>
      </c>
      <c r="N118" s="10" t="s">
        <v>459</v>
      </c>
      <c r="O118" s="8"/>
      <c r="P118" s="1"/>
    </row>
    <row r="119" spans="1:16" ht="28.5" customHeight="1">
      <c r="A119" s="10">
        <v>1</v>
      </c>
      <c r="B119" s="33" t="s">
        <v>105</v>
      </c>
      <c r="C119" s="41" t="s">
        <v>28</v>
      </c>
      <c r="D119" s="41" t="s">
        <v>460</v>
      </c>
      <c r="E119" s="41" t="s">
        <v>39</v>
      </c>
      <c r="F119" s="120" t="s">
        <v>461</v>
      </c>
      <c r="G119" s="41" t="s">
        <v>458</v>
      </c>
      <c r="H119" s="8" t="s">
        <v>33</v>
      </c>
      <c r="I119" s="70" t="s">
        <v>60</v>
      </c>
      <c r="J119" s="70"/>
      <c r="K119" s="65">
        <v>59.9</v>
      </c>
      <c r="L119" s="41" t="s">
        <v>49</v>
      </c>
      <c r="M119" s="41" t="s">
        <v>35</v>
      </c>
      <c r="N119" s="10" t="s">
        <v>462</v>
      </c>
      <c r="O119" s="8"/>
      <c r="P119" s="1"/>
    </row>
    <row r="120" spans="1:16" ht="28.5" customHeight="1">
      <c r="A120" s="10">
        <v>1</v>
      </c>
      <c r="B120" s="33" t="s">
        <v>105</v>
      </c>
      <c r="C120" s="41" t="s">
        <v>28</v>
      </c>
      <c r="D120" s="41" t="s">
        <v>463</v>
      </c>
      <c r="E120" s="41" t="s">
        <v>53</v>
      </c>
      <c r="F120" s="115">
        <v>51998149499</v>
      </c>
      <c r="G120" s="41" t="s">
        <v>464</v>
      </c>
      <c r="H120" s="8" t="s">
        <v>33</v>
      </c>
      <c r="I120" s="70" t="s">
        <v>293</v>
      </c>
      <c r="J120" s="70"/>
      <c r="K120" s="65">
        <v>99.9</v>
      </c>
      <c r="L120" s="41" t="s">
        <v>55</v>
      </c>
      <c r="M120" s="41" t="s">
        <v>35</v>
      </c>
      <c r="N120" s="10" t="s">
        <v>465</v>
      </c>
      <c r="O120" s="8"/>
      <c r="P120" s="1"/>
    </row>
    <row r="121" spans="1:16" ht="28.5" customHeight="1">
      <c r="A121" s="10">
        <v>1</v>
      </c>
      <c r="B121" s="33" t="s">
        <v>105</v>
      </c>
      <c r="C121" s="41" t="s">
        <v>28</v>
      </c>
      <c r="D121" s="41" t="s">
        <v>466</v>
      </c>
      <c r="E121" s="41" t="s">
        <v>53</v>
      </c>
      <c r="F121" s="115">
        <v>51996921768</v>
      </c>
      <c r="G121" s="41" t="s">
        <v>53</v>
      </c>
      <c r="H121" s="8" t="s">
        <v>33</v>
      </c>
      <c r="I121" s="70" t="s">
        <v>467</v>
      </c>
      <c r="J121" s="70"/>
      <c r="K121" s="65">
        <v>89.9</v>
      </c>
      <c r="L121" s="41" t="s">
        <v>55</v>
      </c>
      <c r="M121" s="41" t="s">
        <v>128</v>
      </c>
      <c r="N121" s="10" t="s">
        <v>468</v>
      </c>
      <c r="O121" s="8"/>
      <c r="P121" s="1"/>
    </row>
    <row r="122" spans="1:16" ht="28.5" customHeight="1">
      <c r="A122" s="10">
        <v>1</v>
      </c>
      <c r="B122" s="33" t="s">
        <v>105</v>
      </c>
      <c r="C122" s="41" t="s">
        <v>28</v>
      </c>
      <c r="D122" s="41" t="s">
        <v>469</v>
      </c>
      <c r="E122" s="41" t="s">
        <v>145</v>
      </c>
      <c r="F122" s="120" t="s">
        <v>470</v>
      </c>
      <c r="G122" s="41" t="s">
        <v>283</v>
      </c>
      <c r="H122" s="8" t="s">
        <v>33</v>
      </c>
      <c r="I122" s="70" t="s">
        <v>471</v>
      </c>
      <c r="J122" s="70"/>
      <c r="K122" s="65">
        <v>79.900000000000006</v>
      </c>
      <c r="L122" s="41" t="s">
        <v>49</v>
      </c>
      <c r="M122" s="41" t="s">
        <v>56</v>
      </c>
      <c r="N122" s="10" t="s">
        <v>472</v>
      </c>
      <c r="O122" s="8"/>
      <c r="P122" s="1"/>
    </row>
    <row r="123" spans="1:16" ht="28.5" customHeight="1">
      <c r="A123" s="10">
        <v>1</v>
      </c>
      <c r="B123" s="33" t="s">
        <v>105</v>
      </c>
      <c r="C123" s="41" t="s">
        <v>93</v>
      </c>
      <c r="D123" s="41" t="s">
        <v>473</v>
      </c>
      <c r="E123" s="41" t="s">
        <v>474</v>
      </c>
      <c r="F123" s="120" t="s">
        <v>475</v>
      </c>
      <c r="G123" s="41" t="s">
        <v>53</v>
      </c>
      <c r="H123" s="8" t="s">
        <v>33</v>
      </c>
      <c r="I123" s="70"/>
      <c r="J123" s="70"/>
      <c r="K123" s="65">
        <v>79.900000000000006</v>
      </c>
      <c r="L123" s="41" t="s">
        <v>49</v>
      </c>
      <c r="M123" s="41"/>
      <c r="N123" s="10" t="s">
        <v>476</v>
      </c>
      <c r="O123" s="8"/>
      <c r="P123" s="1"/>
    </row>
    <row r="124" spans="1:16" ht="28.5" customHeight="1">
      <c r="A124" s="10">
        <v>1</v>
      </c>
      <c r="B124" s="33" t="s">
        <v>105</v>
      </c>
      <c r="C124" s="41" t="s">
        <v>93</v>
      </c>
      <c r="D124" s="41" t="s">
        <v>477</v>
      </c>
      <c r="E124" s="41" t="s">
        <v>478</v>
      </c>
      <c r="F124" s="120" t="s">
        <v>479</v>
      </c>
      <c r="G124" s="41" t="s">
        <v>66</v>
      </c>
      <c r="H124" s="8" t="s">
        <v>67</v>
      </c>
      <c r="I124" s="70"/>
      <c r="J124" s="70"/>
      <c r="K124" s="65">
        <v>99.9</v>
      </c>
      <c r="L124" s="41" t="s">
        <v>49</v>
      </c>
      <c r="M124" s="41"/>
      <c r="N124" s="10" t="s">
        <v>480</v>
      </c>
      <c r="O124" s="8"/>
      <c r="P124" s="1"/>
    </row>
    <row r="125" spans="1:16" ht="28.5" customHeight="1">
      <c r="A125" s="10">
        <v>1</v>
      </c>
      <c r="B125" s="33" t="s">
        <v>105</v>
      </c>
      <c r="C125" s="41" t="s">
        <v>28</v>
      </c>
      <c r="D125" s="41" t="s">
        <v>481</v>
      </c>
      <c r="E125" s="41" t="s">
        <v>407</v>
      </c>
      <c r="F125" s="114" t="s">
        <v>482</v>
      </c>
      <c r="G125" s="41" t="s">
        <v>66</v>
      </c>
      <c r="H125" s="8" t="s">
        <v>67</v>
      </c>
      <c r="I125" s="70" t="s">
        <v>483</v>
      </c>
      <c r="J125" s="70"/>
      <c r="K125" s="70" t="s">
        <v>432</v>
      </c>
      <c r="L125" s="41" t="s">
        <v>34</v>
      </c>
      <c r="M125" s="41" t="s">
        <v>128</v>
      </c>
      <c r="N125" s="10" t="s">
        <v>484</v>
      </c>
      <c r="O125" s="8"/>
      <c r="P125" s="1"/>
    </row>
    <row r="126" spans="1:16" ht="28.5" customHeight="1">
      <c r="A126" s="10">
        <v>1</v>
      </c>
      <c r="B126" s="33" t="s">
        <v>105</v>
      </c>
      <c r="C126" s="41" t="s">
        <v>28</v>
      </c>
      <c r="D126" s="41" t="s">
        <v>485</v>
      </c>
      <c r="E126" s="41" t="s">
        <v>174</v>
      </c>
      <c r="F126" s="114" t="s">
        <v>486</v>
      </c>
      <c r="G126" s="41" t="s">
        <v>66</v>
      </c>
      <c r="H126" s="8" t="s">
        <v>67</v>
      </c>
      <c r="I126" s="70"/>
      <c r="J126" s="70"/>
      <c r="K126" s="70" t="s">
        <v>448</v>
      </c>
      <c r="L126" s="41" t="s">
        <v>34</v>
      </c>
      <c r="M126" s="41" t="s">
        <v>128</v>
      </c>
      <c r="N126" s="10" t="s">
        <v>487</v>
      </c>
      <c r="O126" s="8"/>
      <c r="P126" s="1"/>
    </row>
    <row r="127" spans="1:16" ht="28.5" customHeight="1">
      <c r="A127" s="10">
        <v>1</v>
      </c>
      <c r="B127" s="33" t="s">
        <v>105</v>
      </c>
      <c r="C127" s="41" t="s">
        <v>28</v>
      </c>
      <c r="D127" s="41" t="s">
        <v>488</v>
      </c>
      <c r="E127" s="41" t="s">
        <v>161</v>
      </c>
      <c r="F127" s="115">
        <v>51996837914</v>
      </c>
      <c r="G127" s="41" t="s">
        <v>66</v>
      </c>
      <c r="H127" s="8" t="s">
        <v>67</v>
      </c>
      <c r="I127" s="70" t="s">
        <v>489</v>
      </c>
      <c r="J127" s="70"/>
      <c r="K127" s="65">
        <v>99.9</v>
      </c>
      <c r="L127" s="41" t="s">
        <v>55</v>
      </c>
      <c r="M127" s="41" t="s">
        <v>128</v>
      </c>
      <c r="N127" s="10" t="s">
        <v>490</v>
      </c>
      <c r="O127" s="8"/>
      <c r="P127" s="1"/>
    </row>
    <row r="128" spans="1:16" ht="28.5" customHeight="1">
      <c r="A128" s="10">
        <v>1</v>
      </c>
      <c r="B128" s="33" t="s">
        <v>105</v>
      </c>
      <c r="C128" s="41" t="s">
        <v>93</v>
      </c>
      <c r="D128" s="41" t="s">
        <v>491</v>
      </c>
      <c r="E128" s="41" t="s">
        <v>182</v>
      </c>
      <c r="F128" s="120" t="s">
        <v>492</v>
      </c>
      <c r="G128" s="41" t="s">
        <v>66</v>
      </c>
      <c r="H128" s="8" t="s">
        <v>67</v>
      </c>
      <c r="I128" s="70"/>
      <c r="J128" s="70"/>
      <c r="K128" s="65">
        <v>99.9</v>
      </c>
      <c r="L128" s="41" t="s">
        <v>49</v>
      </c>
      <c r="M128" s="41"/>
      <c r="N128" s="10" t="s">
        <v>493</v>
      </c>
      <c r="O128" s="8"/>
      <c r="P128" s="1"/>
    </row>
    <row r="129" spans="1:17" ht="28.5" customHeight="1">
      <c r="A129" s="10">
        <v>1</v>
      </c>
      <c r="B129" s="33" t="s">
        <v>105</v>
      </c>
      <c r="C129" s="41" t="s">
        <v>28</v>
      </c>
      <c r="D129" s="41" t="s">
        <v>494</v>
      </c>
      <c r="E129" s="41" t="s">
        <v>495</v>
      </c>
      <c r="F129" s="115">
        <v>51997347469</v>
      </c>
      <c r="G129" s="41" t="s">
        <v>85</v>
      </c>
      <c r="H129" s="8" t="s">
        <v>33</v>
      </c>
      <c r="I129" s="70" t="s">
        <v>86</v>
      </c>
      <c r="J129" s="70"/>
      <c r="K129" s="65">
        <v>89.9</v>
      </c>
      <c r="L129" s="41" t="s">
        <v>55</v>
      </c>
      <c r="M129" s="41" t="s">
        <v>128</v>
      </c>
      <c r="N129" s="10" t="s">
        <v>468</v>
      </c>
      <c r="O129" s="8"/>
      <c r="P129" s="1"/>
      <c r="Q129" t="s">
        <v>496</v>
      </c>
    </row>
    <row r="130" spans="1:17" ht="28.5" customHeight="1">
      <c r="A130" s="10">
        <v>1</v>
      </c>
      <c r="B130" s="33" t="s">
        <v>105</v>
      </c>
      <c r="C130" s="41" t="s">
        <v>28</v>
      </c>
      <c r="D130" s="41" t="s">
        <v>497</v>
      </c>
      <c r="E130" s="41" t="s">
        <v>39</v>
      </c>
      <c r="F130" s="115">
        <v>51994208914</v>
      </c>
      <c r="G130" s="41" t="s">
        <v>39</v>
      </c>
      <c r="H130" s="8" t="s">
        <v>33</v>
      </c>
      <c r="I130" s="70" t="s">
        <v>54</v>
      </c>
      <c r="J130" s="70"/>
      <c r="K130" s="65">
        <v>69.900000000000006</v>
      </c>
      <c r="L130" s="41" t="s">
        <v>55</v>
      </c>
      <c r="M130" s="41" t="s">
        <v>61</v>
      </c>
      <c r="N130" s="10" t="s">
        <v>358</v>
      </c>
      <c r="O130" s="8"/>
      <c r="P130" s="1"/>
    </row>
    <row r="131" spans="1:17" ht="28.5" customHeight="1">
      <c r="A131" s="10">
        <v>1</v>
      </c>
      <c r="B131" s="33" t="s">
        <v>105</v>
      </c>
      <c r="C131" s="41" t="s">
        <v>93</v>
      </c>
      <c r="D131" s="8" t="s">
        <v>498</v>
      </c>
      <c r="E131" s="8" t="s">
        <v>499</v>
      </c>
      <c r="F131" s="114" t="s">
        <v>500</v>
      </c>
      <c r="G131" s="41" t="s">
        <v>501</v>
      </c>
      <c r="H131" s="8" t="s">
        <v>67</v>
      </c>
      <c r="I131" s="70"/>
      <c r="J131" s="70"/>
      <c r="K131" s="70" t="s">
        <v>432</v>
      </c>
      <c r="L131" s="41" t="s">
        <v>34</v>
      </c>
      <c r="M131" s="41"/>
      <c r="N131" s="10" t="s">
        <v>502</v>
      </c>
      <c r="O131" s="8"/>
      <c r="P131" s="1"/>
    </row>
    <row r="132" spans="1:17" ht="28.5" customHeight="1">
      <c r="A132" s="10">
        <v>1</v>
      </c>
      <c r="B132" s="33" t="s">
        <v>105</v>
      </c>
      <c r="C132" s="41" t="s">
        <v>28</v>
      </c>
      <c r="D132" s="41" t="s">
        <v>503</v>
      </c>
      <c r="E132" s="41" t="s">
        <v>226</v>
      </c>
      <c r="F132" s="115" t="s">
        <v>504</v>
      </c>
      <c r="G132" s="41" t="s">
        <v>91</v>
      </c>
      <c r="H132" s="8" t="s">
        <v>67</v>
      </c>
      <c r="I132" s="70" t="s">
        <v>489</v>
      </c>
      <c r="J132" s="70"/>
      <c r="K132" s="65">
        <v>89.9</v>
      </c>
      <c r="L132" s="41" t="s">
        <v>49</v>
      </c>
      <c r="M132" s="41" t="s">
        <v>128</v>
      </c>
      <c r="N132" s="10" t="s">
        <v>468</v>
      </c>
      <c r="O132" s="8"/>
      <c r="P132" s="1"/>
    </row>
    <row r="133" spans="1:17" ht="28.5" customHeight="1">
      <c r="A133" s="10">
        <v>1</v>
      </c>
      <c r="B133" s="33" t="s">
        <v>105</v>
      </c>
      <c r="C133" s="41" t="s">
        <v>93</v>
      </c>
      <c r="D133" s="41" t="s">
        <v>505</v>
      </c>
      <c r="E133" s="41" t="s">
        <v>161</v>
      </c>
      <c r="F133" s="114" t="s">
        <v>506</v>
      </c>
      <c r="G133" s="41" t="s">
        <v>507</v>
      </c>
      <c r="H133" s="8" t="s">
        <v>67</v>
      </c>
      <c r="I133" s="70"/>
      <c r="J133" s="70"/>
      <c r="K133" s="70" t="s">
        <v>508</v>
      </c>
      <c r="L133" s="41" t="s">
        <v>34</v>
      </c>
      <c r="M133" s="41"/>
      <c r="N133" s="10" t="s">
        <v>509</v>
      </c>
      <c r="O133" s="8"/>
      <c r="P133" s="1"/>
    </row>
    <row r="134" spans="1:17" ht="28.5" customHeight="1">
      <c r="A134" s="10">
        <v>1</v>
      </c>
      <c r="B134" s="33" t="s">
        <v>105</v>
      </c>
      <c r="C134" s="41" t="s">
        <v>28</v>
      </c>
      <c r="D134" s="41" t="s">
        <v>426</v>
      </c>
      <c r="E134" s="41" t="s">
        <v>407</v>
      </c>
      <c r="F134" s="114" t="s">
        <v>510</v>
      </c>
      <c r="G134" s="41" t="s">
        <v>507</v>
      </c>
      <c r="H134" s="8" t="s">
        <v>67</v>
      </c>
      <c r="I134" s="70"/>
      <c r="J134" s="70"/>
      <c r="K134" s="70" t="s">
        <v>432</v>
      </c>
      <c r="L134" s="41" t="s">
        <v>34</v>
      </c>
      <c r="M134" s="41"/>
      <c r="N134" s="10"/>
      <c r="O134" s="8"/>
      <c r="P134" s="1"/>
    </row>
    <row r="135" spans="1:17" ht="28.5" customHeight="1">
      <c r="A135" s="10">
        <v>1</v>
      </c>
      <c r="B135" s="33" t="s">
        <v>105</v>
      </c>
      <c r="C135" s="41" t="s">
        <v>28</v>
      </c>
      <c r="D135" s="41" t="s">
        <v>511</v>
      </c>
      <c r="E135" s="41" t="s">
        <v>512</v>
      </c>
      <c r="F135" s="120" t="s">
        <v>513</v>
      </c>
      <c r="G135" s="41" t="s">
        <v>91</v>
      </c>
      <c r="H135" s="8" t="s">
        <v>206</v>
      </c>
      <c r="I135" s="70" t="s">
        <v>124</v>
      </c>
      <c r="J135" s="70"/>
      <c r="K135" s="70" t="s">
        <v>97</v>
      </c>
      <c r="L135" s="41" t="s">
        <v>34</v>
      </c>
      <c r="M135" s="41" t="s">
        <v>61</v>
      </c>
      <c r="N135" s="10" t="s">
        <v>514</v>
      </c>
      <c r="O135" s="8"/>
      <c r="P135" s="1"/>
    </row>
    <row r="136" spans="1:17" ht="28.5" customHeight="1">
      <c r="A136" s="10">
        <v>1</v>
      </c>
      <c r="B136" s="33" t="s">
        <v>124</v>
      </c>
      <c r="C136" s="41" t="s">
        <v>28</v>
      </c>
      <c r="D136" s="41" t="s">
        <v>515</v>
      </c>
      <c r="E136" s="41" t="s">
        <v>516</v>
      </c>
      <c r="F136" s="115">
        <v>51996720949</v>
      </c>
      <c r="G136" s="41" t="s">
        <v>517</v>
      </c>
      <c r="H136" s="8" t="s">
        <v>249</v>
      </c>
      <c r="I136" s="70" t="s">
        <v>489</v>
      </c>
      <c r="J136" s="70"/>
      <c r="K136" s="65" t="s">
        <v>184</v>
      </c>
      <c r="L136" s="41" t="s">
        <v>55</v>
      </c>
      <c r="M136" s="41"/>
      <c r="N136" s="10" t="s">
        <v>120</v>
      </c>
      <c r="O136" s="8"/>
      <c r="P136" s="1"/>
    </row>
    <row r="137" spans="1:17" ht="28.5" customHeight="1">
      <c r="A137" s="10">
        <v>1</v>
      </c>
      <c r="B137" s="33" t="s">
        <v>124</v>
      </c>
      <c r="C137" s="41" t="s">
        <v>93</v>
      </c>
      <c r="D137" s="41" t="s">
        <v>518</v>
      </c>
      <c r="E137" s="41" t="s">
        <v>122</v>
      </c>
      <c r="F137" s="115">
        <v>51993500642</v>
      </c>
      <c r="G137" s="41" t="s">
        <v>147</v>
      </c>
      <c r="H137" s="8" t="s">
        <v>33</v>
      </c>
      <c r="I137" s="70"/>
      <c r="J137" s="70"/>
      <c r="K137" s="65">
        <v>89.9</v>
      </c>
      <c r="L137" s="41" t="s">
        <v>55</v>
      </c>
      <c r="M137" s="41"/>
      <c r="N137" s="10" t="s">
        <v>519</v>
      </c>
      <c r="O137" s="8"/>
      <c r="P137" s="1"/>
    </row>
    <row r="138" spans="1:17" ht="28.5" customHeight="1">
      <c r="A138" s="10">
        <v>1</v>
      </c>
      <c r="B138" s="33" t="s">
        <v>124</v>
      </c>
      <c r="C138" s="41" t="s">
        <v>28</v>
      </c>
      <c r="D138" s="41" t="s">
        <v>520</v>
      </c>
      <c r="E138" s="41" t="s">
        <v>521</v>
      </c>
      <c r="F138" s="120" t="s">
        <v>522</v>
      </c>
      <c r="G138" s="41" t="s">
        <v>53</v>
      </c>
      <c r="H138" s="8" t="s">
        <v>33</v>
      </c>
      <c r="I138" s="70" t="s">
        <v>74</v>
      </c>
      <c r="J138" s="70"/>
      <c r="K138" s="65">
        <v>99.9</v>
      </c>
      <c r="L138" s="41" t="s">
        <v>49</v>
      </c>
      <c r="M138" s="41" t="s">
        <v>128</v>
      </c>
      <c r="N138" s="10" t="s">
        <v>523</v>
      </c>
      <c r="O138" s="8"/>
      <c r="P138" s="1"/>
    </row>
    <row r="139" spans="1:17" ht="28.5" customHeight="1">
      <c r="A139" s="10">
        <v>1</v>
      </c>
      <c r="B139" s="33" t="s">
        <v>124</v>
      </c>
      <c r="C139" s="41" t="s">
        <v>28</v>
      </c>
      <c r="D139" s="41" t="s">
        <v>524</v>
      </c>
      <c r="E139" s="41" t="s">
        <v>525</v>
      </c>
      <c r="F139" s="120" t="s">
        <v>526</v>
      </c>
      <c r="G139" s="41" t="s">
        <v>85</v>
      </c>
      <c r="H139" s="8" t="s">
        <v>33</v>
      </c>
      <c r="I139" s="70" t="s">
        <v>86</v>
      </c>
      <c r="J139" s="70"/>
      <c r="K139" s="65">
        <v>99.9</v>
      </c>
      <c r="L139" s="41" t="s">
        <v>49</v>
      </c>
      <c r="M139" s="41" t="s">
        <v>35</v>
      </c>
      <c r="N139" s="10" t="s">
        <v>527</v>
      </c>
      <c r="O139" s="8"/>
      <c r="P139" s="1"/>
    </row>
    <row r="140" spans="1:17" ht="28.5" customHeight="1">
      <c r="A140" s="10">
        <v>1</v>
      </c>
      <c r="B140" s="33" t="s">
        <v>124</v>
      </c>
      <c r="C140" s="41" t="s">
        <v>28</v>
      </c>
      <c r="D140" s="41" t="s">
        <v>528</v>
      </c>
      <c r="E140" s="41" t="s">
        <v>145</v>
      </c>
      <c r="F140" s="120" t="s">
        <v>529</v>
      </c>
      <c r="G140" s="41" t="s">
        <v>53</v>
      </c>
      <c r="H140" s="8" t="s">
        <v>33</v>
      </c>
      <c r="I140" s="70" t="s">
        <v>74</v>
      </c>
      <c r="J140" s="70"/>
      <c r="K140" s="65">
        <v>79.900000000000006</v>
      </c>
      <c r="L140" s="41" t="s">
        <v>49</v>
      </c>
      <c r="M140" s="41" t="s">
        <v>128</v>
      </c>
      <c r="N140" s="10" t="s">
        <v>530</v>
      </c>
      <c r="O140" s="8"/>
      <c r="P140" s="1"/>
    </row>
    <row r="141" spans="1:17" ht="28.5" customHeight="1">
      <c r="A141" s="10">
        <v>1</v>
      </c>
      <c r="B141" s="33" t="s">
        <v>124</v>
      </c>
      <c r="C141" s="41" t="s">
        <v>93</v>
      </c>
      <c r="D141" s="41" t="s">
        <v>531</v>
      </c>
      <c r="E141" s="41" t="s">
        <v>532</v>
      </c>
      <c r="F141" s="120" t="s">
        <v>533</v>
      </c>
      <c r="G141" s="41" t="s">
        <v>85</v>
      </c>
      <c r="H141" s="8" t="s">
        <v>33</v>
      </c>
      <c r="I141" s="70"/>
      <c r="J141" s="70"/>
      <c r="K141" s="65">
        <v>59.9</v>
      </c>
      <c r="L141" s="41" t="s">
        <v>49</v>
      </c>
      <c r="M141" s="41"/>
      <c r="N141" s="10" t="s">
        <v>534</v>
      </c>
      <c r="O141" s="8"/>
      <c r="P141" s="1"/>
    </row>
    <row r="142" spans="1:17" ht="28.5" customHeight="1">
      <c r="A142" s="10">
        <v>1</v>
      </c>
      <c r="B142" s="33" t="s">
        <v>124</v>
      </c>
      <c r="C142" s="41" t="s">
        <v>28</v>
      </c>
      <c r="D142" s="41" t="s">
        <v>535</v>
      </c>
      <c r="E142" s="41" t="s">
        <v>536</v>
      </c>
      <c r="F142" s="115" t="s">
        <v>537</v>
      </c>
      <c r="G142" s="41" t="s">
        <v>91</v>
      </c>
      <c r="H142" s="8" t="s">
        <v>67</v>
      </c>
      <c r="I142" s="70" t="s">
        <v>538</v>
      </c>
      <c r="J142" s="70"/>
      <c r="K142" s="65">
        <v>99.9</v>
      </c>
      <c r="L142" s="41" t="s">
        <v>55</v>
      </c>
      <c r="M142" s="41" t="s">
        <v>61</v>
      </c>
      <c r="N142" s="10" t="s">
        <v>539</v>
      </c>
      <c r="O142" s="8"/>
      <c r="P142" s="1"/>
    </row>
    <row r="143" spans="1:17" ht="28.5" customHeight="1">
      <c r="A143" s="10">
        <v>1</v>
      </c>
      <c r="B143" s="33" t="s">
        <v>124</v>
      </c>
      <c r="C143" s="41" t="s">
        <v>28</v>
      </c>
      <c r="D143" s="41" t="s">
        <v>540</v>
      </c>
      <c r="E143" s="41" t="s">
        <v>541</v>
      </c>
      <c r="F143" s="115">
        <v>51993817065</v>
      </c>
      <c r="G143" s="41" t="s">
        <v>85</v>
      </c>
      <c r="H143" s="8" t="s">
        <v>33</v>
      </c>
      <c r="I143" s="70" t="s">
        <v>54</v>
      </c>
      <c r="J143" s="70"/>
      <c r="K143" s="65">
        <v>39.9</v>
      </c>
      <c r="L143" s="41" t="s">
        <v>55</v>
      </c>
      <c r="M143" s="41" t="s">
        <v>61</v>
      </c>
      <c r="N143" s="10" t="s">
        <v>358</v>
      </c>
      <c r="O143" s="8"/>
      <c r="P143" s="1"/>
    </row>
    <row r="144" spans="1:17" ht="28.5" customHeight="1">
      <c r="A144" s="10">
        <v>1</v>
      </c>
      <c r="B144" s="33" t="s">
        <v>124</v>
      </c>
      <c r="C144" s="41" t="s">
        <v>28</v>
      </c>
      <c r="D144" s="41" t="s">
        <v>542</v>
      </c>
      <c r="E144" s="41" t="s">
        <v>165</v>
      </c>
      <c r="F144" s="115" t="s">
        <v>543</v>
      </c>
      <c r="G144" s="41" t="s">
        <v>66</v>
      </c>
      <c r="H144" s="8" t="s">
        <v>67</v>
      </c>
      <c r="I144" s="70" t="s">
        <v>489</v>
      </c>
      <c r="J144" s="70"/>
      <c r="K144" s="65">
        <v>99.9</v>
      </c>
      <c r="L144" s="41" t="s">
        <v>49</v>
      </c>
      <c r="M144" s="41" t="s">
        <v>61</v>
      </c>
      <c r="N144" s="10" t="s">
        <v>544</v>
      </c>
      <c r="O144" s="8"/>
      <c r="P144" s="1"/>
    </row>
    <row r="145" spans="1:16" ht="28.5" customHeight="1">
      <c r="A145" s="10">
        <v>1</v>
      </c>
      <c r="B145" s="33" t="s">
        <v>124</v>
      </c>
      <c r="C145" s="41" t="s">
        <v>28</v>
      </c>
      <c r="D145" s="41" t="s">
        <v>545</v>
      </c>
      <c r="E145" s="41" t="s">
        <v>39</v>
      </c>
      <c r="F145" s="120" t="s">
        <v>546</v>
      </c>
      <c r="G145" s="41" t="s">
        <v>41</v>
      </c>
      <c r="H145" s="8" t="s">
        <v>33</v>
      </c>
      <c r="I145" s="70" t="s">
        <v>293</v>
      </c>
      <c r="J145" s="70"/>
      <c r="K145" s="65">
        <v>109.8</v>
      </c>
      <c r="L145" s="41" t="s">
        <v>49</v>
      </c>
      <c r="M145" s="41" t="s">
        <v>61</v>
      </c>
      <c r="N145" s="10" t="s">
        <v>547</v>
      </c>
      <c r="O145" s="8"/>
      <c r="P145" s="1"/>
    </row>
    <row r="146" spans="1:16" ht="28.5" customHeight="1">
      <c r="A146" s="10">
        <v>1</v>
      </c>
      <c r="B146" s="33" t="s">
        <v>124</v>
      </c>
      <c r="C146" s="41" t="s">
        <v>28</v>
      </c>
      <c r="D146" s="8" t="s">
        <v>548</v>
      </c>
      <c r="E146" s="41" t="s">
        <v>334</v>
      </c>
      <c r="F146" s="114" t="s">
        <v>549</v>
      </c>
      <c r="G146" s="41" t="s">
        <v>550</v>
      </c>
      <c r="H146" s="8" t="s">
        <v>67</v>
      </c>
      <c r="I146" s="70"/>
      <c r="J146" s="70"/>
      <c r="K146" s="70" t="s">
        <v>508</v>
      </c>
      <c r="L146" s="41" t="s">
        <v>34</v>
      </c>
      <c r="M146" s="41" t="s">
        <v>111</v>
      </c>
      <c r="N146" s="10" t="s">
        <v>120</v>
      </c>
      <c r="O146" s="8"/>
      <c r="P146" s="1"/>
    </row>
    <row r="147" spans="1:16" ht="28.5" customHeight="1">
      <c r="A147" s="10">
        <v>1</v>
      </c>
      <c r="B147" s="33" t="s">
        <v>124</v>
      </c>
      <c r="C147" s="41" t="s">
        <v>93</v>
      </c>
      <c r="D147" s="41" t="s">
        <v>551</v>
      </c>
      <c r="E147" s="41" t="s">
        <v>552</v>
      </c>
      <c r="F147" s="41">
        <v>51995632177</v>
      </c>
      <c r="G147" s="41" t="s">
        <v>91</v>
      </c>
      <c r="H147" s="8" t="s">
        <v>67</v>
      </c>
      <c r="I147" s="70"/>
      <c r="J147" s="70"/>
      <c r="K147" s="70" t="s">
        <v>97</v>
      </c>
      <c r="L147" s="41" t="s">
        <v>55</v>
      </c>
      <c r="M147" s="41"/>
      <c r="N147" s="10" t="s">
        <v>553</v>
      </c>
      <c r="O147" s="8"/>
      <c r="P147" s="1"/>
    </row>
    <row r="148" spans="1:16" ht="28.5" customHeight="1">
      <c r="A148" s="10">
        <v>1</v>
      </c>
      <c r="B148" s="33" t="s">
        <v>124</v>
      </c>
      <c r="C148" s="41" t="s">
        <v>28</v>
      </c>
      <c r="D148" s="41" t="s">
        <v>554</v>
      </c>
      <c r="E148" s="41" t="s">
        <v>39</v>
      </c>
      <c r="F148" s="41">
        <v>51989094317</v>
      </c>
      <c r="G148" s="41" t="s">
        <v>41</v>
      </c>
      <c r="H148" s="8" t="s">
        <v>33</v>
      </c>
      <c r="I148" s="70" t="s">
        <v>54</v>
      </c>
      <c r="J148" s="70"/>
      <c r="K148" s="70" t="s">
        <v>555</v>
      </c>
      <c r="L148" s="41" t="s">
        <v>55</v>
      </c>
      <c r="M148" s="41" t="s">
        <v>56</v>
      </c>
      <c r="N148" s="10" t="s">
        <v>120</v>
      </c>
      <c r="O148" s="8"/>
      <c r="P148" s="1"/>
    </row>
    <row r="149" spans="1:16" ht="28.5" customHeight="1">
      <c r="A149" s="10">
        <v>1</v>
      </c>
      <c r="B149" s="33" t="s">
        <v>124</v>
      </c>
      <c r="C149" s="41" t="s">
        <v>93</v>
      </c>
      <c r="D149" s="41" t="s">
        <v>556</v>
      </c>
      <c r="E149" s="41" t="s">
        <v>557</v>
      </c>
      <c r="F149" s="41" t="s">
        <v>558</v>
      </c>
      <c r="G149" s="41" t="s">
        <v>559</v>
      </c>
      <c r="H149" s="8" t="s">
        <v>33</v>
      </c>
      <c r="I149" s="70"/>
      <c r="J149" s="70"/>
      <c r="K149" s="70" t="s">
        <v>560</v>
      </c>
      <c r="L149" s="41" t="s">
        <v>34</v>
      </c>
      <c r="M149" s="41"/>
      <c r="N149" s="10" t="s">
        <v>561</v>
      </c>
      <c r="O149" s="8"/>
      <c r="P149" s="1"/>
    </row>
    <row r="150" spans="1:16" ht="28.5" customHeight="1">
      <c r="A150" s="10">
        <v>1</v>
      </c>
      <c r="B150" s="33" t="s">
        <v>124</v>
      </c>
      <c r="C150" s="41" t="s">
        <v>93</v>
      </c>
      <c r="D150" s="41" t="s">
        <v>562</v>
      </c>
      <c r="E150" s="41" t="s">
        <v>563</v>
      </c>
      <c r="F150" s="41" t="s">
        <v>564</v>
      </c>
      <c r="G150" s="41" t="s">
        <v>565</v>
      </c>
      <c r="H150" s="8" t="s">
        <v>47</v>
      </c>
      <c r="I150" s="70"/>
      <c r="J150" s="70"/>
      <c r="K150" s="70" t="s">
        <v>448</v>
      </c>
      <c r="L150" s="41" t="s">
        <v>34</v>
      </c>
      <c r="M150" s="41"/>
      <c r="N150" s="10" t="s">
        <v>566</v>
      </c>
      <c r="O150" s="8"/>
      <c r="P150" s="1"/>
    </row>
    <row r="151" spans="1:16" ht="28.5" customHeight="1">
      <c r="A151" s="10">
        <v>1</v>
      </c>
      <c r="B151" s="33" t="s">
        <v>124</v>
      </c>
      <c r="C151" s="41" t="s">
        <v>28</v>
      </c>
      <c r="D151" s="41" t="s">
        <v>567</v>
      </c>
      <c r="E151" s="41" t="s">
        <v>237</v>
      </c>
      <c r="F151" s="41">
        <v>54991613167</v>
      </c>
      <c r="G151" s="41" t="s">
        <v>41</v>
      </c>
      <c r="H151" s="8" t="s">
        <v>33</v>
      </c>
      <c r="I151" s="70" t="s">
        <v>54</v>
      </c>
      <c r="J151" s="70"/>
      <c r="K151" s="70" t="s">
        <v>568</v>
      </c>
      <c r="L151" s="41" t="s">
        <v>55</v>
      </c>
      <c r="M151" s="41" t="s">
        <v>56</v>
      </c>
      <c r="N151" s="10" t="s">
        <v>569</v>
      </c>
      <c r="O151" s="8"/>
      <c r="P151" s="1"/>
    </row>
    <row r="152" spans="1:16" ht="28.5" customHeight="1">
      <c r="A152" s="10">
        <v>1</v>
      </c>
      <c r="B152" s="33" t="s">
        <v>124</v>
      </c>
      <c r="C152" s="41" t="s">
        <v>28</v>
      </c>
      <c r="D152" s="41" t="s">
        <v>570</v>
      </c>
      <c r="E152" s="41" t="s">
        <v>39</v>
      </c>
      <c r="F152" s="41">
        <v>51991934658</v>
      </c>
      <c r="G152" s="41" t="s">
        <v>313</v>
      </c>
      <c r="H152" s="8" t="s">
        <v>33</v>
      </c>
      <c r="I152" s="70" t="s">
        <v>54</v>
      </c>
      <c r="J152" s="70"/>
      <c r="K152" s="70" t="s">
        <v>555</v>
      </c>
      <c r="L152" s="41" t="s">
        <v>55</v>
      </c>
      <c r="M152" s="41" t="s">
        <v>56</v>
      </c>
      <c r="N152" s="10" t="s">
        <v>56</v>
      </c>
      <c r="O152" s="8"/>
      <c r="P152" s="1"/>
    </row>
    <row r="153" spans="1:16" ht="28.5" customHeight="1">
      <c r="A153" s="10">
        <v>1</v>
      </c>
      <c r="B153" s="33" t="s">
        <v>60</v>
      </c>
      <c r="C153" s="41" t="s">
        <v>28</v>
      </c>
      <c r="D153" s="41" t="s">
        <v>571</v>
      </c>
      <c r="E153" s="41" t="s">
        <v>39</v>
      </c>
      <c r="F153" s="41">
        <v>51991950160</v>
      </c>
      <c r="G153" s="41" t="s">
        <v>41</v>
      </c>
      <c r="H153" s="8" t="s">
        <v>33</v>
      </c>
      <c r="I153" s="70" t="s">
        <v>572</v>
      </c>
      <c r="J153" s="70"/>
      <c r="K153" s="70" t="s">
        <v>101</v>
      </c>
      <c r="L153" s="41" t="s">
        <v>55</v>
      </c>
      <c r="M153" s="41" t="s">
        <v>61</v>
      </c>
      <c r="N153" s="10" t="s">
        <v>573</v>
      </c>
      <c r="O153" s="8"/>
      <c r="P153" s="1"/>
    </row>
    <row r="154" spans="1:16" ht="28.5" customHeight="1">
      <c r="A154" s="10">
        <v>1</v>
      </c>
      <c r="B154" s="33" t="s">
        <v>60</v>
      </c>
      <c r="C154" s="41" t="s">
        <v>28</v>
      </c>
      <c r="D154" s="41" t="s">
        <v>574</v>
      </c>
      <c r="E154" s="41" t="s">
        <v>186</v>
      </c>
      <c r="F154" s="41" t="s">
        <v>575</v>
      </c>
      <c r="G154" s="41" t="s">
        <v>66</v>
      </c>
      <c r="H154" s="8" t="s">
        <v>206</v>
      </c>
      <c r="I154" s="70" t="s">
        <v>375</v>
      </c>
      <c r="J154" s="70"/>
      <c r="K154" s="70" t="s">
        <v>250</v>
      </c>
      <c r="L154" s="41" t="s">
        <v>34</v>
      </c>
      <c r="M154" s="41" t="s">
        <v>133</v>
      </c>
      <c r="N154" s="10" t="s">
        <v>576</v>
      </c>
      <c r="O154" s="8"/>
      <c r="P154" s="1"/>
    </row>
    <row r="155" spans="1:16" ht="28.5" customHeight="1">
      <c r="A155" s="10">
        <v>1</v>
      </c>
      <c r="B155" s="33" t="s">
        <v>60</v>
      </c>
      <c r="C155" s="41" t="s">
        <v>28</v>
      </c>
      <c r="D155" s="41" t="s">
        <v>577</v>
      </c>
      <c r="E155" s="41" t="s">
        <v>174</v>
      </c>
      <c r="F155" s="41" t="s">
        <v>578</v>
      </c>
      <c r="G155" s="41" t="s">
        <v>66</v>
      </c>
      <c r="H155" s="8" t="s">
        <v>67</v>
      </c>
      <c r="I155" s="70" t="s">
        <v>375</v>
      </c>
      <c r="J155" s="70"/>
      <c r="K155" s="70" t="s">
        <v>97</v>
      </c>
      <c r="L155" s="41" t="s">
        <v>34</v>
      </c>
      <c r="M155" s="41" t="s">
        <v>128</v>
      </c>
      <c r="N155" s="10" t="s">
        <v>579</v>
      </c>
      <c r="O155" s="8"/>
      <c r="P155" s="1"/>
    </row>
    <row r="156" spans="1:16" ht="28.5" customHeight="1">
      <c r="A156" s="10">
        <v>1</v>
      </c>
      <c r="B156" s="33" t="s">
        <v>60</v>
      </c>
      <c r="C156" s="41" t="s">
        <v>28</v>
      </c>
      <c r="D156" s="41" t="s">
        <v>580</v>
      </c>
      <c r="E156" s="41" t="s">
        <v>581</v>
      </c>
      <c r="F156" s="41">
        <v>51995111835</v>
      </c>
      <c r="G156" s="41" t="s">
        <v>85</v>
      </c>
      <c r="H156" s="8" t="s">
        <v>33</v>
      </c>
      <c r="I156" s="70" t="s">
        <v>582</v>
      </c>
      <c r="J156" s="70"/>
      <c r="K156" s="70" t="s">
        <v>97</v>
      </c>
      <c r="L156" s="41" t="s">
        <v>55</v>
      </c>
      <c r="M156" s="41" t="s">
        <v>56</v>
      </c>
      <c r="N156" s="10" t="s">
        <v>583</v>
      </c>
      <c r="O156" s="8"/>
      <c r="P156" s="1"/>
    </row>
    <row r="157" spans="1:16" ht="28.5" customHeight="1">
      <c r="A157" s="10">
        <v>1</v>
      </c>
      <c r="B157" s="33" t="s">
        <v>60</v>
      </c>
      <c r="C157" s="41" t="s">
        <v>28</v>
      </c>
      <c r="D157" s="41" t="s">
        <v>584</v>
      </c>
      <c r="E157" s="41" t="s">
        <v>145</v>
      </c>
      <c r="F157" s="41">
        <v>51996560882</v>
      </c>
      <c r="G157" s="41" t="s">
        <v>53</v>
      </c>
      <c r="H157" s="8" t="s">
        <v>33</v>
      </c>
      <c r="I157" s="70" t="s">
        <v>585</v>
      </c>
      <c r="J157" s="70"/>
      <c r="K157" s="70" t="s">
        <v>97</v>
      </c>
      <c r="L157" s="41" t="s">
        <v>55</v>
      </c>
      <c r="M157" s="41" t="s">
        <v>128</v>
      </c>
      <c r="N157" s="10" t="s">
        <v>120</v>
      </c>
      <c r="O157" s="8"/>
      <c r="P157" s="1"/>
    </row>
    <row r="158" spans="1:16" ht="28.5" customHeight="1">
      <c r="A158" s="10">
        <v>1</v>
      </c>
      <c r="B158" s="33" t="s">
        <v>60</v>
      </c>
      <c r="C158" s="41" t="s">
        <v>28</v>
      </c>
      <c r="D158" s="41" t="s">
        <v>586</v>
      </c>
      <c r="E158" s="41" t="s">
        <v>587</v>
      </c>
      <c r="F158" s="41">
        <v>51980640913</v>
      </c>
      <c r="G158" s="41" t="s">
        <v>147</v>
      </c>
      <c r="H158" s="8" t="s">
        <v>33</v>
      </c>
      <c r="I158" s="70" t="s">
        <v>588</v>
      </c>
      <c r="J158" s="70"/>
      <c r="K158" s="70" t="s">
        <v>97</v>
      </c>
      <c r="L158" s="41" t="s">
        <v>55</v>
      </c>
      <c r="M158" s="41" t="s">
        <v>80</v>
      </c>
      <c r="N158" s="10" t="s">
        <v>589</v>
      </c>
      <c r="O158" s="8"/>
      <c r="P158" s="1"/>
    </row>
    <row r="159" spans="1:16" ht="28.5" customHeight="1">
      <c r="A159" s="10">
        <v>1</v>
      </c>
      <c r="B159" s="33" t="s">
        <v>60</v>
      </c>
      <c r="C159" s="41" t="s">
        <v>28</v>
      </c>
      <c r="D159" s="41" t="s">
        <v>590</v>
      </c>
      <c r="E159" s="41" t="s">
        <v>298</v>
      </c>
      <c r="F159" s="41">
        <v>51994807355</v>
      </c>
      <c r="G159" s="41" t="s">
        <v>91</v>
      </c>
      <c r="H159" s="8" t="s">
        <v>33</v>
      </c>
      <c r="I159" s="70" t="s">
        <v>591</v>
      </c>
      <c r="J159" s="70"/>
      <c r="K159" s="70" t="s">
        <v>250</v>
      </c>
      <c r="L159" s="41" t="s">
        <v>55</v>
      </c>
      <c r="M159" s="41" t="s">
        <v>128</v>
      </c>
      <c r="N159" s="10" t="s">
        <v>468</v>
      </c>
      <c r="O159" s="8"/>
      <c r="P159" s="1"/>
    </row>
    <row r="160" spans="1:16" ht="28.5" customHeight="1">
      <c r="A160" s="10">
        <v>1</v>
      </c>
      <c r="B160" s="33" t="s">
        <v>60</v>
      </c>
      <c r="C160" s="41" t="s">
        <v>28</v>
      </c>
      <c r="D160" s="41" t="s">
        <v>592</v>
      </c>
      <c r="E160" s="41" t="s">
        <v>593</v>
      </c>
      <c r="F160" s="41" t="s">
        <v>594</v>
      </c>
      <c r="G160" s="41" t="s">
        <v>32</v>
      </c>
      <c r="H160" s="8" t="s">
        <v>33</v>
      </c>
      <c r="I160" s="70" t="s">
        <v>86</v>
      </c>
      <c r="J160" s="70"/>
      <c r="K160" s="70" t="s">
        <v>97</v>
      </c>
      <c r="L160" s="41" t="s">
        <v>49</v>
      </c>
      <c r="M160" s="41" t="s">
        <v>128</v>
      </c>
      <c r="N160" s="10" t="s">
        <v>595</v>
      </c>
      <c r="O160" s="8"/>
      <c r="P160" s="1"/>
    </row>
    <row r="161" spans="1:16" ht="28.5" customHeight="1">
      <c r="A161" s="10">
        <v>1</v>
      </c>
      <c r="B161" s="33" t="s">
        <v>60</v>
      </c>
      <c r="C161" s="41" t="s">
        <v>28</v>
      </c>
      <c r="D161" s="41" t="s">
        <v>596</v>
      </c>
      <c r="E161" s="41" t="s">
        <v>597</v>
      </c>
      <c r="F161" s="41">
        <v>51993857860</v>
      </c>
      <c r="G161" s="41" t="s">
        <v>91</v>
      </c>
      <c r="H161" s="8" t="s">
        <v>67</v>
      </c>
      <c r="I161" s="70" t="s">
        <v>591</v>
      </c>
      <c r="J161" s="70"/>
      <c r="K161" s="70" t="s">
        <v>250</v>
      </c>
      <c r="L161" s="41" t="s">
        <v>55</v>
      </c>
      <c r="M161" s="41" t="s">
        <v>61</v>
      </c>
      <c r="N161" s="10" t="s">
        <v>120</v>
      </c>
      <c r="O161" s="8"/>
      <c r="P161" s="1"/>
    </row>
    <row r="162" spans="1:16" ht="28.5" customHeight="1">
      <c r="A162" s="10">
        <v>1</v>
      </c>
      <c r="B162" s="33" t="s">
        <v>60</v>
      </c>
      <c r="C162" s="41" t="s">
        <v>28</v>
      </c>
      <c r="D162" s="41" t="s">
        <v>598</v>
      </c>
      <c r="E162" s="41" t="s">
        <v>71</v>
      </c>
      <c r="F162" s="41">
        <v>51999154304</v>
      </c>
      <c r="G162" s="41" t="s">
        <v>53</v>
      </c>
      <c r="H162" s="8" t="s">
        <v>33</v>
      </c>
      <c r="I162" s="70" t="s">
        <v>74</v>
      </c>
      <c r="J162" s="70"/>
      <c r="K162" s="70" t="s">
        <v>142</v>
      </c>
      <c r="L162" s="41" t="s">
        <v>55</v>
      </c>
      <c r="M162" s="41" t="s">
        <v>61</v>
      </c>
      <c r="N162" s="10" t="s">
        <v>599</v>
      </c>
      <c r="O162" s="8"/>
      <c r="P162" s="1"/>
    </row>
    <row r="163" spans="1:16" ht="28.5" customHeight="1">
      <c r="A163" s="10">
        <v>1</v>
      </c>
      <c r="B163" s="33" t="s">
        <v>60</v>
      </c>
      <c r="C163" s="41" t="s">
        <v>28</v>
      </c>
      <c r="D163" s="41" t="s">
        <v>600</v>
      </c>
      <c r="E163" s="41" t="s">
        <v>39</v>
      </c>
      <c r="F163" s="41">
        <v>51997579226</v>
      </c>
      <c r="G163" s="41" t="s">
        <v>313</v>
      </c>
      <c r="H163" s="8" t="s">
        <v>33</v>
      </c>
      <c r="I163" s="70" t="s">
        <v>425</v>
      </c>
      <c r="J163" s="70"/>
      <c r="K163" s="70" t="s">
        <v>184</v>
      </c>
      <c r="L163" s="41" t="s">
        <v>55</v>
      </c>
      <c r="M163" s="41" t="s">
        <v>35</v>
      </c>
      <c r="N163" s="10" t="s">
        <v>601</v>
      </c>
      <c r="O163" s="8"/>
      <c r="P163" s="1"/>
    </row>
    <row r="164" spans="1:16" ht="28.5" customHeight="1">
      <c r="A164" s="10">
        <v>1</v>
      </c>
      <c r="B164" s="33" t="s">
        <v>60</v>
      </c>
      <c r="C164" s="41" t="s">
        <v>28</v>
      </c>
      <c r="D164" s="41" t="s">
        <v>602</v>
      </c>
      <c r="E164" s="41" t="s">
        <v>270</v>
      </c>
      <c r="F164" s="41" t="s">
        <v>603</v>
      </c>
      <c r="G164" s="41" t="s">
        <v>66</v>
      </c>
      <c r="H164" s="8" t="s">
        <v>67</v>
      </c>
      <c r="I164" s="70" t="s">
        <v>489</v>
      </c>
      <c r="J164" s="70"/>
      <c r="K164" s="70" t="s">
        <v>250</v>
      </c>
      <c r="L164" s="41" t="s">
        <v>49</v>
      </c>
      <c r="M164" s="41" t="s">
        <v>35</v>
      </c>
      <c r="N164" s="10" t="s">
        <v>604</v>
      </c>
      <c r="O164" s="8"/>
      <c r="P164" s="1"/>
    </row>
    <row r="165" spans="1:16" ht="28.5" customHeight="1">
      <c r="A165" s="10">
        <v>1</v>
      </c>
      <c r="B165" s="33" t="s">
        <v>60</v>
      </c>
      <c r="C165" s="41" t="s">
        <v>93</v>
      </c>
      <c r="D165" s="41" t="s">
        <v>605</v>
      </c>
      <c r="E165" s="41" t="s">
        <v>298</v>
      </c>
      <c r="F165" s="41" t="s">
        <v>606</v>
      </c>
      <c r="G165" s="41" t="s">
        <v>91</v>
      </c>
      <c r="H165" s="8" t="s">
        <v>67</v>
      </c>
      <c r="I165" s="70"/>
      <c r="J165" s="70"/>
      <c r="K165" s="70" t="s">
        <v>179</v>
      </c>
      <c r="L165" s="41" t="s">
        <v>49</v>
      </c>
      <c r="M165" s="41"/>
      <c r="N165" s="10" t="s">
        <v>607</v>
      </c>
      <c r="O165" s="8"/>
      <c r="P165" s="1"/>
    </row>
    <row r="166" spans="1:16" ht="28.5" customHeight="1">
      <c r="A166" s="10">
        <v>1</v>
      </c>
      <c r="B166" s="33" t="s">
        <v>60</v>
      </c>
      <c r="C166" s="41" t="s">
        <v>28</v>
      </c>
      <c r="D166" s="41" t="s">
        <v>295</v>
      </c>
      <c r="E166" s="41" t="s">
        <v>608</v>
      </c>
      <c r="F166" s="41">
        <v>51997028706</v>
      </c>
      <c r="G166" s="41" t="s">
        <v>66</v>
      </c>
      <c r="H166" s="8" t="s">
        <v>67</v>
      </c>
      <c r="I166" s="70" t="s">
        <v>86</v>
      </c>
      <c r="J166" s="70"/>
      <c r="K166" s="70" t="s">
        <v>250</v>
      </c>
      <c r="L166" s="41" t="s">
        <v>55</v>
      </c>
      <c r="M166" s="41" t="s">
        <v>61</v>
      </c>
      <c r="N166" s="10" t="s">
        <v>609</v>
      </c>
      <c r="O166" s="8"/>
      <c r="P166" s="1"/>
    </row>
    <row r="167" spans="1:16" ht="28.5" customHeight="1">
      <c r="A167" s="10">
        <v>1</v>
      </c>
      <c r="B167" s="33" t="s">
        <v>60</v>
      </c>
      <c r="C167" s="41" t="s">
        <v>93</v>
      </c>
      <c r="D167" s="41" t="s">
        <v>610</v>
      </c>
      <c r="E167" s="41" t="s">
        <v>611</v>
      </c>
      <c r="F167" s="41" t="s">
        <v>612</v>
      </c>
      <c r="G167" s="41" t="s">
        <v>66</v>
      </c>
      <c r="H167" s="8" t="s">
        <v>67</v>
      </c>
      <c r="I167" s="70"/>
      <c r="J167" s="70"/>
      <c r="K167" s="70" t="s">
        <v>184</v>
      </c>
      <c r="L167" s="41" t="s">
        <v>49</v>
      </c>
      <c r="M167" s="41"/>
      <c r="N167" s="10" t="s">
        <v>613</v>
      </c>
      <c r="O167" s="8"/>
      <c r="P167" s="1"/>
    </row>
    <row r="168" spans="1:16" ht="28.5" customHeight="1">
      <c r="A168" s="10">
        <v>1</v>
      </c>
      <c r="B168" s="33" t="s">
        <v>60</v>
      </c>
      <c r="C168" s="41" t="s">
        <v>28</v>
      </c>
      <c r="D168" s="41" t="s">
        <v>614</v>
      </c>
      <c r="E168" s="41" t="s">
        <v>615</v>
      </c>
      <c r="F168" s="41" t="s">
        <v>616</v>
      </c>
      <c r="G168" s="41" t="s">
        <v>66</v>
      </c>
      <c r="H168" s="8" t="s">
        <v>67</v>
      </c>
      <c r="I168" s="70" t="s">
        <v>489</v>
      </c>
      <c r="J168" s="70"/>
      <c r="K168" s="70" t="s">
        <v>184</v>
      </c>
      <c r="L168" s="41" t="s">
        <v>49</v>
      </c>
      <c r="M168" s="41" t="s">
        <v>111</v>
      </c>
      <c r="N168" s="10" t="s">
        <v>617</v>
      </c>
      <c r="O168" s="8"/>
      <c r="P168" s="1"/>
    </row>
    <row r="169" spans="1:16" ht="28.5" customHeight="1">
      <c r="A169" s="10">
        <v>1</v>
      </c>
      <c r="B169" s="33" t="s">
        <v>60</v>
      </c>
      <c r="C169" s="41" t="s">
        <v>28</v>
      </c>
      <c r="D169" s="41" t="s">
        <v>618</v>
      </c>
      <c r="E169" s="41" t="s">
        <v>619</v>
      </c>
      <c r="F169" s="41" t="s">
        <v>620</v>
      </c>
      <c r="G169" s="41" t="s">
        <v>66</v>
      </c>
      <c r="H169" s="8" t="s">
        <v>67</v>
      </c>
      <c r="I169" s="70" t="s">
        <v>375</v>
      </c>
      <c r="J169" s="70"/>
      <c r="K169" s="70" t="s">
        <v>184</v>
      </c>
      <c r="L169" s="41" t="s">
        <v>34</v>
      </c>
      <c r="M169" s="41" t="s">
        <v>56</v>
      </c>
      <c r="N169" s="10" t="s">
        <v>621</v>
      </c>
      <c r="O169" s="8"/>
      <c r="P169" s="1"/>
    </row>
    <row r="170" spans="1:16" ht="28.5" customHeight="1">
      <c r="A170" s="10">
        <v>1</v>
      </c>
      <c r="B170" s="33" t="s">
        <v>60</v>
      </c>
      <c r="C170" s="41" t="s">
        <v>28</v>
      </c>
      <c r="D170" s="41" t="s">
        <v>622</v>
      </c>
      <c r="E170" s="41" t="s">
        <v>623</v>
      </c>
      <c r="F170" s="41">
        <v>51998417972</v>
      </c>
      <c r="G170" s="41" t="s">
        <v>280</v>
      </c>
      <c r="H170" s="8" t="s">
        <v>33</v>
      </c>
      <c r="I170" s="70" t="s">
        <v>54</v>
      </c>
      <c r="J170" s="70"/>
      <c r="K170" s="70" t="s">
        <v>101</v>
      </c>
      <c r="L170" s="41" t="s">
        <v>55</v>
      </c>
      <c r="M170" s="41" t="s">
        <v>61</v>
      </c>
      <c r="N170" s="10" t="s">
        <v>358</v>
      </c>
      <c r="O170" s="8"/>
      <c r="P170" s="1"/>
    </row>
    <row r="171" spans="1:16" ht="28.5" customHeight="1">
      <c r="A171" s="10">
        <v>1</v>
      </c>
      <c r="B171" s="33" t="s">
        <v>60</v>
      </c>
      <c r="C171" s="41" t="s">
        <v>28</v>
      </c>
      <c r="D171" s="41" t="s">
        <v>624</v>
      </c>
      <c r="E171" s="41" t="s">
        <v>39</v>
      </c>
      <c r="F171" s="41" t="s">
        <v>625</v>
      </c>
      <c r="G171" s="41" t="s">
        <v>41</v>
      </c>
      <c r="H171" s="8" t="s">
        <v>33</v>
      </c>
      <c r="I171" s="70" t="s">
        <v>54</v>
      </c>
      <c r="J171" s="70"/>
      <c r="K171" s="70" t="s">
        <v>417</v>
      </c>
      <c r="L171" s="41" t="s">
        <v>49</v>
      </c>
      <c r="M171" s="41" t="s">
        <v>128</v>
      </c>
      <c r="N171" s="10" t="s">
        <v>626</v>
      </c>
      <c r="O171" s="8"/>
      <c r="P171" s="1"/>
    </row>
    <row r="172" spans="1:16" ht="28.5" customHeight="1">
      <c r="A172" s="10">
        <v>1</v>
      </c>
      <c r="B172" s="33" t="s">
        <v>60</v>
      </c>
      <c r="C172" s="41" t="s">
        <v>28</v>
      </c>
      <c r="D172" s="41" t="s">
        <v>627</v>
      </c>
      <c r="E172" s="41" t="s">
        <v>237</v>
      </c>
      <c r="F172" s="41" t="s">
        <v>628</v>
      </c>
      <c r="G172" s="41" t="s">
        <v>310</v>
      </c>
      <c r="H172" s="8" t="s">
        <v>47</v>
      </c>
      <c r="I172" s="70"/>
      <c r="J172" s="70"/>
      <c r="K172" s="70" t="s">
        <v>97</v>
      </c>
      <c r="L172" s="41" t="s">
        <v>34</v>
      </c>
      <c r="M172" s="41" t="s">
        <v>128</v>
      </c>
      <c r="N172" s="10" t="s">
        <v>629</v>
      </c>
      <c r="O172" s="8"/>
      <c r="P172" s="1"/>
    </row>
    <row r="173" spans="1:16" ht="28.5" customHeight="1">
      <c r="A173" s="10">
        <v>1</v>
      </c>
      <c r="B173" s="33" t="s">
        <v>60</v>
      </c>
      <c r="C173" s="41" t="s">
        <v>28</v>
      </c>
      <c r="D173" s="41" t="s">
        <v>630</v>
      </c>
      <c r="E173" s="41" t="s">
        <v>631</v>
      </c>
      <c r="F173" s="41" t="s">
        <v>632</v>
      </c>
      <c r="G173" s="41" t="s">
        <v>631</v>
      </c>
      <c r="H173" s="8" t="s">
        <v>33</v>
      </c>
      <c r="I173" s="70" t="s">
        <v>633</v>
      </c>
      <c r="J173" s="70"/>
      <c r="K173" s="70" t="s">
        <v>179</v>
      </c>
      <c r="L173" s="41" t="s">
        <v>49</v>
      </c>
      <c r="M173" s="41" t="s">
        <v>128</v>
      </c>
      <c r="N173" s="10" t="s">
        <v>634</v>
      </c>
      <c r="O173" s="8"/>
      <c r="P173" s="1"/>
    </row>
    <row r="174" spans="1:16" ht="28.5" customHeight="1">
      <c r="A174" s="10">
        <v>1</v>
      </c>
      <c r="B174" s="33" t="s">
        <v>60</v>
      </c>
      <c r="C174" s="41" t="s">
        <v>93</v>
      </c>
      <c r="D174" s="41" t="s">
        <v>635</v>
      </c>
      <c r="E174" s="41" t="s">
        <v>619</v>
      </c>
      <c r="F174" s="41" t="s">
        <v>636</v>
      </c>
      <c r="G174" s="41" t="s">
        <v>66</v>
      </c>
      <c r="H174" s="8" t="s">
        <v>67</v>
      </c>
      <c r="I174" s="70"/>
      <c r="J174" s="70"/>
      <c r="K174" s="70" t="s">
        <v>97</v>
      </c>
      <c r="L174" s="41" t="s">
        <v>49</v>
      </c>
      <c r="M174" s="41"/>
      <c r="N174" s="10" t="s">
        <v>637</v>
      </c>
      <c r="O174" s="8"/>
      <c r="P174" s="1"/>
    </row>
    <row r="175" spans="1:16" ht="28.5" customHeight="1">
      <c r="A175" s="10">
        <v>1</v>
      </c>
      <c r="B175" s="33" t="s">
        <v>60</v>
      </c>
      <c r="C175" s="41" t="s">
        <v>93</v>
      </c>
      <c r="D175" s="41" t="s">
        <v>638</v>
      </c>
      <c r="E175" s="41" t="s">
        <v>446</v>
      </c>
      <c r="F175" s="41" t="s">
        <v>639</v>
      </c>
      <c r="G175" s="41" t="s">
        <v>66</v>
      </c>
      <c r="H175" s="8" t="s">
        <v>67</v>
      </c>
      <c r="I175" s="70"/>
      <c r="J175" s="70"/>
      <c r="K175" s="70" t="s">
        <v>250</v>
      </c>
      <c r="L175" s="41" t="s">
        <v>49</v>
      </c>
      <c r="M175" s="41"/>
      <c r="N175" s="10" t="s">
        <v>640</v>
      </c>
      <c r="O175" s="8"/>
      <c r="P175" s="1"/>
    </row>
    <row r="176" spans="1:16" ht="28.5" customHeight="1">
      <c r="A176" s="10">
        <v>1</v>
      </c>
      <c r="B176" s="33" t="s">
        <v>375</v>
      </c>
      <c r="C176" s="41" t="s">
        <v>28</v>
      </c>
      <c r="D176" s="41" t="s">
        <v>641</v>
      </c>
      <c r="E176" s="41" t="s">
        <v>642</v>
      </c>
      <c r="F176" s="41">
        <v>51984168048</v>
      </c>
      <c r="G176" s="41" t="s">
        <v>643</v>
      </c>
      <c r="H176" s="8" t="s">
        <v>47</v>
      </c>
      <c r="I176" s="70" t="s">
        <v>644</v>
      </c>
      <c r="J176" s="70"/>
      <c r="K176" s="70" t="s">
        <v>101</v>
      </c>
      <c r="L176" s="41" t="s">
        <v>55</v>
      </c>
      <c r="M176" s="41" t="s">
        <v>61</v>
      </c>
      <c r="N176" s="10" t="s">
        <v>599</v>
      </c>
      <c r="O176" s="8"/>
      <c r="P176" s="1"/>
    </row>
    <row r="177" spans="1:16" ht="28.5" customHeight="1">
      <c r="A177" s="10">
        <v>1</v>
      </c>
      <c r="B177" s="33" t="s">
        <v>375</v>
      </c>
      <c r="C177" s="41" t="s">
        <v>93</v>
      </c>
      <c r="D177" s="41" t="s">
        <v>645</v>
      </c>
      <c r="E177" s="41" t="s">
        <v>285</v>
      </c>
      <c r="F177" s="41" t="s">
        <v>646</v>
      </c>
      <c r="G177" s="41" t="s">
        <v>66</v>
      </c>
      <c r="H177" s="8" t="s">
        <v>67</v>
      </c>
      <c r="I177" s="70"/>
      <c r="J177" s="70"/>
      <c r="K177" s="70" t="s">
        <v>250</v>
      </c>
      <c r="L177" s="41" t="s">
        <v>49</v>
      </c>
      <c r="M177" s="41"/>
      <c r="N177" s="10" t="s">
        <v>647</v>
      </c>
      <c r="O177" s="8"/>
      <c r="P177" s="1"/>
    </row>
    <row r="178" spans="1:16" ht="28.5" customHeight="1">
      <c r="A178" s="10">
        <v>1</v>
      </c>
      <c r="B178" s="33" t="s">
        <v>375</v>
      </c>
      <c r="C178" s="41" t="s">
        <v>28</v>
      </c>
      <c r="D178" s="41" t="s">
        <v>648</v>
      </c>
      <c r="E178" s="41" t="s">
        <v>310</v>
      </c>
      <c r="F178" s="41" t="s">
        <v>649</v>
      </c>
      <c r="G178" s="41" t="s">
        <v>79</v>
      </c>
      <c r="H178" s="8" t="s">
        <v>47</v>
      </c>
      <c r="I178" s="70" t="s">
        <v>650</v>
      </c>
      <c r="J178" s="70"/>
      <c r="K178" s="70" t="s">
        <v>250</v>
      </c>
      <c r="L178" s="41" t="s">
        <v>49</v>
      </c>
      <c r="M178" s="41" t="s">
        <v>128</v>
      </c>
      <c r="N178" s="10" t="s">
        <v>651</v>
      </c>
      <c r="O178" s="8"/>
      <c r="P178" s="1"/>
    </row>
    <row r="179" spans="1:16" ht="28.5" customHeight="1">
      <c r="A179" s="10">
        <v>1</v>
      </c>
      <c r="B179" s="33" t="s">
        <v>375</v>
      </c>
      <c r="C179" s="41" t="s">
        <v>28</v>
      </c>
      <c r="D179" s="41" t="s">
        <v>652</v>
      </c>
      <c r="E179" s="41" t="s">
        <v>653</v>
      </c>
      <c r="F179" s="41" t="s">
        <v>654</v>
      </c>
      <c r="G179" s="41" t="s">
        <v>655</v>
      </c>
      <c r="H179" s="8" t="s">
        <v>33</v>
      </c>
      <c r="I179" s="70"/>
      <c r="J179" s="70"/>
      <c r="K179" s="70" t="s">
        <v>142</v>
      </c>
      <c r="L179" s="41" t="s">
        <v>34</v>
      </c>
      <c r="M179" s="41" t="s">
        <v>61</v>
      </c>
      <c r="N179" s="10" t="s">
        <v>656</v>
      </c>
      <c r="O179" s="8"/>
      <c r="P179" s="1"/>
    </row>
    <row r="180" spans="1:16" ht="28.5" customHeight="1">
      <c r="A180" s="10">
        <v>1</v>
      </c>
      <c r="B180" s="33" t="s">
        <v>375</v>
      </c>
      <c r="C180" s="41" t="s">
        <v>93</v>
      </c>
      <c r="D180" s="41" t="s">
        <v>657</v>
      </c>
      <c r="E180" s="41" t="s">
        <v>334</v>
      </c>
      <c r="F180" s="41" t="s">
        <v>658</v>
      </c>
      <c r="G180" s="41" t="s">
        <v>66</v>
      </c>
      <c r="H180" s="8" t="s">
        <v>67</v>
      </c>
      <c r="I180" s="70"/>
      <c r="J180" s="70"/>
      <c r="K180" s="70" t="s">
        <v>97</v>
      </c>
      <c r="L180" s="41" t="s">
        <v>49</v>
      </c>
      <c r="M180" s="41"/>
      <c r="N180" s="10" t="s">
        <v>659</v>
      </c>
      <c r="O180" s="8"/>
      <c r="P180" s="1"/>
    </row>
    <row r="181" spans="1:16" ht="28.5" customHeight="1">
      <c r="A181" s="10">
        <v>1</v>
      </c>
      <c r="B181" s="33" t="s">
        <v>375</v>
      </c>
      <c r="C181" s="41" t="s">
        <v>93</v>
      </c>
      <c r="D181" s="41" t="s">
        <v>660</v>
      </c>
      <c r="E181" s="41" t="s">
        <v>661</v>
      </c>
      <c r="F181" s="41" t="s">
        <v>662</v>
      </c>
      <c r="G181" s="41" t="s">
        <v>559</v>
      </c>
      <c r="H181" s="8" t="s">
        <v>33</v>
      </c>
      <c r="I181" s="70"/>
      <c r="J181" s="70"/>
      <c r="K181" s="70" t="s">
        <v>101</v>
      </c>
      <c r="L181" s="41" t="s">
        <v>34</v>
      </c>
      <c r="M181" s="41"/>
      <c r="N181" s="10" t="s">
        <v>663</v>
      </c>
      <c r="O181" s="8"/>
      <c r="P181" s="1"/>
    </row>
    <row r="182" spans="1:16" ht="28.5" customHeight="1">
      <c r="A182" s="10">
        <v>1</v>
      </c>
      <c r="B182" s="33" t="s">
        <v>375</v>
      </c>
      <c r="C182" s="41" t="s">
        <v>28</v>
      </c>
      <c r="D182" s="41" t="s">
        <v>664</v>
      </c>
      <c r="E182" s="41" t="s">
        <v>665</v>
      </c>
      <c r="F182" s="41" t="s">
        <v>666</v>
      </c>
      <c r="G182" s="41" t="s">
        <v>91</v>
      </c>
      <c r="H182" s="8" t="s">
        <v>67</v>
      </c>
      <c r="I182" s="70" t="s">
        <v>489</v>
      </c>
      <c r="J182" s="70"/>
      <c r="K182" s="70" t="s">
        <v>97</v>
      </c>
      <c r="L182" s="41" t="s">
        <v>49</v>
      </c>
      <c r="M182" s="41" t="s">
        <v>128</v>
      </c>
      <c r="N182" s="10" t="s">
        <v>667</v>
      </c>
      <c r="O182" s="8"/>
      <c r="P182" s="1"/>
    </row>
    <row r="183" spans="1:16" ht="28.5" customHeight="1">
      <c r="A183" s="10">
        <v>1</v>
      </c>
      <c r="B183" s="33" t="s">
        <v>375</v>
      </c>
      <c r="C183" s="41" t="s">
        <v>93</v>
      </c>
      <c r="D183" s="41" t="s">
        <v>668</v>
      </c>
      <c r="E183" s="41" t="s">
        <v>446</v>
      </c>
      <c r="F183" s="41" t="s">
        <v>669</v>
      </c>
      <c r="G183" s="41" t="s">
        <v>66</v>
      </c>
      <c r="H183" s="8" t="s">
        <v>67</v>
      </c>
      <c r="I183" s="70"/>
      <c r="J183" s="70"/>
      <c r="K183" s="70" t="s">
        <v>97</v>
      </c>
      <c r="L183" s="41" t="s">
        <v>49</v>
      </c>
      <c r="M183" s="41"/>
      <c r="N183" s="10" t="s">
        <v>670</v>
      </c>
      <c r="O183" s="8"/>
      <c r="P183" s="1"/>
    </row>
    <row r="184" spans="1:16" ht="28.5" customHeight="1">
      <c r="A184" s="10">
        <v>1</v>
      </c>
      <c r="B184" s="33" t="s">
        <v>375</v>
      </c>
      <c r="C184" s="41" t="s">
        <v>28</v>
      </c>
      <c r="D184" s="41" t="s">
        <v>671</v>
      </c>
      <c r="E184" s="41" t="s">
        <v>182</v>
      </c>
      <c r="F184" s="41" t="s">
        <v>672</v>
      </c>
      <c r="G184" s="41" t="s">
        <v>507</v>
      </c>
      <c r="H184" s="8" t="s">
        <v>67</v>
      </c>
      <c r="I184" s="70" t="s">
        <v>489</v>
      </c>
      <c r="J184" s="70"/>
      <c r="K184" s="70" t="s">
        <v>97</v>
      </c>
      <c r="L184" s="41" t="s">
        <v>34</v>
      </c>
      <c r="M184" s="41" t="s">
        <v>61</v>
      </c>
      <c r="N184" s="10" t="s">
        <v>673</v>
      </c>
      <c r="O184" s="8"/>
      <c r="P184" s="1"/>
    </row>
    <row r="185" spans="1:16" ht="28.5" customHeight="1">
      <c r="A185" s="10">
        <v>1</v>
      </c>
      <c r="B185" s="33" t="s">
        <v>489</v>
      </c>
      <c r="C185" s="41" t="s">
        <v>93</v>
      </c>
      <c r="D185" s="41" t="s">
        <v>674</v>
      </c>
      <c r="E185" s="41" t="s">
        <v>39</v>
      </c>
      <c r="F185" s="41">
        <v>51997001124</v>
      </c>
      <c r="G185" s="41" t="s">
        <v>313</v>
      </c>
      <c r="H185" s="8" t="s">
        <v>33</v>
      </c>
      <c r="I185" s="70"/>
      <c r="J185" s="70"/>
      <c r="K185" s="70" t="s">
        <v>568</v>
      </c>
      <c r="L185" s="41" t="s">
        <v>55</v>
      </c>
      <c r="M185" s="41"/>
      <c r="N185" s="10" t="s">
        <v>675</v>
      </c>
      <c r="O185" s="8"/>
      <c r="P185" s="1"/>
    </row>
    <row r="186" spans="1:16" ht="28.5" customHeight="1">
      <c r="A186" s="10">
        <v>1</v>
      </c>
      <c r="B186" s="33" t="s">
        <v>489</v>
      </c>
      <c r="C186" s="41" t="s">
        <v>93</v>
      </c>
      <c r="D186" s="41" t="s">
        <v>676</v>
      </c>
      <c r="E186" s="41" t="s">
        <v>39</v>
      </c>
      <c r="F186" s="41">
        <v>51989351311</v>
      </c>
      <c r="G186" s="41" t="s">
        <v>41</v>
      </c>
      <c r="H186" s="8" t="s">
        <v>33</v>
      </c>
      <c r="I186" s="70"/>
      <c r="J186" s="70"/>
      <c r="K186" s="70" t="s">
        <v>101</v>
      </c>
      <c r="L186" s="41" t="s">
        <v>55</v>
      </c>
      <c r="M186" s="41"/>
      <c r="N186" s="10" t="s">
        <v>102</v>
      </c>
      <c r="O186" s="8"/>
      <c r="P186" s="1"/>
    </row>
    <row r="187" spans="1:16" ht="28.5" customHeight="1">
      <c r="A187" s="10">
        <v>1</v>
      </c>
      <c r="B187" s="33" t="s">
        <v>489</v>
      </c>
      <c r="C187" s="41" t="s">
        <v>28</v>
      </c>
      <c r="D187" s="41" t="s">
        <v>677</v>
      </c>
      <c r="E187" s="41" t="s">
        <v>678</v>
      </c>
      <c r="F187" s="41">
        <v>51997388047</v>
      </c>
      <c r="G187" s="41" t="s">
        <v>66</v>
      </c>
      <c r="H187" s="8" t="s">
        <v>67</v>
      </c>
      <c r="I187" s="70" t="s">
        <v>591</v>
      </c>
      <c r="J187" s="70"/>
      <c r="K187" s="70" t="s">
        <v>97</v>
      </c>
      <c r="L187" s="41" t="s">
        <v>55</v>
      </c>
      <c r="M187" s="41" t="s">
        <v>35</v>
      </c>
      <c r="N187" s="10" t="s">
        <v>601</v>
      </c>
      <c r="O187" s="8"/>
      <c r="P187" s="1"/>
    </row>
    <row r="188" spans="1:16" ht="28.5" customHeight="1">
      <c r="A188" s="10">
        <v>1</v>
      </c>
      <c r="B188" s="33" t="s">
        <v>489</v>
      </c>
      <c r="C188" s="41" t="s">
        <v>28</v>
      </c>
      <c r="D188" s="41" t="s">
        <v>679</v>
      </c>
      <c r="E188" s="41" t="s">
        <v>285</v>
      </c>
      <c r="F188" s="41" t="s">
        <v>680</v>
      </c>
      <c r="G188" s="41" t="s">
        <v>66</v>
      </c>
      <c r="H188" s="8" t="s">
        <v>67</v>
      </c>
      <c r="I188" s="70" t="s">
        <v>591</v>
      </c>
      <c r="J188" s="70"/>
      <c r="K188" s="70" t="s">
        <v>250</v>
      </c>
      <c r="L188" s="41" t="s">
        <v>49</v>
      </c>
      <c r="M188" s="41" t="s">
        <v>128</v>
      </c>
      <c r="N188" s="10" t="s">
        <v>681</v>
      </c>
      <c r="O188" s="8"/>
      <c r="P188" s="1"/>
    </row>
    <row r="189" spans="1:16" ht="28.5" customHeight="1">
      <c r="A189" s="10">
        <v>1</v>
      </c>
      <c r="B189" s="33" t="s">
        <v>489</v>
      </c>
      <c r="C189" s="41" t="s">
        <v>93</v>
      </c>
      <c r="D189" s="41" t="s">
        <v>682</v>
      </c>
      <c r="E189" s="41" t="s">
        <v>334</v>
      </c>
      <c r="F189" s="41" t="s">
        <v>683</v>
      </c>
      <c r="G189" s="41" t="s">
        <v>66</v>
      </c>
      <c r="H189" s="8" t="s">
        <v>67</v>
      </c>
      <c r="I189" s="70"/>
      <c r="J189" s="70"/>
      <c r="K189" s="70" t="s">
        <v>97</v>
      </c>
      <c r="L189" s="41" t="s">
        <v>49</v>
      </c>
      <c r="M189" s="41"/>
      <c r="N189" s="10" t="s">
        <v>684</v>
      </c>
      <c r="O189" s="8"/>
      <c r="P189" s="1"/>
    </row>
    <row r="190" spans="1:16" ht="28.5" customHeight="1">
      <c r="A190" s="10">
        <v>1</v>
      </c>
      <c r="B190" s="33" t="s">
        <v>489</v>
      </c>
      <c r="C190" s="41" t="s">
        <v>93</v>
      </c>
      <c r="D190" s="41" t="s">
        <v>685</v>
      </c>
      <c r="E190" s="41" t="s">
        <v>686</v>
      </c>
      <c r="F190" s="41">
        <v>51981598225</v>
      </c>
      <c r="G190" s="41" t="s">
        <v>91</v>
      </c>
      <c r="H190" s="8" t="s">
        <v>67</v>
      </c>
      <c r="I190" s="70"/>
      <c r="J190" s="70"/>
      <c r="K190" s="70" t="s">
        <v>97</v>
      </c>
      <c r="L190" s="41" t="s">
        <v>55</v>
      </c>
      <c r="M190" s="41"/>
      <c r="N190" s="10" t="s">
        <v>687</v>
      </c>
      <c r="O190" s="8"/>
      <c r="P190" s="1"/>
    </row>
    <row r="191" spans="1:16" ht="28.5" customHeight="1">
      <c r="A191" s="10">
        <v>1</v>
      </c>
      <c r="B191" s="33" t="s">
        <v>489</v>
      </c>
      <c r="C191" s="41" t="s">
        <v>28</v>
      </c>
      <c r="D191" s="41" t="s">
        <v>688</v>
      </c>
      <c r="E191" s="41" t="s">
        <v>108</v>
      </c>
      <c r="F191" s="41">
        <v>51981890583</v>
      </c>
      <c r="G191" s="41" t="s">
        <v>66</v>
      </c>
      <c r="H191" s="8" t="s">
        <v>67</v>
      </c>
      <c r="I191" s="70" t="s">
        <v>591</v>
      </c>
      <c r="J191" s="70"/>
      <c r="K191" s="70" t="s">
        <v>250</v>
      </c>
      <c r="L191" s="41" t="s">
        <v>55</v>
      </c>
      <c r="M191" s="41" t="s">
        <v>61</v>
      </c>
      <c r="N191" s="10" t="s">
        <v>689</v>
      </c>
      <c r="O191" s="8"/>
      <c r="P191" s="1"/>
    </row>
    <row r="192" spans="1:16" ht="28.5" customHeight="1">
      <c r="A192" s="10">
        <v>1</v>
      </c>
      <c r="B192" s="33" t="s">
        <v>489</v>
      </c>
      <c r="C192" s="41" t="s">
        <v>28</v>
      </c>
      <c r="D192" s="41" t="s">
        <v>690</v>
      </c>
      <c r="E192" s="41" t="s">
        <v>285</v>
      </c>
      <c r="F192" s="41" t="s">
        <v>691</v>
      </c>
      <c r="G192" s="41" t="s">
        <v>66</v>
      </c>
      <c r="H192" s="8" t="s">
        <v>67</v>
      </c>
      <c r="I192" s="70" t="s">
        <v>74</v>
      </c>
      <c r="J192" s="70"/>
      <c r="K192" s="70" t="s">
        <v>97</v>
      </c>
      <c r="L192" s="41" t="s">
        <v>49</v>
      </c>
      <c r="M192" s="41" t="s">
        <v>80</v>
      </c>
      <c r="N192" s="10" t="s">
        <v>692</v>
      </c>
      <c r="O192" s="8"/>
      <c r="P192" s="1"/>
    </row>
    <row r="193" spans="1:16" ht="28.5" customHeight="1">
      <c r="A193" s="10">
        <v>1</v>
      </c>
      <c r="B193" s="33" t="s">
        <v>489</v>
      </c>
      <c r="C193" s="41" t="s">
        <v>28</v>
      </c>
      <c r="D193" s="41" t="s">
        <v>693</v>
      </c>
      <c r="E193" s="41" t="s">
        <v>334</v>
      </c>
      <c r="F193" s="41" t="s">
        <v>694</v>
      </c>
      <c r="G193" s="41" t="s">
        <v>66</v>
      </c>
      <c r="H193" s="8" t="s">
        <v>67</v>
      </c>
      <c r="I193" s="70" t="s">
        <v>591</v>
      </c>
      <c r="J193" s="70"/>
      <c r="K193" s="70" t="s">
        <v>142</v>
      </c>
      <c r="L193" s="41" t="s">
        <v>49</v>
      </c>
      <c r="M193" s="41" t="s">
        <v>80</v>
      </c>
      <c r="N193" s="10" t="s">
        <v>695</v>
      </c>
      <c r="O193" s="8"/>
      <c r="P193" s="1"/>
    </row>
    <row r="194" spans="1:16" ht="28.5" customHeight="1">
      <c r="A194" s="10">
        <v>1</v>
      </c>
      <c r="B194" s="33" t="s">
        <v>489</v>
      </c>
      <c r="C194" s="41" t="s">
        <v>28</v>
      </c>
      <c r="D194" s="41" t="s">
        <v>696</v>
      </c>
      <c r="E194" s="41" t="s">
        <v>697</v>
      </c>
      <c r="F194" s="41" t="s">
        <v>698</v>
      </c>
      <c r="G194" s="41" t="s">
        <v>283</v>
      </c>
      <c r="H194" s="8" t="s">
        <v>47</v>
      </c>
      <c r="I194" s="70" t="s">
        <v>699</v>
      </c>
      <c r="J194" s="70"/>
      <c r="K194" s="70" t="s">
        <v>184</v>
      </c>
      <c r="L194" s="41" t="s">
        <v>34</v>
      </c>
      <c r="M194" s="41" t="s">
        <v>35</v>
      </c>
      <c r="N194" s="10" t="s">
        <v>700</v>
      </c>
      <c r="O194" s="8"/>
      <c r="P194" s="1"/>
    </row>
    <row r="195" spans="1:16" ht="28.5" customHeight="1">
      <c r="A195" s="10">
        <v>1</v>
      </c>
      <c r="B195" s="33" t="s">
        <v>489</v>
      </c>
      <c r="C195" s="41" t="s">
        <v>28</v>
      </c>
      <c r="D195" s="41" t="s">
        <v>701</v>
      </c>
      <c r="E195" s="41" t="s">
        <v>182</v>
      </c>
      <c r="F195" s="41">
        <v>51984255663</v>
      </c>
      <c r="G195" s="41" t="s">
        <v>66</v>
      </c>
      <c r="H195" s="8" t="s">
        <v>67</v>
      </c>
      <c r="I195" s="70" t="s">
        <v>386</v>
      </c>
      <c r="J195" s="70"/>
      <c r="K195" s="70" t="s">
        <v>97</v>
      </c>
      <c r="L195" s="41" t="s">
        <v>55</v>
      </c>
      <c r="M195" s="41" t="s">
        <v>56</v>
      </c>
      <c r="N195" s="10" t="s">
        <v>702</v>
      </c>
      <c r="O195" s="8"/>
      <c r="P195" s="1"/>
    </row>
    <row r="196" spans="1:16" ht="28.5" customHeight="1">
      <c r="A196" s="10">
        <v>1</v>
      </c>
      <c r="B196" s="33" t="s">
        <v>489</v>
      </c>
      <c r="C196" s="41" t="s">
        <v>28</v>
      </c>
      <c r="D196" s="41" t="s">
        <v>703</v>
      </c>
      <c r="E196" s="41" t="s">
        <v>292</v>
      </c>
      <c r="F196" s="41">
        <v>51992231923</v>
      </c>
      <c r="G196" s="41" t="s">
        <v>41</v>
      </c>
      <c r="H196" s="8" t="s">
        <v>33</v>
      </c>
      <c r="I196" s="70" t="s">
        <v>54</v>
      </c>
      <c r="J196" s="70"/>
      <c r="K196" s="70" t="s">
        <v>97</v>
      </c>
      <c r="L196" s="41" t="s">
        <v>55</v>
      </c>
      <c r="M196" s="41" t="s">
        <v>128</v>
      </c>
      <c r="N196" s="10" t="s">
        <v>468</v>
      </c>
      <c r="O196" s="8"/>
      <c r="P196" s="1"/>
    </row>
    <row r="197" spans="1:16" ht="28.5" customHeight="1">
      <c r="A197" s="10">
        <v>1</v>
      </c>
      <c r="B197" s="33" t="s">
        <v>489</v>
      </c>
      <c r="C197" s="41" t="s">
        <v>28</v>
      </c>
      <c r="D197" s="41" t="s">
        <v>704</v>
      </c>
      <c r="E197" s="41" t="s">
        <v>705</v>
      </c>
      <c r="F197" s="41" t="s">
        <v>706</v>
      </c>
      <c r="G197" s="41" t="s">
        <v>53</v>
      </c>
      <c r="H197" s="8" t="s">
        <v>33</v>
      </c>
      <c r="I197" s="70" t="s">
        <v>74</v>
      </c>
      <c r="J197" s="70"/>
      <c r="K197" s="70" t="s">
        <v>184</v>
      </c>
      <c r="L197" s="41" t="s">
        <v>49</v>
      </c>
      <c r="M197" s="41" t="s">
        <v>61</v>
      </c>
      <c r="N197" s="10" t="s">
        <v>707</v>
      </c>
      <c r="O197" s="8"/>
      <c r="P197" s="1"/>
    </row>
    <row r="198" spans="1:16" ht="28.5" customHeight="1">
      <c r="A198" s="10">
        <v>1</v>
      </c>
      <c r="B198" s="33" t="s">
        <v>489</v>
      </c>
      <c r="C198" s="41" t="s">
        <v>93</v>
      </c>
      <c r="D198" s="41" t="s">
        <v>708</v>
      </c>
      <c r="E198" s="41" t="s">
        <v>709</v>
      </c>
      <c r="F198" s="41" t="s">
        <v>710</v>
      </c>
      <c r="G198" s="41" t="s">
        <v>711</v>
      </c>
      <c r="H198" s="8" t="s">
        <v>33</v>
      </c>
      <c r="I198" s="70"/>
      <c r="J198" s="70"/>
      <c r="K198" s="70" t="s">
        <v>97</v>
      </c>
      <c r="L198" s="41" t="s">
        <v>34</v>
      </c>
      <c r="M198" s="41"/>
      <c r="N198" s="10" t="s">
        <v>712</v>
      </c>
      <c r="O198" s="8"/>
      <c r="P198" s="1"/>
    </row>
    <row r="199" spans="1:16" ht="28.5" customHeight="1">
      <c r="A199" s="10">
        <v>1</v>
      </c>
      <c r="B199" s="33" t="s">
        <v>489</v>
      </c>
      <c r="C199" s="41" t="s">
        <v>28</v>
      </c>
      <c r="D199" s="41" t="s">
        <v>713</v>
      </c>
      <c r="E199" s="41" t="s">
        <v>127</v>
      </c>
      <c r="F199" s="41" t="s">
        <v>714</v>
      </c>
      <c r="G199" s="41" t="s">
        <v>73</v>
      </c>
      <c r="H199" s="8" t="s">
        <v>215</v>
      </c>
      <c r="I199" s="70" t="s">
        <v>74</v>
      </c>
      <c r="J199" s="70"/>
      <c r="K199" s="70" t="s">
        <v>568</v>
      </c>
      <c r="L199" s="41" t="s">
        <v>34</v>
      </c>
      <c r="M199" s="41" t="s">
        <v>61</v>
      </c>
      <c r="N199" s="10" t="s">
        <v>715</v>
      </c>
      <c r="O199" s="8"/>
      <c r="P199" s="1"/>
    </row>
    <row r="200" spans="1:16" ht="28.5" customHeight="1">
      <c r="A200" s="10">
        <v>1</v>
      </c>
      <c r="B200" s="33" t="s">
        <v>489</v>
      </c>
      <c r="C200" s="41" t="s">
        <v>28</v>
      </c>
      <c r="D200" s="41" t="s">
        <v>716</v>
      </c>
      <c r="E200" s="41" t="s">
        <v>182</v>
      </c>
      <c r="F200" s="41">
        <v>51984378025</v>
      </c>
      <c r="G200" s="41" t="s">
        <v>66</v>
      </c>
      <c r="H200" s="8" t="s">
        <v>67</v>
      </c>
      <c r="I200" s="70" t="s">
        <v>386</v>
      </c>
      <c r="J200" s="70"/>
      <c r="K200" s="70" t="s">
        <v>97</v>
      </c>
      <c r="L200" s="41" t="s">
        <v>55</v>
      </c>
      <c r="M200" s="41" t="s">
        <v>128</v>
      </c>
      <c r="N200" s="10"/>
      <c r="O200" s="8"/>
      <c r="P200" s="1"/>
    </row>
    <row r="201" spans="1:16" ht="28.5" customHeight="1">
      <c r="A201" s="10">
        <v>1</v>
      </c>
      <c r="B201" s="33" t="s">
        <v>489</v>
      </c>
      <c r="C201" s="41" t="s">
        <v>93</v>
      </c>
      <c r="D201" s="41" t="s">
        <v>717</v>
      </c>
      <c r="E201" s="41" t="s">
        <v>611</v>
      </c>
      <c r="F201" s="41" t="s">
        <v>718</v>
      </c>
      <c r="G201" s="41" t="s">
        <v>66</v>
      </c>
      <c r="H201" s="8" t="s">
        <v>67</v>
      </c>
      <c r="I201" s="70"/>
      <c r="J201" s="70"/>
      <c r="K201" s="70" t="s">
        <v>250</v>
      </c>
      <c r="L201" s="41" t="s">
        <v>49</v>
      </c>
      <c r="M201" s="41"/>
      <c r="N201" s="10" t="s">
        <v>719</v>
      </c>
      <c r="O201" s="8"/>
      <c r="P201" s="1"/>
    </row>
    <row r="202" spans="1:16" ht="28.5" customHeight="1">
      <c r="A202" s="10">
        <v>1</v>
      </c>
      <c r="B202" s="33" t="s">
        <v>489</v>
      </c>
      <c r="C202" s="41" t="s">
        <v>93</v>
      </c>
      <c r="D202" s="41" t="s">
        <v>720</v>
      </c>
      <c r="E202" s="41" t="s">
        <v>536</v>
      </c>
      <c r="F202" s="41" t="s">
        <v>721</v>
      </c>
      <c r="G202" s="41" t="s">
        <v>91</v>
      </c>
      <c r="H202" s="8" t="s">
        <v>67</v>
      </c>
      <c r="I202" s="70"/>
      <c r="J202" s="70"/>
      <c r="K202" s="70" t="s">
        <v>722</v>
      </c>
      <c r="L202" s="41" t="s">
        <v>49</v>
      </c>
      <c r="M202" s="41"/>
      <c r="N202" s="10" t="s">
        <v>723</v>
      </c>
      <c r="O202" s="8"/>
      <c r="P202" s="1"/>
    </row>
    <row r="203" spans="1:16" ht="28.5" customHeight="1">
      <c r="A203" s="10">
        <v>1</v>
      </c>
      <c r="B203" s="33" t="s">
        <v>489</v>
      </c>
      <c r="C203" s="41" t="s">
        <v>93</v>
      </c>
      <c r="D203" s="41" t="s">
        <v>724</v>
      </c>
      <c r="E203" s="41" t="s">
        <v>315</v>
      </c>
      <c r="F203" s="41" t="s">
        <v>725</v>
      </c>
      <c r="G203" s="41" t="s">
        <v>420</v>
      </c>
      <c r="H203" s="8" t="s">
        <v>67</v>
      </c>
      <c r="I203" s="70"/>
      <c r="J203" s="70"/>
      <c r="K203" s="70" t="s">
        <v>568</v>
      </c>
      <c r="L203" s="41" t="s">
        <v>55</v>
      </c>
      <c r="M203" s="41"/>
      <c r="N203" s="10" t="s">
        <v>726</v>
      </c>
      <c r="O203" s="8"/>
      <c r="P203" s="1"/>
    </row>
    <row r="204" spans="1:16" ht="28.5" customHeight="1">
      <c r="A204" s="10">
        <v>1</v>
      </c>
      <c r="B204" s="33" t="s">
        <v>489</v>
      </c>
      <c r="C204" s="41" t="s">
        <v>28</v>
      </c>
      <c r="D204" s="41" t="s">
        <v>727</v>
      </c>
      <c r="E204" s="41" t="s">
        <v>404</v>
      </c>
      <c r="F204" s="41">
        <v>51999747013</v>
      </c>
      <c r="G204" s="41" t="s">
        <v>243</v>
      </c>
      <c r="H204" s="8" t="s">
        <v>33</v>
      </c>
      <c r="I204" s="70" t="s">
        <v>54</v>
      </c>
      <c r="J204" s="70"/>
      <c r="K204" s="70" t="s">
        <v>97</v>
      </c>
      <c r="L204" s="41" t="s">
        <v>55</v>
      </c>
      <c r="M204" s="41" t="s">
        <v>61</v>
      </c>
      <c r="N204" s="10" t="s">
        <v>358</v>
      </c>
      <c r="O204" s="8"/>
      <c r="P204" s="1"/>
    </row>
    <row r="205" spans="1:16" ht="28.5" customHeight="1">
      <c r="A205" s="10">
        <v>1</v>
      </c>
      <c r="B205" s="33" t="s">
        <v>489</v>
      </c>
      <c r="C205" s="41" t="s">
        <v>28</v>
      </c>
      <c r="D205" s="41" t="s">
        <v>728</v>
      </c>
      <c r="E205" s="41" t="s">
        <v>653</v>
      </c>
      <c r="F205" s="41" t="s">
        <v>729</v>
      </c>
      <c r="G205" s="41" t="s">
        <v>730</v>
      </c>
      <c r="H205" s="8" t="s">
        <v>33</v>
      </c>
      <c r="I205" s="70" t="s">
        <v>425</v>
      </c>
      <c r="J205" s="70"/>
      <c r="K205" s="70" t="s">
        <v>184</v>
      </c>
      <c r="L205" s="41" t="s">
        <v>49</v>
      </c>
      <c r="M205" s="41" t="s">
        <v>61</v>
      </c>
      <c r="N205" s="10" t="s">
        <v>731</v>
      </c>
      <c r="O205" s="8"/>
      <c r="P205" s="1"/>
    </row>
    <row r="206" spans="1:16" ht="28.5" customHeight="1">
      <c r="A206" s="10">
        <v>1</v>
      </c>
      <c r="B206" s="33" t="s">
        <v>489</v>
      </c>
      <c r="C206" s="41" t="s">
        <v>28</v>
      </c>
      <c r="D206" s="41" t="s">
        <v>556</v>
      </c>
      <c r="E206" s="41" t="s">
        <v>732</v>
      </c>
      <c r="F206" s="41">
        <v>51999022007</v>
      </c>
      <c r="G206" s="41" t="s">
        <v>85</v>
      </c>
      <c r="H206" s="8" t="s">
        <v>33</v>
      </c>
      <c r="I206" s="70" t="s">
        <v>633</v>
      </c>
      <c r="J206" s="70"/>
      <c r="K206" s="70" t="s">
        <v>154</v>
      </c>
      <c r="L206" s="41" t="s">
        <v>55</v>
      </c>
      <c r="M206" s="41" t="s">
        <v>61</v>
      </c>
      <c r="N206" s="10" t="s">
        <v>733</v>
      </c>
      <c r="O206" s="8"/>
      <c r="P206" s="1"/>
    </row>
    <row r="207" spans="1:16" ht="28.5" customHeight="1">
      <c r="A207" s="10">
        <v>1</v>
      </c>
      <c r="B207" s="33" t="s">
        <v>489</v>
      </c>
      <c r="C207" s="41" t="s">
        <v>28</v>
      </c>
      <c r="D207" s="41" t="s">
        <v>635</v>
      </c>
      <c r="E207" s="41" t="s">
        <v>619</v>
      </c>
      <c r="F207" s="41" t="s">
        <v>636</v>
      </c>
      <c r="G207" s="41" t="s">
        <v>66</v>
      </c>
      <c r="H207" s="8" t="s">
        <v>67</v>
      </c>
      <c r="I207" s="70" t="s">
        <v>86</v>
      </c>
      <c r="J207" s="70"/>
      <c r="K207" s="70" t="s">
        <v>97</v>
      </c>
      <c r="L207" s="41" t="s">
        <v>49</v>
      </c>
      <c r="M207" s="41" t="s">
        <v>61</v>
      </c>
      <c r="N207" s="10" t="s">
        <v>637</v>
      </c>
      <c r="O207" s="8"/>
      <c r="P207" s="1"/>
    </row>
    <row r="208" spans="1:16" ht="28.5" customHeight="1">
      <c r="A208" s="10">
        <v>1</v>
      </c>
      <c r="B208" s="33" t="s">
        <v>489</v>
      </c>
      <c r="C208" s="41" t="s">
        <v>93</v>
      </c>
      <c r="D208" s="41" t="s">
        <v>734</v>
      </c>
      <c r="E208" s="41" t="s">
        <v>363</v>
      </c>
      <c r="F208" s="41">
        <v>51994730441</v>
      </c>
      <c r="G208" s="41" t="s">
        <v>66</v>
      </c>
      <c r="H208" s="8" t="s">
        <v>67</v>
      </c>
      <c r="I208" s="70"/>
      <c r="J208" s="70"/>
      <c r="K208" s="70" t="s">
        <v>97</v>
      </c>
      <c r="L208" s="41" t="s">
        <v>55</v>
      </c>
      <c r="M208" s="41"/>
      <c r="N208" s="10" t="s">
        <v>735</v>
      </c>
      <c r="O208" s="8"/>
      <c r="P208" s="1"/>
    </row>
    <row r="209" spans="1:16" ht="28.5" customHeight="1">
      <c r="A209" s="10">
        <v>1</v>
      </c>
      <c r="B209" s="33" t="s">
        <v>489</v>
      </c>
      <c r="C209" s="41" t="s">
        <v>93</v>
      </c>
      <c r="D209" s="41" t="s">
        <v>736</v>
      </c>
      <c r="E209" s="41" t="s">
        <v>438</v>
      </c>
      <c r="F209" s="41" t="s">
        <v>737</v>
      </c>
      <c r="G209" s="41" t="s">
        <v>91</v>
      </c>
      <c r="H209" s="8" t="s">
        <v>67</v>
      </c>
      <c r="I209" s="70"/>
      <c r="J209" s="70"/>
      <c r="K209" s="70" t="s">
        <v>250</v>
      </c>
      <c r="L209" s="41" t="s">
        <v>49</v>
      </c>
      <c r="M209" s="41"/>
      <c r="N209" s="10" t="s">
        <v>738</v>
      </c>
      <c r="O209" s="8"/>
      <c r="P209" s="1"/>
    </row>
    <row r="210" spans="1:16" ht="28.5" customHeight="1">
      <c r="A210" s="10">
        <v>1</v>
      </c>
      <c r="B210" s="33" t="s">
        <v>489</v>
      </c>
      <c r="C210" s="41" t="s">
        <v>93</v>
      </c>
      <c r="D210" s="41" t="s">
        <v>739</v>
      </c>
      <c r="E210" s="41" t="s">
        <v>740</v>
      </c>
      <c r="F210" s="41">
        <v>51986866256</v>
      </c>
      <c r="G210" s="41" t="s">
        <v>91</v>
      </c>
      <c r="H210" s="8" t="s">
        <v>67</v>
      </c>
      <c r="I210" s="70"/>
      <c r="J210" s="70"/>
      <c r="K210" s="70" t="s">
        <v>97</v>
      </c>
      <c r="L210" s="41" t="s">
        <v>55</v>
      </c>
      <c r="M210" s="41"/>
      <c r="N210" s="10" t="s">
        <v>741</v>
      </c>
      <c r="O210" s="8"/>
      <c r="P210" s="1"/>
    </row>
    <row r="211" spans="1:16" ht="28.5" customHeight="1">
      <c r="A211" s="10">
        <v>1</v>
      </c>
      <c r="B211" s="33" t="s">
        <v>489</v>
      </c>
      <c r="C211" s="41" t="s">
        <v>93</v>
      </c>
      <c r="D211" s="41" t="s">
        <v>742</v>
      </c>
      <c r="E211" s="41" t="s">
        <v>438</v>
      </c>
      <c r="F211" s="41" t="s">
        <v>743</v>
      </c>
      <c r="G211" s="41" t="s">
        <v>501</v>
      </c>
      <c r="H211" s="8" t="s">
        <v>67</v>
      </c>
      <c r="I211" s="70"/>
      <c r="J211" s="70"/>
      <c r="K211" s="70" t="s">
        <v>250</v>
      </c>
      <c r="L211" s="41" t="s">
        <v>34</v>
      </c>
      <c r="M211" s="41"/>
      <c r="N211" s="10" t="s">
        <v>744</v>
      </c>
      <c r="O211" s="8"/>
      <c r="P211" s="1"/>
    </row>
    <row r="212" spans="1:16" ht="28.5" customHeight="1">
      <c r="A212" s="10">
        <v>1</v>
      </c>
      <c r="B212" s="33" t="s">
        <v>489</v>
      </c>
      <c r="C212" s="41" t="s">
        <v>93</v>
      </c>
      <c r="D212" s="41" t="s">
        <v>745</v>
      </c>
      <c r="E212" s="41" t="s">
        <v>615</v>
      </c>
      <c r="F212" s="41" t="s">
        <v>746</v>
      </c>
      <c r="G212" s="41" t="s">
        <v>66</v>
      </c>
      <c r="H212" s="8" t="s">
        <v>67</v>
      </c>
      <c r="I212" s="70"/>
      <c r="J212" s="70"/>
      <c r="K212" s="70" t="s">
        <v>250</v>
      </c>
      <c r="L212" s="41" t="s">
        <v>49</v>
      </c>
      <c r="M212" s="41"/>
      <c r="N212" s="10" t="s">
        <v>747</v>
      </c>
      <c r="O212" s="8"/>
      <c r="P212" s="1"/>
    </row>
    <row r="213" spans="1:16" ht="28.5" customHeight="1">
      <c r="A213" s="10">
        <v>1</v>
      </c>
      <c r="B213" s="33" t="s">
        <v>489</v>
      </c>
      <c r="C213" s="41" t="s">
        <v>93</v>
      </c>
      <c r="D213" s="41" t="s">
        <v>748</v>
      </c>
      <c r="E213" s="41" t="s">
        <v>145</v>
      </c>
      <c r="F213" s="41" t="s">
        <v>749</v>
      </c>
      <c r="G213" s="41" t="s">
        <v>750</v>
      </c>
      <c r="H213" s="8" t="s">
        <v>47</v>
      </c>
      <c r="I213" s="70"/>
      <c r="J213" s="70"/>
      <c r="K213" s="70" t="s">
        <v>184</v>
      </c>
      <c r="L213" s="41" t="s">
        <v>34</v>
      </c>
      <c r="M213" s="41"/>
      <c r="N213" s="10" t="s">
        <v>751</v>
      </c>
      <c r="O213" s="8"/>
      <c r="P213" s="1"/>
    </row>
    <row r="214" spans="1:16" ht="28.5" customHeight="1">
      <c r="A214" s="10">
        <v>1</v>
      </c>
      <c r="B214" s="33" t="s">
        <v>489</v>
      </c>
      <c r="C214" s="41" t="s">
        <v>93</v>
      </c>
      <c r="D214" s="41" t="s">
        <v>752</v>
      </c>
      <c r="E214" s="41" t="s">
        <v>108</v>
      </c>
      <c r="F214" s="41">
        <v>51994381513</v>
      </c>
      <c r="G214" s="41" t="s">
        <v>66</v>
      </c>
      <c r="H214" s="8" t="s">
        <v>67</v>
      </c>
      <c r="I214" s="70"/>
      <c r="J214" s="70"/>
      <c r="K214" s="70" t="s">
        <v>97</v>
      </c>
      <c r="L214" s="41" t="s">
        <v>55</v>
      </c>
      <c r="M214" s="41"/>
      <c r="N214" s="10" t="s">
        <v>753</v>
      </c>
      <c r="O214" s="8"/>
      <c r="P214" s="1"/>
    </row>
    <row r="215" spans="1:16" ht="28.5" customHeight="1">
      <c r="A215" s="10">
        <v>1</v>
      </c>
      <c r="B215" s="33" t="s">
        <v>489</v>
      </c>
      <c r="C215" s="41" t="s">
        <v>93</v>
      </c>
      <c r="D215" s="41" t="s">
        <v>754</v>
      </c>
      <c r="E215" s="41" t="s">
        <v>169</v>
      </c>
      <c r="F215" s="41" t="s">
        <v>755</v>
      </c>
      <c r="G215" s="41" t="s">
        <v>756</v>
      </c>
      <c r="H215" s="8" t="s">
        <v>67</v>
      </c>
      <c r="I215" s="70"/>
      <c r="J215" s="70"/>
      <c r="K215" s="70" t="s">
        <v>97</v>
      </c>
      <c r="L215" s="41" t="s">
        <v>34</v>
      </c>
      <c r="M215" s="41"/>
      <c r="N215" s="10" t="s">
        <v>757</v>
      </c>
      <c r="O215" s="8"/>
      <c r="P215" s="1"/>
    </row>
    <row r="216" spans="1:16" ht="28.5" customHeight="1">
      <c r="A216" s="10">
        <v>1</v>
      </c>
      <c r="B216" s="33" t="s">
        <v>489</v>
      </c>
      <c r="C216" s="41" t="s">
        <v>28</v>
      </c>
      <c r="D216" s="41" t="s">
        <v>758</v>
      </c>
      <c r="E216" s="41" t="s">
        <v>759</v>
      </c>
      <c r="F216" s="41" t="s">
        <v>760</v>
      </c>
      <c r="G216" s="41" t="s">
        <v>761</v>
      </c>
      <c r="H216" s="8" t="s">
        <v>215</v>
      </c>
      <c r="I216" s="70" t="s">
        <v>588</v>
      </c>
      <c r="J216" s="70"/>
      <c r="K216" s="70" t="s">
        <v>154</v>
      </c>
      <c r="L216" s="41" t="s">
        <v>34</v>
      </c>
      <c r="M216" s="41" t="s">
        <v>61</v>
      </c>
      <c r="N216" s="10" t="s">
        <v>762</v>
      </c>
      <c r="O216" s="8"/>
      <c r="P216" s="1"/>
    </row>
    <row r="217" spans="1:16" ht="28.5" customHeight="1">
      <c r="A217" s="10">
        <v>1</v>
      </c>
      <c r="B217" s="33" t="s">
        <v>489</v>
      </c>
      <c r="C217" s="41" t="s">
        <v>28</v>
      </c>
      <c r="D217" s="41" t="s">
        <v>763</v>
      </c>
      <c r="E217" s="41" t="s">
        <v>764</v>
      </c>
      <c r="F217" s="41" t="s">
        <v>765</v>
      </c>
      <c r="G217" s="41" t="s">
        <v>238</v>
      </c>
      <c r="H217" s="8" t="s">
        <v>249</v>
      </c>
      <c r="I217" s="70"/>
      <c r="J217" s="70"/>
      <c r="K217" s="70" t="s">
        <v>97</v>
      </c>
      <c r="L217" s="41" t="s">
        <v>34</v>
      </c>
      <c r="M217" s="41" t="s">
        <v>128</v>
      </c>
      <c r="N217" s="10" t="s">
        <v>766</v>
      </c>
      <c r="O217" s="8"/>
      <c r="P217" s="1"/>
    </row>
    <row r="218" spans="1:16" ht="28.5" customHeight="1">
      <c r="A218" s="10">
        <v>1</v>
      </c>
      <c r="B218" s="33" t="s">
        <v>489</v>
      </c>
      <c r="C218" s="41" t="s">
        <v>28</v>
      </c>
      <c r="D218" s="41" t="s">
        <v>767</v>
      </c>
      <c r="E218" s="41" t="s">
        <v>161</v>
      </c>
      <c r="F218" s="41" t="s">
        <v>768</v>
      </c>
      <c r="G218" s="41" t="s">
        <v>66</v>
      </c>
      <c r="H218" s="8" t="s">
        <v>206</v>
      </c>
      <c r="I218" s="70" t="s">
        <v>591</v>
      </c>
      <c r="J218" s="70"/>
      <c r="K218" s="70" t="s">
        <v>97</v>
      </c>
      <c r="L218" s="41" t="s">
        <v>769</v>
      </c>
      <c r="M218" s="41" t="s">
        <v>128</v>
      </c>
      <c r="N218" s="10" t="s">
        <v>766</v>
      </c>
      <c r="O218" s="8"/>
      <c r="P218" s="1"/>
    </row>
    <row r="219" spans="1:16" ht="28.5" customHeight="1">
      <c r="A219" s="10">
        <v>1</v>
      </c>
      <c r="B219" s="33" t="s">
        <v>591</v>
      </c>
      <c r="C219" s="41" t="s">
        <v>93</v>
      </c>
      <c r="D219" s="41" t="s">
        <v>770</v>
      </c>
      <c r="E219" s="41" t="s">
        <v>454</v>
      </c>
      <c r="F219" s="41" t="s">
        <v>771</v>
      </c>
      <c r="G219" s="41" t="s">
        <v>66</v>
      </c>
      <c r="H219" s="8" t="s">
        <v>206</v>
      </c>
      <c r="I219" s="70"/>
      <c r="J219" s="70"/>
      <c r="K219" s="70" t="s">
        <v>250</v>
      </c>
      <c r="L219" s="41" t="s">
        <v>49</v>
      </c>
      <c r="M219" s="41"/>
      <c r="N219" s="10" t="s">
        <v>772</v>
      </c>
      <c r="O219" s="8"/>
      <c r="P219" s="1"/>
    </row>
    <row r="220" spans="1:16" ht="28.5" customHeight="1">
      <c r="A220" s="10">
        <v>1</v>
      </c>
      <c r="B220" s="33" t="s">
        <v>591</v>
      </c>
      <c r="C220" s="41" t="s">
        <v>28</v>
      </c>
      <c r="D220" s="41" t="s">
        <v>773</v>
      </c>
      <c r="E220" s="41" t="s">
        <v>774</v>
      </c>
      <c r="F220" s="41">
        <v>51996948000</v>
      </c>
      <c r="G220" s="41" t="s">
        <v>66</v>
      </c>
      <c r="H220" s="8" t="s">
        <v>67</v>
      </c>
      <c r="I220" s="70" t="s">
        <v>74</v>
      </c>
      <c r="J220" s="70"/>
      <c r="K220" s="70" t="s">
        <v>142</v>
      </c>
      <c r="L220" s="41" t="s">
        <v>55</v>
      </c>
      <c r="M220" s="41" t="s">
        <v>111</v>
      </c>
      <c r="N220" s="10" t="s">
        <v>376</v>
      </c>
      <c r="O220" s="8"/>
      <c r="P220" s="1"/>
    </row>
    <row r="221" spans="1:16" ht="28.5" customHeight="1">
      <c r="A221" s="10">
        <v>1</v>
      </c>
      <c r="B221" s="33" t="s">
        <v>591</v>
      </c>
      <c r="C221" s="41" t="s">
        <v>28</v>
      </c>
      <c r="D221" s="41" t="s">
        <v>775</v>
      </c>
      <c r="E221" s="41" t="s">
        <v>776</v>
      </c>
      <c r="F221" s="41" t="s">
        <v>777</v>
      </c>
      <c r="G221" s="41" t="s">
        <v>53</v>
      </c>
      <c r="H221" s="8" t="s">
        <v>33</v>
      </c>
      <c r="I221" s="70" t="s">
        <v>467</v>
      </c>
      <c r="J221" s="70"/>
      <c r="K221" s="70" t="s">
        <v>97</v>
      </c>
      <c r="L221" s="41" t="s">
        <v>49</v>
      </c>
      <c r="M221" s="41" t="s">
        <v>111</v>
      </c>
      <c r="N221" s="10" t="s">
        <v>778</v>
      </c>
      <c r="O221" s="8"/>
      <c r="P221" s="1"/>
    </row>
    <row r="222" spans="1:16" ht="28.5" customHeight="1">
      <c r="A222" s="10">
        <v>1</v>
      </c>
      <c r="B222" s="33" t="s">
        <v>591</v>
      </c>
      <c r="C222" s="41" t="s">
        <v>93</v>
      </c>
      <c r="D222" s="41" t="s">
        <v>779</v>
      </c>
      <c r="E222" s="41" t="s">
        <v>780</v>
      </c>
      <c r="F222" s="41" t="s">
        <v>781</v>
      </c>
      <c r="G222" s="41" t="s">
        <v>32</v>
      </c>
      <c r="H222" s="8" t="s">
        <v>33</v>
      </c>
      <c r="I222" s="70"/>
      <c r="J222" s="70"/>
      <c r="K222" s="70" t="s">
        <v>179</v>
      </c>
      <c r="L222" s="41" t="s">
        <v>49</v>
      </c>
      <c r="M222" s="41"/>
      <c r="N222" s="10" t="s">
        <v>782</v>
      </c>
      <c r="O222" s="8"/>
      <c r="P222" s="1"/>
    </row>
    <row r="223" spans="1:16" ht="28.5" customHeight="1">
      <c r="A223" s="10">
        <v>1</v>
      </c>
      <c r="B223" s="33" t="s">
        <v>591</v>
      </c>
      <c r="C223" s="41" t="s">
        <v>28</v>
      </c>
      <c r="D223" s="41" t="s">
        <v>783</v>
      </c>
      <c r="E223" s="41" t="s">
        <v>608</v>
      </c>
      <c r="F223" s="41">
        <v>51995886914</v>
      </c>
      <c r="G223" s="41" t="s">
        <v>66</v>
      </c>
      <c r="H223" s="8" t="s">
        <v>67</v>
      </c>
      <c r="I223" s="70" t="s">
        <v>293</v>
      </c>
      <c r="J223" s="70"/>
      <c r="K223" s="70" t="s">
        <v>97</v>
      </c>
      <c r="L223" s="41" t="s">
        <v>55</v>
      </c>
      <c r="M223" s="41" t="s">
        <v>128</v>
      </c>
      <c r="N223" s="10" t="s">
        <v>129</v>
      </c>
      <c r="O223" s="8"/>
      <c r="P223" s="1"/>
    </row>
    <row r="224" spans="1:16" ht="28.5" customHeight="1">
      <c r="A224" s="10">
        <v>1</v>
      </c>
      <c r="B224" s="33" t="s">
        <v>591</v>
      </c>
      <c r="C224" s="41" t="s">
        <v>28</v>
      </c>
      <c r="D224" s="41" t="s">
        <v>784</v>
      </c>
      <c r="E224" s="41" t="s">
        <v>785</v>
      </c>
      <c r="F224" s="41" t="s">
        <v>786</v>
      </c>
      <c r="G224" s="41" t="s">
        <v>66</v>
      </c>
      <c r="H224" s="8" t="s">
        <v>67</v>
      </c>
      <c r="I224" s="70" t="s">
        <v>74</v>
      </c>
      <c r="J224" s="70"/>
      <c r="K224" s="70" t="s">
        <v>97</v>
      </c>
      <c r="L224" s="41" t="s">
        <v>49</v>
      </c>
      <c r="M224" s="41" t="s">
        <v>61</v>
      </c>
      <c r="N224" s="10" t="s">
        <v>787</v>
      </c>
      <c r="O224" s="8"/>
      <c r="P224" s="1"/>
    </row>
    <row r="225" spans="1:16" ht="28.5" customHeight="1">
      <c r="A225" s="10">
        <v>1</v>
      </c>
      <c r="B225" s="33" t="s">
        <v>591</v>
      </c>
      <c r="C225" s="41" t="s">
        <v>93</v>
      </c>
      <c r="D225" s="41" t="s">
        <v>788</v>
      </c>
      <c r="E225" s="41" t="s">
        <v>83</v>
      </c>
      <c r="F225" s="41" t="s">
        <v>789</v>
      </c>
      <c r="G225" s="41" t="s">
        <v>559</v>
      </c>
      <c r="H225" s="8" t="s">
        <v>67</v>
      </c>
      <c r="I225" s="70"/>
      <c r="J225" s="70"/>
      <c r="K225" s="70" t="s">
        <v>101</v>
      </c>
      <c r="L225" s="41" t="s">
        <v>34</v>
      </c>
      <c r="M225" s="41"/>
      <c r="N225" s="10" t="s">
        <v>790</v>
      </c>
      <c r="O225" s="8"/>
      <c r="P225" s="1"/>
    </row>
    <row r="226" spans="1:16" ht="28.5" customHeight="1">
      <c r="A226" s="10">
        <v>1</v>
      </c>
      <c r="B226" s="33" t="s">
        <v>591</v>
      </c>
      <c r="C226" s="41" t="s">
        <v>28</v>
      </c>
      <c r="D226" s="41" t="s">
        <v>791</v>
      </c>
      <c r="E226" s="41" t="s">
        <v>226</v>
      </c>
      <c r="F226" s="41" t="s">
        <v>792</v>
      </c>
      <c r="G226" s="41" t="s">
        <v>91</v>
      </c>
      <c r="H226" s="8" t="s">
        <v>67</v>
      </c>
      <c r="I226" s="70" t="s">
        <v>74</v>
      </c>
      <c r="J226" s="70"/>
      <c r="K226" s="70" t="s">
        <v>250</v>
      </c>
      <c r="L226" s="41" t="s">
        <v>49</v>
      </c>
      <c r="M226" s="41" t="s">
        <v>111</v>
      </c>
      <c r="N226" s="10" t="s">
        <v>793</v>
      </c>
      <c r="O226" s="8"/>
      <c r="P226" s="1"/>
    </row>
    <row r="227" spans="1:16" ht="28.5" customHeight="1">
      <c r="A227" s="10">
        <v>1</v>
      </c>
      <c r="B227" s="33" t="s">
        <v>591</v>
      </c>
      <c r="C227" s="41" t="s">
        <v>93</v>
      </c>
      <c r="D227" s="41" t="s">
        <v>794</v>
      </c>
      <c r="E227" s="41" t="s">
        <v>795</v>
      </c>
      <c r="F227" s="41" t="s">
        <v>796</v>
      </c>
      <c r="G227" s="41" t="s">
        <v>797</v>
      </c>
      <c r="H227" s="8" t="s">
        <v>33</v>
      </c>
      <c r="I227" s="70"/>
      <c r="J227" s="70"/>
      <c r="K227" s="70" t="s">
        <v>798</v>
      </c>
      <c r="L227" s="41" t="s">
        <v>34</v>
      </c>
      <c r="M227" s="41"/>
      <c r="N227" s="10" t="s">
        <v>799</v>
      </c>
      <c r="O227" s="8"/>
      <c r="P227" s="1"/>
    </row>
    <row r="228" spans="1:16" ht="28.5" customHeight="1">
      <c r="A228" s="10">
        <v>1</v>
      </c>
      <c r="B228" s="33" t="s">
        <v>591</v>
      </c>
      <c r="C228" s="41" t="s">
        <v>93</v>
      </c>
      <c r="D228" s="41" t="s">
        <v>800</v>
      </c>
      <c r="E228" s="41" t="s">
        <v>200</v>
      </c>
      <c r="F228" s="41" t="s">
        <v>801</v>
      </c>
      <c r="G228" s="41" t="s">
        <v>66</v>
      </c>
      <c r="H228" s="8" t="s">
        <v>67</v>
      </c>
      <c r="I228" s="70"/>
      <c r="J228" s="70"/>
      <c r="K228" s="70" t="s">
        <v>97</v>
      </c>
      <c r="L228" s="41" t="s">
        <v>49</v>
      </c>
      <c r="M228" s="41"/>
      <c r="N228" s="10" t="s">
        <v>802</v>
      </c>
      <c r="O228" s="8"/>
      <c r="P228" s="1"/>
    </row>
    <row r="229" spans="1:16" ht="28.5" customHeight="1">
      <c r="A229" s="10">
        <v>1</v>
      </c>
      <c r="B229" s="33" t="s">
        <v>591</v>
      </c>
      <c r="C229" s="41" t="s">
        <v>28</v>
      </c>
      <c r="D229" s="41" t="s">
        <v>803</v>
      </c>
      <c r="E229" s="41" t="s">
        <v>150</v>
      </c>
      <c r="F229" s="41" t="s">
        <v>804</v>
      </c>
      <c r="G229" s="41" t="s">
        <v>501</v>
      </c>
      <c r="H229" s="8" t="s">
        <v>67</v>
      </c>
      <c r="I229" s="70"/>
      <c r="J229" s="70"/>
      <c r="K229" s="70" t="s">
        <v>97</v>
      </c>
      <c r="L229" s="41" t="s">
        <v>34</v>
      </c>
      <c r="M229" s="41" t="s">
        <v>61</v>
      </c>
      <c r="N229" s="10" t="s">
        <v>805</v>
      </c>
      <c r="O229" s="8"/>
      <c r="P229" s="1"/>
    </row>
    <row r="230" spans="1:16" ht="28.5" customHeight="1">
      <c r="A230" s="10">
        <v>1</v>
      </c>
      <c r="B230" s="33" t="s">
        <v>591</v>
      </c>
      <c r="C230" s="41" t="s">
        <v>93</v>
      </c>
      <c r="D230" s="41" t="s">
        <v>806</v>
      </c>
      <c r="E230" s="41" t="s">
        <v>108</v>
      </c>
      <c r="F230" s="41">
        <v>51994284662</v>
      </c>
      <c r="G230" s="41" t="s">
        <v>66</v>
      </c>
      <c r="H230" s="8" t="s">
        <v>67</v>
      </c>
      <c r="I230" s="70"/>
      <c r="J230" s="70"/>
      <c r="K230" s="70" t="s">
        <v>250</v>
      </c>
      <c r="L230" s="41" t="s">
        <v>55</v>
      </c>
      <c r="M230" s="41"/>
      <c r="N230" s="10" t="s">
        <v>239</v>
      </c>
      <c r="O230" s="8"/>
      <c r="P230" s="1"/>
    </row>
    <row r="231" spans="1:16" ht="28.5" customHeight="1">
      <c r="A231" s="10">
        <v>1</v>
      </c>
      <c r="B231" s="33" t="s">
        <v>591</v>
      </c>
      <c r="C231" s="41" t="s">
        <v>93</v>
      </c>
      <c r="D231" s="41" t="s">
        <v>807</v>
      </c>
      <c r="E231" s="41" t="s">
        <v>363</v>
      </c>
      <c r="F231" s="41" t="s">
        <v>808</v>
      </c>
      <c r="G231" s="41" t="s">
        <v>809</v>
      </c>
      <c r="H231" s="8" t="s">
        <v>67</v>
      </c>
      <c r="I231" s="70"/>
      <c r="J231" s="70"/>
      <c r="K231" s="70" t="s">
        <v>97</v>
      </c>
      <c r="L231" s="41" t="s">
        <v>55</v>
      </c>
      <c r="M231" s="41"/>
      <c r="N231" s="10" t="s">
        <v>810</v>
      </c>
      <c r="O231" s="8"/>
      <c r="P231" s="1"/>
    </row>
    <row r="232" spans="1:16" ht="28.5" customHeight="1">
      <c r="A232" s="10">
        <v>1</v>
      </c>
      <c r="B232" s="33" t="s">
        <v>591</v>
      </c>
      <c r="C232" s="41" t="s">
        <v>93</v>
      </c>
      <c r="D232" s="41" t="s">
        <v>811</v>
      </c>
      <c r="E232" s="41" t="s">
        <v>812</v>
      </c>
      <c r="F232" s="41" t="s">
        <v>813</v>
      </c>
      <c r="G232" s="41" t="s">
        <v>91</v>
      </c>
      <c r="H232" s="8" t="s">
        <v>67</v>
      </c>
      <c r="I232" s="70"/>
      <c r="J232" s="70"/>
      <c r="K232" s="70" t="s">
        <v>814</v>
      </c>
      <c r="L232" s="41" t="s">
        <v>49</v>
      </c>
      <c r="M232" s="41"/>
      <c r="N232" s="10" t="s">
        <v>815</v>
      </c>
      <c r="O232" s="8"/>
      <c r="P232" s="1"/>
    </row>
    <row r="233" spans="1:16" ht="28.5" customHeight="1">
      <c r="A233" s="10">
        <v>1</v>
      </c>
      <c r="B233" s="33" t="s">
        <v>591</v>
      </c>
      <c r="C233" s="41" t="s">
        <v>28</v>
      </c>
      <c r="D233" s="41" t="s">
        <v>816</v>
      </c>
      <c r="E233" s="41" t="s">
        <v>817</v>
      </c>
      <c r="F233" s="41">
        <v>51980486379</v>
      </c>
      <c r="G233" s="41" t="s">
        <v>41</v>
      </c>
      <c r="H233" s="8" t="s">
        <v>33</v>
      </c>
      <c r="I233" s="70"/>
      <c r="J233" s="70"/>
      <c r="K233" s="70" t="s">
        <v>97</v>
      </c>
      <c r="L233" s="41" t="s">
        <v>55</v>
      </c>
      <c r="M233" s="41" t="s">
        <v>61</v>
      </c>
      <c r="N233" s="10" t="s">
        <v>294</v>
      </c>
      <c r="O233" s="8"/>
      <c r="P233" s="1"/>
    </row>
    <row r="234" spans="1:16" ht="28.5" customHeight="1">
      <c r="A234" s="10">
        <v>1</v>
      </c>
      <c r="B234" s="33" t="s">
        <v>591</v>
      </c>
      <c r="C234" s="41" t="s">
        <v>28</v>
      </c>
      <c r="D234" s="41" t="s">
        <v>818</v>
      </c>
      <c r="E234" s="41" t="s">
        <v>39</v>
      </c>
      <c r="F234" s="41" t="s">
        <v>819</v>
      </c>
      <c r="G234" s="41" t="s">
        <v>41</v>
      </c>
      <c r="H234" s="8" t="s">
        <v>33</v>
      </c>
      <c r="I234" s="70" t="s">
        <v>293</v>
      </c>
      <c r="J234" s="70"/>
      <c r="K234" s="70" t="s">
        <v>568</v>
      </c>
      <c r="L234" s="41" t="s">
        <v>49</v>
      </c>
      <c r="M234" s="41" t="s">
        <v>128</v>
      </c>
      <c r="N234" s="10" t="s">
        <v>820</v>
      </c>
      <c r="O234" s="8"/>
      <c r="P234" s="1"/>
    </row>
    <row r="235" spans="1:16" ht="28.5" customHeight="1">
      <c r="A235" s="10">
        <v>1</v>
      </c>
      <c r="B235" s="33" t="s">
        <v>591</v>
      </c>
      <c r="C235" s="41" t="s">
        <v>28</v>
      </c>
      <c r="D235" s="41" t="s">
        <v>821</v>
      </c>
      <c r="E235" s="41" t="s">
        <v>442</v>
      </c>
      <c r="F235" s="41" t="s">
        <v>822</v>
      </c>
      <c r="G235" s="41" t="s">
        <v>53</v>
      </c>
      <c r="H235" s="8" t="s">
        <v>33</v>
      </c>
      <c r="I235" s="70" t="s">
        <v>467</v>
      </c>
      <c r="J235" s="70"/>
      <c r="K235" s="70" t="s">
        <v>142</v>
      </c>
      <c r="L235" s="41" t="s">
        <v>49</v>
      </c>
      <c r="M235" s="41" t="s">
        <v>61</v>
      </c>
      <c r="N235" s="10" t="s">
        <v>823</v>
      </c>
      <c r="O235" s="8"/>
      <c r="P235" s="1"/>
    </row>
    <row r="236" spans="1:16" ht="28.5" customHeight="1">
      <c r="A236" s="10">
        <v>1</v>
      </c>
      <c r="B236" s="33" t="s">
        <v>591</v>
      </c>
      <c r="C236" s="41" t="s">
        <v>28</v>
      </c>
      <c r="D236" s="41" t="s">
        <v>824</v>
      </c>
      <c r="E236" s="41" t="s">
        <v>200</v>
      </c>
      <c r="F236" s="41" t="s">
        <v>825</v>
      </c>
      <c r="G236" s="41" t="s">
        <v>66</v>
      </c>
      <c r="H236" s="8" t="s">
        <v>67</v>
      </c>
      <c r="I236" s="70" t="s">
        <v>826</v>
      </c>
      <c r="J236" s="70"/>
      <c r="K236" s="70" t="s">
        <v>97</v>
      </c>
      <c r="L236" s="41" t="s">
        <v>49</v>
      </c>
      <c r="M236" s="41" t="s">
        <v>128</v>
      </c>
      <c r="N236" s="10" t="s">
        <v>827</v>
      </c>
      <c r="O236" s="8"/>
      <c r="P236" s="1"/>
    </row>
    <row r="237" spans="1:16" ht="28.5" customHeight="1">
      <c r="A237" s="10">
        <v>1</v>
      </c>
      <c r="B237" s="33" t="s">
        <v>591</v>
      </c>
      <c r="C237" s="41" t="s">
        <v>93</v>
      </c>
      <c r="D237" s="41" t="s">
        <v>828</v>
      </c>
      <c r="E237" s="41" t="s">
        <v>354</v>
      </c>
      <c r="F237" s="41" t="s">
        <v>829</v>
      </c>
      <c r="G237" s="41" t="s">
        <v>79</v>
      </c>
      <c r="H237" s="8" t="s">
        <v>47</v>
      </c>
      <c r="I237" s="70"/>
      <c r="J237" s="70"/>
      <c r="K237" s="70" t="s">
        <v>179</v>
      </c>
      <c r="L237" s="41" t="s">
        <v>49</v>
      </c>
      <c r="M237" s="41"/>
      <c r="N237" s="10" t="s">
        <v>830</v>
      </c>
      <c r="O237" s="8"/>
      <c r="P237" s="1"/>
    </row>
    <row r="238" spans="1:16" ht="28.5" customHeight="1">
      <c r="A238" s="10">
        <v>1</v>
      </c>
      <c r="B238" s="33" t="s">
        <v>591</v>
      </c>
      <c r="C238" s="41" t="s">
        <v>93</v>
      </c>
      <c r="D238" s="41" t="s">
        <v>831</v>
      </c>
      <c r="E238" s="41" t="s">
        <v>145</v>
      </c>
      <c r="F238" s="41" t="s">
        <v>832</v>
      </c>
      <c r="G238" s="41" t="s">
        <v>79</v>
      </c>
      <c r="H238" s="8" t="s">
        <v>47</v>
      </c>
      <c r="I238" s="70"/>
      <c r="J238" s="70"/>
      <c r="K238" s="70" t="s">
        <v>142</v>
      </c>
      <c r="L238" s="41" t="s">
        <v>49</v>
      </c>
      <c r="M238" s="41"/>
      <c r="N238" s="10" t="s">
        <v>833</v>
      </c>
      <c r="O238" s="8"/>
      <c r="P238" s="1"/>
    </row>
    <row r="239" spans="1:16" ht="28.5" customHeight="1">
      <c r="A239" s="10">
        <v>1</v>
      </c>
      <c r="B239" s="33" t="s">
        <v>591</v>
      </c>
      <c r="C239" s="41" t="s">
        <v>93</v>
      </c>
      <c r="D239" s="41" t="s">
        <v>834</v>
      </c>
      <c r="E239" s="41" t="s">
        <v>290</v>
      </c>
      <c r="F239" s="41" t="s">
        <v>835</v>
      </c>
      <c r="G239" s="41" t="s">
        <v>91</v>
      </c>
      <c r="H239" s="8" t="s">
        <v>67</v>
      </c>
      <c r="I239" s="70"/>
      <c r="J239" s="70"/>
      <c r="K239" s="70" t="s">
        <v>97</v>
      </c>
      <c r="L239" s="41" t="s">
        <v>49</v>
      </c>
      <c r="M239" s="41"/>
      <c r="N239" s="10" t="s">
        <v>836</v>
      </c>
      <c r="O239" s="8"/>
      <c r="P239" s="1"/>
    </row>
    <row r="240" spans="1:16" ht="28.5" customHeight="1">
      <c r="A240" s="10">
        <v>1</v>
      </c>
      <c r="B240" s="33" t="s">
        <v>86</v>
      </c>
      <c r="C240" s="41" t="s">
        <v>93</v>
      </c>
      <c r="D240" s="41" t="s">
        <v>837</v>
      </c>
      <c r="E240" s="41" t="s">
        <v>838</v>
      </c>
      <c r="F240" s="41">
        <v>54996845496</v>
      </c>
      <c r="G240" s="41" t="s">
        <v>79</v>
      </c>
      <c r="H240" s="8" t="s">
        <v>47</v>
      </c>
      <c r="I240" s="70"/>
      <c r="J240" s="70"/>
      <c r="K240" s="70" t="s">
        <v>142</v>
      </c>
      <c r="L240" s="41" t="s">
        <v>55</v>
      </c>
      <c r="M240" s="41"/>
      <c r="N240" s="10" t="s">
        <v>839</v>
      </c>
      <c r="O240" s="8"/>
      <c r="P240" s="1"/>
    </row>
    <row r="241" spans="1:16" ht="28.5" customHeight="1">
      <c r="A241" s="10">
        <v>1</v>
      </c>
      <c r="B241" s="33" t="s">
        <v>86</v>
      </c>
      <c r="C241" s="41" t="s">
        <v>93</v>
      </c>
      <c r="D241" s="41" t="s">
        <v>840</v>
      </c>
      <c r="E241" s="41" t="s">
        <v>841</v>
      </c>
      <c r="F241" s="41">
        <v>51981657459</v>
      </c>
      <c r="G241" s="41" t="s">
        <v>91</v>
      </c>
      <c r="H241" s="8" t="s">
        <v>67</v>
      </c>
      <c r="I241" s="70"/>
      <c r="J241" s="70"/>
      <c r="K241" s="70" t="s">
        <v>250</v>
      </c>
      <c r="L241" s="41" t="s">
        <v>55</v>
      </c>
      <c r="M241" s="41"/>
      <c r="N241" s="10" t="s">
        <v>842</v>
      </c>
      <c r="O241" s="8"/>
      <c r="P241" s="1"/>
    </row>
    <row r="242" spans="1:16" ht="28.5" customHeight="1">
      <c r="A242" s="10">
        <v>1</v>
      </c>
      <c r="B242" s="33" t="s">
        <v>86</v>
      </c>
      <c r="C242" s="41" t="s">
        <v>93</v>
      </c>
      <c r="D242" s="41" t="s">
        <v>843</v>
      </c>
      <c r="E242" s="41" t="s">
        <v>844</v>
      </c>
      <c r="F242" s="41">
        <v>51980565691</v>
      </c>
      <c r="G242" s="41" t="s">
        <v>85</v>
      </c>
      <c r="H242" s="8" t="s">
        <v>33</v>
      </c>
      <c r="I242" s="70"/>
      <c r="J242" s="70"/>
      <c r="K242" s="70" t="s">
        <v>184</v>
      </c>
      <c r="L242" s="41" t="s">
        <v>55</v>
      </c>
      <c r="M242" s="41"/>
      <c r="N242" s="10" t="s">
        <v>102</v>
      </c>
      <c r="O242" s="8"/>
      <c r="P242" s="1"/>
    </row>
    <row r="243" spans="1:16" ht="28.5" customHeight="1">
      <c r="A243" s="10">
        <v>1</v>
      </c>
      <c r="B243" s="33" t="s">
        <v>86</v>
      </c>
      <c r="C243" s="41" t="s">
        <v>28</v>
      </c>
      <c r="D243" s="41" t="s">
        <v>845</v>
      </c>
      <c r="E243" s="41" t="s">
        <v>846</v>
      </c>
      <c r="F243" s="41" t="s">
        <v>847</v>
      </c>
      <c r="G243" s="41" t="s">
        <v>32</v>
      </c>
      <c r="H243" s="8" t="s">
        <v>33</v>
      </c>
      <c r="I243" s="70" t="s">
        <v>633</v>
      </c>
      <c r="J243" s="70"/>
      <c r="K243" s="70" t="s">
        <v>142</v>
      </c>
      <c r="L243" s="41" t="s">
        <v>49</v>
      </c>
      <c r="M243" s="41" t="s">
        <v>35</v>
      </c>
      <c r="N243" s="10" t="s">
        <v>848</v>
      </c>
      <c r="O243" s="8"/>
      <c r="P243" s="1"/>
    </row>
    <row r="244" spans="1:16" ht="28.5" customHeight="1">
      <c r="A244" s="10">
        <v>1</v>
      </c>
      <c r="B244" s="33" t="s">
        <v>86</v>
      </c>
      <c r="C244" s="41" t="s">
        <v>28</v>
      </c>
      <c r="D244" s="41" t="s">
        <v>849</v>
      </c>
      <c r="E244" s="41" t="s">
        <v>850</v>
      </c>
      <c r="F244" s="41" t="s">
        <v>851</v>
      </c>
      <c r="G244" s="41" t="s">
        <v>41</v>
      </c>
      <c r="H244" s="8" t="s">
        <v>33</v>
      </c>
      <c r="I244" s="70" t="s">
        <v>293</v>
      </c>
      <c r="J244" s="70"/>
      <c r="K244" s="70" t="s">
        <v>568</v>
      </c>
      <c r="L244" s="41" t="s">
        <v>49</v>
      </c>
      <c r="M244" s="41"/>
      <c r="N244" s="10" t="s">
        <v>852</v>
      </c>
      <c r="O244" s="8"/>
      <c r="P244" s="1"/>
    </row>
    <row r="245" spans="1:16" ht="28.5" customHeight="1">
      <c r="A245" s="10">
        <v>1</v>
      </c>
      <c r="B245" s="33" t="s">
        <v>86</v>
      </c>
      <c r="C245" s="41" t="s">
        <v>28</v>
      </c>
      <c r="D245" s="41" t="s">
        <v>853</v>
      </c>
      <c r="E245" s="41" t="s">
        <v>854</v>
      </c>
      <c r="F245" s="41">
        <v>51992976809</v>
      </c>
      <c r="G245" s="41" t="s">
        <v>66</v>
      </c>
      <c r="H245" s="8" t="s">
        <v>67</v>
      </c>
      <c r="I245" s="70" t="s">
        <v>293</v>
      </c>
      <c r="J245" s="70"/>
      <c r="K245" s="70" t="s">
        <v>142</v>
      </c>
      <c r="L245" s="41" t="s">
        <v>55</v>
      </c>
      <c r="M245" s="41" t="s">
        <v>61</v>
      </c>
      <c r="N245" s="10" t="s">
        <v>211</v>
      </c>
      <c r="O245" s="8"/>
      <c r="P245" s="1"/>
    </row>
    <row r="246" spans="1:16" ht="28.5" customHeight="1">
      <c r="A246" s="10">
        <v>1</v>
      </c>
      <c r="B246" s="33" t="s">
        <v>86</v>
      </c>
      <c r="C246" s="41" t="s">
        <v>28</v>
      </c>
      <c r="D246" s="41" t="s">
        <v>855</v>
      </c>
      <c r="E246" s="41" t="s">
        <v>39</v>
      </c>
      <c r="F246" s="41" t="s">
        <v>856</v>
      </c>
      <c r="G246" s="41" t="s">
        <v>41</v>
      </c>
      <c r="H246" s="8" t="s">
        <v>33</v>
      </c>
      <c r="I246" s="70" t="s">
        <v>195</v>
      </c>
      <c r="J246" s="70"/>
      <c r="K246" s="70" t="s">
        <v>97</v>
      </c>
      <c r="L246" s="41" t="s">
        <v>49</v>
      </c>
      <c r="M246" s="41" t="s">
        <v>61</v>
      </c>
      <c r="N246" s="10" t="s">
        <v>857</v>
      </c>
      <c r="O246" s="8"/>
      <c r="P246" s="1"/>
    </row>
    <row r="247" spans="1:16" ht="28.5" customHeight="1">
      <c r="A247" s="10">
        <v>1</v>
      </c>
      <c r="B247" s="33" t="s">
        <v>86</v>
      </c>
      <c r="C247" s="41" t="s">
        <v>93</v>
      </c>
      <c r="D247" s="41" t="s">
        <v>858</v>
      </c>
      <c r="E247" s="41" t="s">
        <v>859</v>
      </c>
      <c r="F247" s="41">
        <v>51997827588</v>
      </c>
      <c r="G247" s="41" t="s">
        <v>66</v>
      </c>
      <c r="H247" s="8" t="s">
        <v>67</v>
      </c>
      <c r="I247" s="70"/>
      <c r="J247" s="70"/>
      <c r="K247" s="70" t="s">
        <v>97</v>
      </c>
      <c r="L247" s="41" t="s">
        <v>55</v>
      </c>
      <c r="M247" s="41"/>
      <c r="N247" s="10" t="s">
        <v>860</v>
      </c>
      <c r="O247" s="8"/>
      <c r="P247" s="1"/>
    </row>
    <row r="248" spans="1:16" ht="28.5" customHeight="1">
      <c r="A248" s="10">
        <v>1</v>
      </c>
      <c r="B248" s="33" t="s">
        <v>86</v>
      </c>
      <c r="C248" s="41" t="s">
        <v>93</v>
      </c>
      <c r="D248" s="41" t="s">
        <v>861</v>
      </c>
      <c r="E248" s="41" t="s">
        <v>39</v>
      </c>
      <c r="F248" s="41" t="s">
        <v>862</v>
      </c>
      <c r="G248" s="41" t="s">
        <v>41</v>
      </c>
      <c r="H248" s="8" t="s">
        <v>33</v>
      </c>
      <c r="I248" s="70"/>
      <c r="J248" s="70"/>
      <c r="K248" s="70" t="s">
        <v>568</v>
      </c>
      <c r="L248" s="41" t="s">
        <v>49</v>
      </c>
      <c r="M248" s="41"/>
      <c r="N248" s="10" t="s">
        <v>863</v>
      </c>
      <c r="O248" s="8"/>
      <c r="P248" s="1"/>
    </row>
    <row r="249" spans="1:16" ht="28.5" customHeight="1">
      <c r="A249" s="10">
        <v>1</v>
      </c>
      <c r="B249" s="33" t="s">
        <v>86</v>
      </c>
      <c r="C249" s="41" t="s">
        <v>93</v>
      </c>
      <c r="D249" s="41" t="s">
        <v>864</v>
      </c>
      <c r="E249" s="41" t="s">
        <v>407</v>
      </c>
      <c r="F249" s="41" t="s">
        <v>865</v>
      </c>
      <c r="G249" s="41" t="s">
        <v>66</v>
      </c>
      <c r="H249" s="8" t="s">
        <v>67</v>
      </c>
      <c r="I249" s="70"/>
      <c r="J249" s="70"/>
      <c r="K249" s="70" t="s">
        <v>97</v>
      </c>
      <c r="L249" s="41" t="s">
        <v>49</v>
      </c>
      <c r="M249" s="41"/>
      <c r="N249" s="10" t="s">
        <v>866</v>
      </c>
      <c r="O249" s="8"/>
      <c r="P249" s="1"/>
    </row>
    <row r="250" spans="1:16" ht="28.5" customHeight="1">
      <c r="A250" s="10">
        <v>1</v>
      </c>
      <c r="B250" s="33" t="s">
        <v>86</v>
      </c>
      <c r="C250" s="41" t="s">
        <v>93</v>
      </c>
      <c r="D250" s="41" t="s">
        <v>867</v>
      </c>
      <c r="E250" s="41" t="s">
        <v>868</v>
      </c>
      <c r="F250" s="41" t="s">
        <v>869</v>
      </c>
      <c r="G250" s="41" t="s">
        <v>91</v>
      </c>
      <c r="H250" s="8" t="s">
        <v>67</v>
      </c>
      <c r="I250" s="70"/>
      <c r="J250" s="70"/>
      <c r="K250" s="70" t="s">
        <v>97</v>
      </c>
      <c r="L250" s="41" t="s">
        <v>49</v>
      </c>
      <c r="M250" s="41"/>
      <c r="N250" s="10" t="s">
        <v>870</v>
      </c>
      <c r="O250" s="8"/>
      <c r="P250" s="1"/>
    </row>
    <row r="251" spans="1:16" ht="28.5" customHeight="1">
      <c r="A251" s="10">
        <v>1</v>
      </c>
      <c r="B251" s="33" t="s">
        <v>86</v>
      </c>
      <c r="C251" s="41" t="s">
        <v>28</v>
      </c>
      <c r="D251" s="41" t="s">
        <v>871</v>
      </c>
      <c r="E251" s="41" t="s">
        <v>872</v>
      </c>
      <c r="F251" s="41">
        <v>47992907781</v>
      </c>
      <c r="G251" s="41" t="s">
        <v>66</v>
      </c>
      <c r="H251" s="8" t="s">
        <v>67</v>
      </c>
      <c r="I251" s="70"/>
      <c r="J251" s="70"/>
      <c r="K251" s="70" t="s">
        <v>97</v>
      </c>
      <c r="L251" s="41" t="s">
        <v>55</v>
      </c>
      <c r="M251" s="41" t="s">
        <v>35</v>
      </c>
      <c r="N251" s="10" t="s">
        <v>601</v>
      </c>
      <c r="O251" s="8"/>
      <c r="P251" s="1"/>
    </row>
    <row r="252" spans="1:16" ht="28.5" customHeight="1">
      <c r="A252" s="10">
        <v>1</v>
      </c>
      <c r="B252" s="33" t="s">
        <v>86</v>
      </c>
      <c r="C252" s="41" t="s">
        <v>28</v>
      </c>
      <c r="D252" s="41" t="s">
        <v>873</v>
      </c>
      <c r="E252" s="41" t="s">
        <v>209</v>
      </c>
      <c r="F252" s="41" t="s">
        <v>874</v>
      </c>
      <c r="G252" s="41" t="s">
        <v>73</v>
      </c>
      <c r="H252" s="8" t="s">
        <v>33</v>
      </c>
      <c r="I252" s="70" t="s">
        <v>467</v>
      </c>
      <c r="J252" s="70"/>
      <c r="K252" s="70" t="s">
        <v>154</v>
      </c>
      <c r="L252" s="41" t="s">
        <v>49</v>
      </c>
      <c r="M252" s="41" t="s">
        <v>80</v>
      </c>
      <c r="N252" s="10" t="s">
        <v>875</v>
      </c>
      <c r="O252" s="8"/>
      <c r="P252" s="1"/>
    </row>
    <row r="253" spans="1:16" ht="28.5" customHeight="1">
      <c r="A253" s="10">
        <v>1</v>
      </c>
      <c r="B253" s="33" t="s">
        <v>86</v>
      </c>
      <c r="C253" s="41" t="s">
        <v>93</v>
      </c>
      <c r="D253" s="41" t="s">
        <v>876</v>
      </c>
      <c r="E253" s="41" t="s">
        <v>877</v>
      </c>
      <c r="F253" s="41" t="s">
        <v>878</v>
      </c>
      <c r="G253" s="41" t="s">
        <v>507</v>
      </c>
      <c r="H253" s="8" t="s">
        <v>67</v>
      </c>
      <c r="I253" s="70"/>
      <c r="J253" s="70"/>
      <c r="K253" s="70" t="s">
        <v>184</v>
      </c>
      <c r="L253" s="41" t="s">
        <v>34</v>
      </c>
      <c r="M253" s="41"/>
      <c r="N253" s="10" t="s">
        <v>879</v>
      </c>
      <c r="O253" s="8"/>
      <c r="P253" s="1"/>
    </row>
    <row r="254" spans="1:16" ht="28.5" customHeight="1">
      <c r="A254" s="10">
        <v>1</v>
      </c>
      <c r="B254" s="33" t="s">
        <v>86</v>
      </c>
      <c r="C254" s="41" t="s">
        <v>28</v>
      </c>
      <c r="D254" s="41" t="s">
        <v>880</v>
      </c>
      <c r="E254" s="41" t="s">
        <v>118</v>
      </c>
      <c r="F254" s="41" t="s">
        <v>881</v>
      </c>
      <c r="G254" s="41" t="s">
        <v>507</v>
      </c>
      <c r="H254" s="8" t="s">
        <v>67</v>
      </c>
      <c r="I254" s="70" t="s">
        <v>195</v>
      </c>
      <c r="J254" s="70"/>
      <c r="K254" s="70" t="s">
        <v>250</v>
      </c>
      <c r="L254" s="41" t="s">
        <v>34</v>
      </c>
      <c r="M254" s="41" t="s">
        <v>128</v>
      </c>
      <c r="N254" s="10" t="s">
        <v>882</v>
      </c>
      <c r="O254" s="8"/>
      <c r="P254" s="1"/>
    </row>
    <row r="255" spans="1:16" ht="28.5" customHeight="1">
      <c r="A255" s="10">
        <v>1</v>
      </c>
      <c r="B255" s="33" t="s">
        <v>86</v>
      </c>
      <c r="C255" s="41" t="s">
        <v>93</v>
      </c>
      <c r="D255" s="41" t="s">
        <v>883</v>
      </c>
      <c r="E255" s="41" t="s">
        <v>145</v>
      </c>
      <c r="F255" s="41">
        <v>51996268896</v>
      </c>
      <c r="G255" s="41" t="s">
        <v>79</v>
      </c>
      <c r="H255" s="8" t="s">
        <v>47</v>
      </c>
      <c r="I255" s="70"/>
      <c r="J255" s="70"/>
      <c r="K255" s="70" t="s">
        <v>97</v>
      </c>
      <c r="L255" s="41" t="s">
        <v>55</v>
      </c>
      <c r="M255" s="41"/>
      <c r="N255" s="10" t="s">
        <v>839</v>
      </c>
      <c r="O255" s="8"/>
      <c r="P255" s="1"/>
    </row>
    <row r="256" spans="1:16" ht="28.5" customHeight="1">
      <c r="A256" s="10">
        <v>1</v>
      </c>
      <c r="B256" s="33" t="s">
        <v>86</v>
      </c>
      <c r="C256" s="41" t="s">
        <v>93</v>
      </c>
      <c r="D256" s="41" t="s">
        <v>884</v>
      </c>
      <c r="E256" s="41" t="s">
        <v>174</v>
      </c>
      <c r="F256" s="41">
        <v>51994143420</v>
      </c>
      <c r="G256" s="41" t="s">
        <v>66</v>
      </c>
      <c r="H256" s="8" t="s">
        <v>67</v>
      </c>
      <c r="I256" s="70"/>
      <c r="J256" s="70"/>
      <c r="K256" s="70" t="s">
        <v>97</v>
      </c>
      <c r="L256" s="41" t="s">
        <v>55</v>
      </c>
      <c r="M256" s="41"/>
      <c r="N256" s="10" t="s">
        <v>102</v>
      </c>
      <c r="O256" s="8"/>
      <c r="P256" s="1"/>
    </row>
    <row r="257" spans="1:16" ht="28.5" customHeight="1">
      <c r="A257" s="10">
        <v>1</v>
      </c>
      <c r="B257" s="33" t="s">
        <v>86</v>
      </c>
      <c r="C257" s="41" t="s">
        <v>28</v>
      </c>
      <c r="D257" s="41" t="s">
        <v>811</v>
      </c>
      <c r="E257" s="41" t="s">
        <v>812</v>
      </c>
      <c r="F257" s="41" t="s">
        <v>813</v>
      </c>
      <c r="G257" s="41" t="s">
        <v>91</v>
      </c>
      <c r="H257" s="8" t="s">
        <v>67</v>
      </c>
      <c r="I257" s="70" t="s">
        <v>293</v>
      </c>
      <c r="J257" s="70"/>
      <c r="K257" s="70" t="s">
        <v>184</v>
      </c>
      <c r="L257" s="41" t="s">
        <v>49</v>
      </c>
      <c r="M257" s="41" t="s">
        <v>61</v>
      </c>
      <c r="N257" s="10" t="s">
        <v>885</v>
      </c>
      <c r="O257" s="8"/>
      <c r="P257" s="1"/>
    </row>
    <row r="258" spans="1:16" ht="28.5" customHeight="1">
      <c r="A258" s="10">
        <v>1</v>
      </c>
      <c r="B258" s="33" t="s">
        <v>86</v>
      </c>
      <c r="C258" s="41" t="s">
        <v>93</v>
      </c>
      <c r="D258" s="41" t="s">
        <v>886</v>
      </c>
      <c r="E258" s="41" t="s">
        <v>764</v>
      </c>
      <c r="F258" s="41" t="s">
        <v>887</v>
      </c>
      <c r="G258" s="41" t="s">
        <v>238</v>
      </c>
      <c r="H258" s="8" t="s">
        <v>47</v>
      </c>
      <c r="I258" s="70"/>
      <c r="J258" s="70"/>
      <c r="K258" s="70" t="s">
        <v>154</v>
      </c>
      <c r="L258" s="41" t="s">
        <v>49</v>
      </c>
      <c r="M258" s="41"/>
      <c r="N258" s="10" t="s">
        <v>888</v>
      </c>
      <c r="O258" s="8"/>
      <c r="P258" s="1"/>
    </row>
    <row r="259" spans="1:16" ht="28.5" customHeight="1">
      <c r="A259" s="10">
        <v>1</v>
      </c>
      <c r="B259" s="33" t="s">
        <v>86</v>
      </c>
      <c r="C259" s="41" t="s">
        <v>28</v>
      </c>
      <c r="D259" s="41" t="s">
        <v>889</v>
      </c>
      <c r="E259" s="41" t="s">
        <v>118</v>
      </c>
      <c r="F259" s="41">
        <v>51986506448</v>
      </c>
      <c r="G259" s="41" t="s">
        <v>66</v>
      </c>
      <c r="H259" s="8" t="s">
        <v>67</v>
      </c>
      <c r="I259" s="70"/>
      <c r="J259" s="70"/>
      <c r="K259" s="70" t="s">
        <v>97</v>
      </c>
      <c r="L259" s="41" t="s">
        <v>55</v>
      </c>
      <c r="M259" s="41" t="s">
        <v>128</v>
      </c>
      <c r="N259" s="10" t="s">
        <v>468</v>
      </c>
      <c r="O259" s="8"/>
      <c r="P259" s="1"/>
    </row>
    <row r="260" spans="1:16" ht="28.5" customHeight="1">
      <c r="A260" s="10">
        <v>1</v>
      </c>
      <c r="B260" s="33" t="s">
        <v>86</v>
      </c>
      <c r="C260" s="41" t="s">
        <v>28</v>
      </c>
      <c r="D260" s="41" t="s">
        <v>720</v>
      </c>
      <c r="E260" s="41" t="s">
        <v>536</v>
      </c>
      <c r="F260" s="41" t="s">
        <v>721</v>
      </c>
      <c r="G260" s="41" t="s">
        <v>91</v>
      </c>
      <c r="H260" s="8" t="s">
        <v>67</v>
      </c>
      <c r="I260" s="70" t="s">
        <v>890</v>
      </c>
      <c r="J260" s="70"/>
      <c r="K260" s="70" t="s">
        <v>179</v>
      </c>
      <c r="L260" s="41" t="s">
        <v>49</v>
      </c>
      <c r="M260" s="41" t="s">
        <v>80</v>
      </c>
      <c r="N260" s="10" t="s">
        <v>891</v>
      </c>
      <c r="O260" s="8"/>
      <c r="P260" s="1"/>
    </row>
    <row r="261" spans="1:16" ht="28.5" customHeight="1">
      <c r="A261" s="10">
        <v>1</v>
      </c>
      <c r="B261" s="33" t="s">
        <v>86</v>
      </c>
      <c r="C261" s="41" t="s">
        <v>93</v>
      </c>
      <c r="D261" s="41" t="s">
        <v>892</v>
      </c>
      <c r="E261" s="41" t="s">
        <v>893</v>
      </c>
      <c r="F261" s="41" t="s">
        <v>894</v>
      </c>
      <c r="G261" s="41" t="s">
        <v>280</v>
      </c>
      <c r="H261" s="8" t="s">
        <v>33</v>
      </c>
      <c r="I261" s="70"/>
      <c r="J261" s="70"/>
      <c r="K261" s="70" t="s">
        <v>568</v>
      </c>
      <c r="L261" s="41" t="s">
        <v>49</v>
      </c>
      <c r="M261" s="41"/>
      <c r="N261" s="10" t="s">
        <v>895</v>
      </c>
      <c r="O261" s="8"/>
      <c r="P261" s="1"/>
    </row>
    <row r="262" spans="1:16" ht="28.5" customHeight="1">
      <c r="A262" s="10">
        <v>1</v>
      </c>
      <c r="B262" s="33" t="s">
        <v>86</v>
      </c>
      <c r="C262" s="41" t="s">
        <v>93</v>
      </c>
      <c r="D262" s="41" t="s">
        <v>896</v>
      </c>
      <c r="E262" s="41" t="s">
        <v>186</v>
      </c>
      <c r="F262" s="41" t="s">
        <v>897</v>
      </c>
      <c r="G262" s="41" t="s">
        <v>66</v>
      </c>
      <c r="H262" s="8" t="s">
        <v>67</v>
      </c>
      <c r="I262" s="70"/>
      <c r="J262" s="70"/>
      <c r="K262" s="70" t="s">
        <v>97</v>
      </c>
      <c r="L262" s="41" t="s">
        <v>49</v>
      </c>
      <c r="M262" s="41"/>
      <c r="N262" s="10" t="s">
        <v>898</v>
      </c>
      <c r="O262" s="8"/>
      <c r="P262" s="1"/>
    </row>
    <row r="263" spans="1:16" ht="28.5" customHeight="1">
      <c r="A263" s="10">
        <v>1</v>
      </c>
      <c r="B263" s="33" t="s">
        <v>86</v>
      </c>
      <c r="C263" s="41" t="s">
        <v>28</v>
      </c>
      <c r="D263" s="41" t="s">
        <v>899</v>
      </c>
      <c r="E263" s="41" t="s">
        <v>39</v>
      </c>
      <c r="F263" s="41">
        <v>51993144724</v>
      </c>
      <c r="G263" s="41" t="s">
        <v>41</v>
      </c>
      <c r="H263" s="8" t="s">
        <v>33</v>
      </c>
      <c r="I263" s="70" t="s">
        <v>900</v>
      </c>
      <c r="J263" s="70"/>
      <c r="K263" s="70" t="s">
        <v>101</v>
      </c>
      <c r="L263" s="41" t="s">
        <v>55</v>
      </c>
      <c r="M263" s="41" t="s">
        <v>61</v>
      </c>
      <c r="N263" s="10" t="s">
        <v>358</v>
      </c>
      <c r="O263" s="8"/>
      <c r="P263" s="1"/>
    </row>
    <row r="264" spans="1:16" ht="28.5" customHeight="1">
      <c r="A264" s="10">
        <v>1</v>
      </c>
      <c r="B264" s="33" t="s">
        <v>74</v>
      </c>
      <c r="C264" s="41" t="s">
        <v>28</v>
      </c>
      <c r="D264" s="41" t="s">
        <v>901</v>
      </c>
      <c r="E264" s="41" t="s">
        <v>686</v>
      </c>
      <c r="F264" s="41">
        <v>51981598225</v>
      </c>
      <c r="G264" s="41" t="s">
        <v>91</v>
      </c>
      <c r="H264" s="8" t="s">
        <v>67</v>
      </c>
      <c r="I264" s="70" t="s">
        <v>386</v>
      </c>
      <c r="J264" s="70"/>
      <c r="K264" s="70" t="s">
        <v>97</v>
      </c>
      <c r="L264" s="41" t="s">
        <v>55</v>
      </c>
      <c r="M264" s="41" t="s">
        <v>61</v>
      </c>
      <c r="N264" s="10" t="s">
        <v>211</v>
      </c>
      <c r="O264" s="8"/>
      <c r="P264" s="1"/>
    </row>
    <row r="265" spans="1:16" ht="28.5" customHeight="1">
      <c r="A265" s="10">
        <v>1</v>
      </c>
      <c r="B265" s="33" t="s">
        <v>74</v>
      </c>
      <c r="C265" s="41" t="s">
        <v>28</v>
      </c>
      <c r="D265" s="41" t="s">
        <v>337</v>
      </c>
      <c r="E265" s="41" t="s">
        <v>285</v>
      </c>
      <c r="F265" s="41" t="s">
        <v>338</v>
      </c>
      <c r="G265" s="41" t="s">
        <v>66</v>
      </c>
      <c r="H265" s="8" t="s">
        <v>67</v>
      </c>
      <c r="I265" s="70" t="s">
        <v>293</v>
      </c>
      <c r="J265" s="70"/>
      <c r="K265" s="70" t="s">
        <v>250</v>
      </c>
      <c r="L265" s="41" t="s">
        <v>55</v>
      </c>
      <c r="M265" s="41" t="s">
        <v>61</v>
      </c>
      <c r="N265" s="10" t="s">
        <v>367</v>
      </c>
      <c r="O265" s="8"/>
      <c r="P265" s="1"/>
    </row>
    <row r="266" spans="1:16" ht="28.5" customHeight="1">
      <c r="A266" s="10">
        <v>1</v>
      </c>
      <c r="B266" s="33" t="s">
        <v>74</v>
      </c>
      <c r="C266" s="41" t="s">
        <v>93</v>
      </c>
      <c r="D266" s="41" t="s">
        <v>902</v>
      </c>
      <c r="E266" s="41" t="s">
        <v>903</v>
      </c>
      <c r="F266" s="41" t="s">
        <v>904</v>
      </c>
      <c r="G266" s="41" t="s">
        <v>91</v>
      </c>
      <c r="H266" s="8" t="s">
        <v>67</v>
      </c>
      <c r="I266" s="70"/>
      <c r="J266" s="70"/>
      <c r="K266" s="70" t="s">
        <v>184</v>
      </c>
      <c r="L266" s="41" t="s">
        <v>49</v>
      </c>
      <c r="M266" s="41"/>
      <c r="N266" s="10" t="s">
        <v>905</v>
      </c>
      <c r="O266" s="8"/>
      <c r="P266" s="1"/>
    </row>
    <row r="267" spans="1:16" ht="28.5" customHeight="1">
      <c r="A267" s="10">
        <v>1</v>
      </c>
      <c r="B267" s="33" t="s">
        <v>74</v>
      </c>
      <c r="C267" s="41" t="s">
        <v>93</v>
      </c>
      <c r="D267" s="41" t="s">
        <v>906</v>
      </c>
      <c r="E267" s="41" t="s">
        <v>619</v>
      </c>
      <c r="F267" s="41" t="s">
        <v>907</v>
      </c>
      <c r="G267" s="41" t="s">
        <v>66</v>
      </c>
      <c r="H267" s="8" t="s">
        <v>67</v>
      </c>
      <c r="I267" s="70"/>
      <c r="J267" s="70"/>
      <c r="K267" s="70" t="s">
        <v>184</v>
      </c>
      <c r="L267" s="41" t="s">
        <v>49</v>
      </c>
      <c r="M267" s="41"/>
      <c r="N267" s="10" t="s">
        <v>908</v>
      </c>
      <c r="O267" s="8"/>
      <c r="P267" s="1"/>
    </row>
    <row r="268" spans="1:16" ht="28.5" customHeight="1">
      <c r="A268" s="10">
        <v>1</v>
      </c>
      <c r="B268" s="33" t="s">
        <v>74</v>
      </c>
      <c r="C268" s="41" t="s">
        <v>93</v>
      </c>
      <c r="D268" s="41" t="s">
        <v>909</v>
      </c>
      <c r="E268" s="41" t="s">
        <v>611</v>
      </c>
      <c r="F268" s="41" t="s">
        <v>910</v>
      </c>
      <c r="G268" s="41" t="s">
        <v>66</v>
      </c>
      <c r="H268" s="8" t="s">
        <v>67</v>
      </c>
      <c r="I268" s="70"/>
      <c r="J268" s="70"/>
      <c r="K268" s="70" t="s">
        <v>184</v>
      </c>
      <c r="L268" s="41" t="s">
        <v>49</v>
      </c>
      <c r="M268" s="41"/>
      <c r="N268" s="10" t="s">
        <v>911</v>
      </c>
      <c r="O268" s="8"/>
      <c r="P268" s="1"/>
    </row>
    <row r="269" spans="1:16" ht="28.5" customHeight="1">
      <c r="A269" s="10">
        <v>1</v>
      </c>
      <c r="B269" s="33" t="s">
        <v>74</v>
      </c>
      <c r="C269" s="41" t="s">
        <v>93</v>
      </c>
      <c r="D269" s="41" t="s">
        <v>912</v>
      </c>
      <c r="E269" s="41" t="s">
        <v>913</v>
      </c>
      <c r="F269" s="41">
        <v>51985641659</v>
      </c>
      <c r="G269" s="41" t="s">
        <v>238</v>
      </c>
      <c r="H269" s="8" t="s">
        <v>47</v>
      </c>
      <c r="I269" s="70"/>
      <c r="J269" s="70"/>
      <c r="K269" s="70" t="s">
        <v>179</v>
      </c>
      <c r="L269" s="41" t="s">
        <v>55</v>
      </c>
      <c r="M269" s="41"/>
      <c r="N269" s="10" t="s">
        <v>914</v>
      </c>
      <c r="O269" s="8"/>
      <c r="P269" s="1"/>
    </row>
    <row r="270" spans="1:16" ht="28.5" customHeight="1">
      <c r="A270" s="10">
        <v>1</v>
      </c>
      <c r="B270" s="33" t="s">
        <v>74</v>
      </c>
      <c r="C270" s="41" t="s">
        <v>28</v>
      </c>
      <c r="D270" s="41" t="s">
        <v>915</v>
      </c>
      <c r="E270" s="41" t="s">
        <v>270</v>
      </c>
      <c r="F270" s="41" t="s">
        <v>916</v>
      </c>
      <c r="G270" s="41" t="s">
        <v>550</v>
      </c>
      <c r="H270" s="8" t="s">
        <v>67</v>
      </c>
      <c r="I270" s="70" t="s">
        <v>293</v>
      </c>
      <c r="J270" s="70"/>
      <c r="K270" s="70" t="s">
        <v>97</v>
      </c>
      <c r="L270" s="41" t="s">
        <v>34</v>
      </c>
      <c r="M270" s="41" t="s">
        <v>35</v>
      </c>
      <c r="N270" s="10" t="s">
        <v>917</v>
      </c>
      <c r="O270" s="8"/>
      <c r="P270" s="1"/>
    </row>
    <row r="271" spans="1:16" ht="28.5" customHeight="1">
      <c r="A271" s="10">
        <v>1</v>
      </c>
      <c r="B271" s="33" t="s">
        <v>74</v>
      </c>
      <c r="C271" s="41" t="s">
        <v>28</v>
      </c>
      <c r="D271" s="41" t="s">
        <v>918</v>
      </c>
      <c r="E271" s="41" t="s">
        <v>407</v>
      </c>
      <c r="F271" s="41" t="s">
        <v>919</v>
      </c>
      <c r="G271" s="41" t="s">
        <v>66</v>
      </c>
      <c r="H271" s="8" t="s">
        <v>67</v>
      </c>
      <c r="I271" s="70" t="s">
        <v>920</v>
      </c>
      <c r="J271" s="70"/>
      <c r="K271" s="70" t="s">
        <v>97</v>
      </c>
      <c r="L271" s="41" t="s">
        <v>34</v>
      </c>
      <c r="M271" s="41" t="s">
        <v>35</v>
      </c>
      <c r="N271" s="10" t="s">
        <v>921</v>
      </c>
      <c r="O271" s="8"/>
      <c r="P271" s="1"/>
    </row>
    <row r="272" spans="1:16" ht="28.5" customHeight="1">
      <c r="A272" s="10">
        <v>1</v>
      </c>
      <c r="B272" s="33" t="s">
        <v>74</v>
      </c>
      <c r="C272" s="41" t="s">
        <v>93</v>
      </c>
      <c r="D272" s="41" t="s">
        <v>922</v>
      </c>
      <c r="E272" s="41" t="s">
        <v>182</v>
      </c>
      <c r="F272" s="41">
        <v>51998992276</v>
      </c>
      <c r="G272" s="41" t="s">
        <v>66</v>
      </c>
      <c r="H272" s="8" t="s">
        <v>67</v>
      </c>
      <c r="I272" s="70"/>
      <c r="J272" s="70"/>
      <c r="K272" s="70" t="s">
        <v>97</v>
      </c>
      <c r="L272" s="41" t="s">
        <v>55</v>
      </c>
      <c r="M272" s="41"/>
      <c r="N272" s="10" t="s">
        <v>923</v>
      </c>
      <c r="O272" s="8"/>
      <c r="P272" s="1"/>
    </row>
    <row r="273" spans="1:16" ht="28.5" customHeight="1">
      <c r="A273" s="10">
        <v>1</v>
      </c>
      <c r="B273" s="33" t="s">
        <v>74</v>
      </c>
      <c r="C273" s="41" t="s">
        <v>93</v>
      </c>
      <c r="D273" s="41" t="s">
        <v>924</v>
      </c>
      <c r="E273" s="41" t="s">
        <v>925</v>
      </c>
      <c r="F273" s="41" t="s">
        <v>926</v>
      </c>
      <c r="G273" s="41" t="s">
        <v>147</v>
      </c>
      <c r="H273" s="8" t="s">
        <v>33</v>
      </c>
      <c r="I273" s="70"/>
      <c r="J273" s="70"/>
      <c r="K273" s="70" t="s">
        <v>568</v>
      </c>
      <c r="L273" s="41" t="s">
        <v>34</v>
      </c>
      <c r="M273" s="41"/>
      <c r="N273" s="10" t="s">
        <v>927</v>
      </c>
      <c r="O273" s="8"/>
      <c r="P273" s="1"/>
    </row>
    <row r="274" spans="1:16" ht="28.5" customHeight="1">
      <c r="A274" s="10">
        <v>1</v>
      </c>
      <c r="B274" s="33" t="s">
        <v>74</v>
      </c>
      <c r="C274" s="41" t="s">
        <v>28</v>
      </c>
      <c r="D274" s="41" t="s">
        <v>928</v>
      </c>
      <c r="E274" s="41" t="s">
        <v>39</v>
      </c>
      <c r="F274" s="41" t="s">
        <v>929</v>
      </c>
      <c r="G274" s="41" t="s">
        <v>41</v>
      </c>
      <c r="H274" s="8" t="s">
        <v>33</v>
      </c>
      <c r="I274" s="70" t="s">
        <v>930</v>
      </c>
      <c r="J274" s="70"/>
      <c r="K274" s="70" t="s">
        <v>101</v>
      </c>
      <c r="L274" s="41" t="s">
        <v>49</v>
      </c>
      <c r="M274" s="41" t="s">
        <v>111</v>
      </c>
      <c r="N274" s="10" t="s">
        <v>931</v>
      </c>
      <c r="O274" s="8"/>
      <c r="P274" s="1"/>
    </row>
    <row r="275" spans="1:16" ht="28.5" customHeight="1">
      <c r="A275" s="10">
        <v>1</v>
      </c>
      <c r="B275" s="33" t="s">
        <v>74</v>
      </c>
      <c r="C275" s="41" t="s">
        <v>28</v>
      </c>
      <c r="D275" s="41" t="s">
        <v>932</v>
      </c>
      <c r="E275" s="41" t="s">
        <v>161</v>
      </c>
      <c r="F275" s="41" t="s">
        <v>933</v>
      </c>
      <c r="G275" s="41" t="s">
        <v>66</v>
      </c>
      <c r="H275" s="8" t="s">
        <v>67</v>
      </c>
      <c r="I275" s="70" t="s">
        <v>890</v>
      </c>
      <c r="J275" s="70"/>
      <c r="K275" s="70" t="s">
        <v>250</v>
      </c>
      <c r="L275" s="41" t="s">
        <v>49</v>
      </c>
      <c r="M275" s="41" t="s">
        <v>35</v>
      </c>
      <c r="N275" s="10" t="s">
        <v>934</v>
      </c>
      <c r="O275" s="8"/>
      <c r="P275" s="1"/>
    </row>
    <row r="276" spans="1:16" ht="28.5" customHeight="1">
      <c r="A276" s="10">
        <v>1</v>
      </c>
      <c r="B276" s="33" t="s">
        <v>74</v>
      </c>
      <c r="C276" s="41" t="s">
        <v>28</v>
      </c>
      <c r="D276" s="41" t="s">
        <v>935</v>
      </c>
      <c r="E276" s="41" t="s">
        <v>161</v>
      </c>
      <c r="F276" s="41" t="s">
        <v>936</v>
      </c>
      <c r="G276" s="41" t="s">
        <v>66</v>
      </c>
      <c r="H276" s="8" t="s">
        <v>67</v>
      </c>
      <c r="I276" s="70" t="s">
        <v>293</v>
      </c>
      <c r="J276" s="70"/>
      <c r="K276" s="70" t="s">
        <v>97</v>
      </c>
      <c r="L276" s="41" t="s">
        <v>34</v>
      </c>
      <c r="M276" s="41" t="s">
        <v>128</v>
      </c>
      <c r="N276" s="10" t="s">
        <v>937</v>
      </c>
      <c r="O276" s="8"/>
      <c r="P276" s="1"/>
    </row>
    <row r="277" spans="1:16" ht="28.5" customHeight="1">
      <c r="A277" s="10">
        <v>1</v>
      </c>
      <c r="B277" s="33" t="s">
        <v>74</v>
      </c>
      <c r="C277" s="41" t="s">
        <v>28</v>
      </c>
      <c r="D277" s="41" t="s">
        <v>938</v>
      </c>
      <c r="E277" s="41" t="s">
        <v>939</v>
      </c>
      <c r="F277" s="41">
        <v>51997173811</v>
      </c>
      <c r="G277" s="41" t="s">
        <v>32</v>
      </c>
      <c r="H277" s="8" t="s">
        <v>33</v>
      </c>
      <c r="I277" s="70" t="s">
        <v>940</v>
      </c>
      <c r="J277" s="70"/>
      <c r="K277" s="70" t="s">
        <v>101</v>
      </c>
      <c r="L277" s="41" t="s">
        <v>55</v>
      </c>
      <c r="M277" s="41" t="s">
        <v>61</v>
      </c>
      <c r="N277" s="10" t="s">
        <v>294</v>
      </c>
      <c r="O277" s="8"/>
      <c r="P277" s="1"/>
    </row>
    <row r="278" spans="1:16" ht="28.5" customHeight="1">
      <c r="A278" s="10">
        <v>1</v>
      </c>
      <c r="B278" s="33" t="s">
        <v>74</v>
      </c>
      <c r="C278" s="41" t="s">
        <v>28</v>
      </c>
      <c r="D278" s="41" t="s">
        <v>941</v>
      </c>
      <c r="E278" s="41" t="s">
        <v>942</v>
      </c>
      <c r="F278" s="41" t="s">
        <v>943</v>
      </c>
      <c r="G278" s="41" t="s">
        <v>85</v>
      </c>
      <c r="H278" s="8" t="s">
        <v>33</v>
      </c>
      <c r="I278" s="70" t="s">
        <v>930</v>
      </c>
      <c r="J278" s="70"/>
      <c r="K278" s="70" t="s">
        <v>184</v>
      </c>
      <c r="L278" s="41" t="s">
        <v>49</v>
      </c>
      <c r="M278" s="41" t="s">
        <v>61</v>
      </c>
      <c r="N278" s="10" t="s">
        <v>944</v>
      </c>
      <c r="O278" s="8"/>
      <c r="P278" s="1"/>
    </row>
    <row r="279" spans="1:16" ht="28.5" customHeight="1">
      <c r="A279" s="10">
        <v>1</v>
      </c>
      <c r="B279" s="33" t="s">
        <v>74</v>
      </c>
      <c r="C279" s="41" t="s">
        <v>28</v>
      </c>
      <c r="D279" s="41" t="s">
        <v>945</v>
      </c>
      <c r="E279" s="41" t="s">
        <v>946</v>
      </c>
      <c r="F279" s="41">
        <v>51996431168</v>
      </c>
      <c r="G279" s="41" t="s">
        <v>280</v>
      </c>
      <c r="H279" s="8" t="s">
        <v>33</v>
      </c>
      <c r="I279" s="70" t="s">
        <v>940</v>
      </c>
      <c r="J279" s="70"/>
      <c r="K279" s="70" t="s">
        <v>97</v>
      </c>
      <c r="L279" s="41" t="s">
        <v>55</v>
      </c>
      <c r="M279" s="41" t="s">
        <v>128</v>
      </c>
      <c r="N279" s="10" t="s">
        <v>129</v>
      </c>
      <c r="O279" s="8"/>
      <c r="P279" s="1"/>
    </row>
    <row r="280" spans="1:16" ht="28.5" customHeight="1">
      <c r="A280" s="10">
        <v>1</v>
      </c>
      <c r="B280" s="33" t="s">
        <v>74</v>
      </c>
      <c r="C280" s="41" t="s">
        <v>93</v>
      </c>
      <c r="D280" s="41" t="s">
        <v>947</v>
      </c>
      <c r="E280" s="41" t="s">
        <v>182</v>
      </c>
      <c r="F280" s="41" t="s">
        <v>948</v>
      </c>
      <c r="G280" s="41" t="s">
        <v>66</v>
      </c>
      <c r="H280" s="8" t="s">
        <v>67</v>
      </c>
      <c r="I280" s="70"/>
      <c r="J280" s="70"/>
      <c r="K280" s="70" t="s">
        <v>568</v>
      </c>
      <c r="L280" s="41" t="s">
        <v>49</v>
      </c>
      <c r="M280" s="41"/>
      <c r="N280" s="10" t="s">
        <v>949</v>
      </c>
      <c r="O280" s="8"/>
      <c r="P280" s="1"/>
    </row>
    <row r="281" spans="1:16" ht="28.5" customHeight="1">
      <c r="A281" s="10">
        <v>1</v>
      </c>
      <c r="B281" s="33" t="s">
        <v>74</v>
      </c>
      <c r="C281" s="41" t="s">
        <v>93</v>
      </c>
      <c r="D281" s="41" t="s">
        <v>950</v>
      </c>
      <c r="E281" s="41" t="s">
        <v>951</v>
      </c>
      <c r="F281" s="41" t="s">
        <v>952</v>
      </c>
      <c r="G281" s="41" t="s">
        <v>53</v>
      </c>
      <c r="H281" s="8" t="s">
        <v>33</v>
      </c>
      <c r="I281" s="70"/>
      <c r="J281" s="70"/>
      <c r="K281" s="70" t="s">
        <v>179</v>
      </c>
      <c r="L281" s="41" t="s">
        <v>49</v>
      </c>
      <c r="M281" s="41"/>
      <c r="N281" s="10" t="s">
        <v>953</v>
      </c>
      <c r="O281" s="8"/>
      <c r="P281" s="1"/>
    </row>
    <row r="282" spans="1:16" ht="28.5" customHeight="1">
      <c r="A282" s="10">
        <v>1</v>
      </c>
      <c r="B282" s="33" t="s">
        <v>74</v>
      </c>
      <c r="C282" s="41" t="s">
        <v>28</v>
      </c>
      <c r="D282" s="41" t="s">
        <v>954</v>
      </c>
      <c r="E282" s="41" t="s">
        <v>174</v>
      </c>
      <c r="F282" s="41" t="s">
        <v>955</v>
      </c>
      <c r="G282" s="41" t="s">
        <v>66</v>
      </c>
      <c r="H282" s="8" t="s">
        <v>67</v>
      </c>
      <c r="I282" s="70" t="s">
        <v>293</v>
      </c>
      <c r="J282" s="70"/>
      <c r="K282" s="70" t="s">
        <v>97</v>
      </c>
      <c r="L282" s="41" t="s">
        <v>49</v>
      </c>
      <c r="M282" s="41" t="s">
        <v>56</v>
      </c>
      <c r="N282" s="10" t="s">
        <v>956</v>
      </c>
      <c r="O282" s="8"/>
      <c r="P282" s="1"/>
    </row>
    <row r="283" spans="1:16" ht="28.5" customHeight="1">
      <c r="A283" s="10">
        <v>1</v>
      </c>
      <c r="B283" s="33" t="s">
        <v>74</v>
      </c>
      <c r="C283" s="41" t="s">
        <v>28</v>
      </c>
      <c r="D283" s="41" t="s">
        <v>957</v>
      </c>
      <c r="E283" s="41" t="s">
        <v>958</v>
      </c>
      <c r="F283" s="41" t="s">
        <v>959</v>
      </c>
      <c r="G283" s="41" t="s">
        <v>91</v>
      </c>
      <c r="H283" s="8" t="s">
        <v>67</v>
      </c>
      <c r="I283" s="70"/>
      <c r="J283" s="70"/>
      <c r="K283" s="70" t="s">
        <v>568</v>
      </c>
      <c r="L283" s="41" t="s">
        <v>49</v>
      </c>
      <c r="M283" s="41" t="s">
        <v>61</v>
      </c>
      <c r="N283" s="10" t="s">
        <v>960</v>
      </c>
      <c r="O283" s="8"/>
      <c r="P283" s="1"/>
    </row>
    <row r="284" spans="1:16" ht="28.5" customHeight="1">
      <c r="A284" s="10">
        <v>1</v>
      </c>
      <c r="B284" s="33" t="s">
        <v>74</v>
      </c>
      <c r="C284" s="41" t="s">
        <v>28</v>
      </c>
      <c r="D284" s="122" t="s">
        <v>961</v>
      </c>
      <c r="E284" s="41" t="s">
        <v>454</v>
      </c>
      <c r="F284" s="41" t="s">
        <v>962</v>
      </c>
      <c r="G284" s="41" t="s">
        <v>66</v>
      </c>
      <c r="H284" s="8" t="s">
        <v>206</v>
      </c>
      <c r="I284" s="70" t="s">
        <v>386</v>
      </c>
      <c r="J284" s="70"/>
      <c r="K284" s="70" t="s">
        <v>97</v>
      </c>
      <c r="L284" s="41" t="s">
        <v>34</v>
      </c>
      <c r="M284" s="41" t="s">
        <v>128</v>
      </c>
      <c r="N284" s="10" t="s">
        <v>963</v>
      </c>
      <c r="O284" s="8"/>
      <c r="P284" s="1"/>
    </row>
    <row r="285" spans="1:16" ht="28.5" customHeight="1">
      <c r="A285" s="10">
        <v>1</v>
      </c>
      <c r="B285" s="33" t="s">
        <v>74</v>
      </c>
      <c r="C285" s="41" t="s">
        <v>28</v>
      </c>
      <c r="D285" s="41" t="s">
        <v>964</v>
      </c>
      <c r="E285" s="41" t="s">
        <v>965</v>
      </c>
      <c r="F285" s="41">
        <v>51996916406</v>
      </c>
      <c r="G285" s="41" t="s">
        <v>85</v>
      </c>
      <c r="H285" s="8" t="s">
        <v>33</v>
      </c>
      <c r="I285" s="70" t="s">
        <v>940</v>
      </c>
      <c r="J285" s="70"/>
      <c r="K285" s="70" t="s">
        <v>101</v>
      </c>
      <c r="L285" s="41" t="s">
        <v>34</v>
      </c>
      <c r="M285" s="41" t="s">
        <v>128</v>
      </c>
      <c r="N285" s="10" t="s">
        <v>963</v>
      </c>
      <c r="O285" s="8"/>
      <c r="P285" s="1"/>
    </row>
    <row r="286" spans="1:16" ht="28.5" customHeight="1">
      <c r="A286" s="10">
        <v>1</v>
      </c>
      <c r="B286" s="33" t="s">
        <v>74</v>
      </c>
      <c r="C286" s="41" t="s">
        <v>28</v>
      </c>
      <c r="D286" s="41" t="s">
        <v>966</v>
      </c>
      <c r="E286" s="41" t="s">
        <v>967</v>
      </c>
      <c r="F286" s="41" t="s">
        <v>968</v>
      </c>
      <c r="G286" s="41" t="s">
        <v>53</v>
      </c>
      <c r="H286" s="8" t="s">
        <v>67</v>
      </c>
      <c r="I286" s="70" t="s">
        <v>588</v>
      </c>
      <c r="J286" s="70"/>
      <c r="K286" s="70" t="s">
        <v>97</v>
      </c>
      <c r="L286" s="41" t="s">
        <v>34</v>
      </c>
      <c r="M286" s="41" t="s">
        <v>133</v>
      </c>
      <c r="N286" s="10" t="s">
        <v>969</v>
      </c>
      <c r="O286" s="8"/>
      <c r="P286" s="1"/>
    </row>
    <row r="287" spans="1:16" ht="28.5" customHeight="1">
      <c r="A287" s="10">
        <v>1</v>
      </c>
      <c r="B287" s="33" t="s">
        <v>293</v>
      </c>
      <c r="C287" s="41" t="s">
        <v>28</v>
      </c>
      <c r="D287" s="41" t="s">
        <v>970</v>
      </c>
      <c r="E287" s="41" t="s">
        <v>39</v>
      </c>
      <c r="F287" s="41">
        <v>51993705128</v>
      </c>
      <c r="G287" s="41" t="s">
        <v>41</v>
      </c>
      <c r="H287" s="8" t="s">
        <v>33</v>
      </c>
      <c r="I287" s="70" t="s">
        <v>425</v>
      </c>
      <c r="J287" s="70"/>
      <c r="K287" s="70" t="s">
        <v>97</v>
      </c>
      <c r="L287" s="41" t="s">
        <v>34</v>
      </c>
      <c r="M287" s="41" t="s">
        <v>128</v>
      </c>
      <c r="N287" s="10" t="s">
        <v>971</v>
      </c>
      <c r="O287" s="8"/>
      <c r="P287" s="1"/>
    </row>
    <row r="288" spans="1:16" ht="28.5" customHeight="1">
      <c r="A288" s="10">
        <v>1</v>
      </c>
      <c r="B288" s="33" t="s">
        <v>293</v>
      </c>
      <c r="C288" s="41" t="s">
        <v>93</v>
      </c>
      <c r="D288" s="41" t="s">
        <v>972</v>
      </c>
      <c r="E288" s="41" t="s">
        <v>161</v>
      </c>
      <c r="F288" s="41">
        <v>51992144220</v>
      </c>
      <c r="G288" s="41" t="s">
        <v>973</v>
      </c>
      <c r="H288" s="8" t="s">
        <v>67</v>
      </c>
      <c r="I288" s="70"/>
      <c r="J288" s="70"/>
      <c r="K288" s="70" t="s">
        <v>97</v>
      </c>
      <c r="L288" s="41" t="s">
        <v>55</v>
      </c>
      <c r="M288" s="41"/>
      <c r="N288" s="10" t="s">
        <v>974</v>
      </c>
      <c r="O288" s="8"/>
      <c r="P288" s="1"/>
    </row>
    <row r="289" spans="1:16" ht="28.5" customHeight="1">
      <c r="A289" s="10">
        <v>1</v>
      </c>
      <c r="B289" s="33" t="s">
        <v>293</v>
      </c>
      <c r="C289" s="41" t="s">
        <v>28</v>
      </c>
      <c r="D289" s="41" t="s">
        <v>975</v>
      </c>
      <c r="E289" s="41" t="s">
        <v>315</v>
      </c>
      <c r="F289" s="41">
        <v>51996776454</v>
      </c>
      <c r="G289" s="41" t="s">
        <v>66</v>
      </c>
      <c r="H289" s="8" t="s">
        <v>67</v>
      </c>
      <c r="I289" s="70" t="s">
        <v>467</v>
      </c>
      <c r="J289" s="70"/>
      <c r="K289" s="70" t="s">
        <v>97</v>
      </c>
      <c r="L289" s="41" t="s">
        <v>55</v>
      </c>
      <c r="M289" s="41" t="s">
        <v>56</v>
      </c>
      <c r="N289" s="10" t="s">
        <v>976</v>
      </c>
      <c r="O289" s="8"/>
      <c r="P289" s="1"/>
    </row>
    <row r="290" spans="1:16" ht="28.5" customHeight="1">
      <c r="A290" s="10">
        <v>1</v>
      </c>
      <c r="B290" s="33" t="s">
        <v>293</v>
      </c>
      <c r="C290" s="41" t="s">
        <v>28</v>
      </c>
      <c r="D290" s="41" t="s">
        <v>977</v>
      </c>
      <c r="E290" s="41" t="s">
        <v>978</v>
      </c>
      <c r="F290" s="41" t="s">
        <v>979</v>
      </c>
      <c r="G290" s="41" t="s">
        <v>91</v>
      </c>
      <c r="H290" s="8" t="s">
        <v>67</v>
      </c>
      <c r="I290" s="70" t="s">
        <v>890</v>
      </c>
      <c r="J290" s="70"/>
      <c r="K290" s="70" t="s">
        <v>97</v>
      </c>
      <c r="L290" s="41" t="s">
        <v>49</v>
      </c>
      <c r="M290" s="41" t="s">
        <v>128</v>
      </c>
      <c r="N290" s="10" t="s">
        <v>980</v>
      </c>
      <c r="O290" s="8"/>
      <c r="P290" s="1"/>
    </row>
    <row r="291" spans="1:16" ht="28.5" customHeight="1">
      <c r="A291" s="10">
        <v>1</v>
      </c>
      <c r="B291" s="33" t="s">
        <v>293</v>
      </c>
      <c r="C291" s="41" t="s">
        <v>28</v>
      </c>
      <c r="D291" s="41" t="s">
        <v>981</v>
      </c>
      <c r="E291" s="41" t="s">
        <v>686</v>
      </c>
      <c r="F291" s="41" t="s">
        <v>982</v>
      </c>
      <c r="G291" s="41" t="s">
        <v>91</v>
      </c>
      <c r="H291" s="8" t="s">
        <v>67</v>
      </c>
      <c r="I291" s="70" t="s">
        <v>890</v>
      </c>
      <c r="J291" s="70"/>
      <c r="K291" s="70" t="s">
        <v>101</v>
      </c>
      <c r="L291" s="41" t="s">
        <v>49</v>
      </c>
      <c r="M291" s="41" t="s">
        <v>56</v>
      </c>
      <c r="N291" s="10" t="s">
        <v>983</v>
      </c>
      <c r="O291" s="8"/>
      <c r="P291" s="1"/>
    </row>
    <row r="292" spans="1:16" ht="28.5" customHeight="1">
      <c r="A292" s="10">
        <v>1</v>
      </c>
      <c r="B292" s="33" t="s">
        <v>293</v>
      </c>
      <c r="C292" s="41" t="s">
        <v>93</v>
      </c>
      <c r="D292" s="8" t="s">
        <v>984</v>
      </c>
      <c r="E292" s="41" t="s">
        <v>404</v>
      </c>
      <c r="F292" s="41" t="s">
        <v>985</v>
      </c>
      <c r="G292" s="41" t="s">
        <v>986</v>
      </c>
      <c r="H292" s="8" t="s">
        <v>33</v>
      </c>
      <c r="I292" s="70"/>
      <c r="J292" s="70"/>
      <c r="K292" s="70" t="s">
        <v>568</v>
      </c>
      <c r="L292" s="41" t="s">
        <v>34</v>
      </c>
      <c r="M292" s="41"/>
      <c r="N292" s="10" t="s">
        <v>987</v>
      </c>
      <c r="O292" s="8"/>
      <c r="P292" s="1"/>
    </row>
    <row r="293" spans="1:16" ht="28.5" customHeight="1">
      <c r="A293" s="10">
        <v>1</v>
      </c>
      <c r="B293" s="33" t="s">
        <v>293</v>
      </c>
      <c r="C293" s="41" t="s">
        <v>28</v>
      </c>
      <c r="D293" s="41" t="s">
        <v>988</v>
      </c>
      <c r="E293" s="41" t="s">
        <v>39</v>
      </c>
      <c r="F293" s="41" t="s">
        <v>989</v>
      </c>
      <c r="G293" s="41" t="s">
        <v>41</v>
      </c>
      <c r="H293" s="8" t="s">
        <v>33</v>
      </c>
      <c r="I293" s="70" t="s">
        <v>930</v>
      </c>
      <c r="J293" s="70"/>
      <c r="K293" s="70" t="s">
        <v>250</v>
      </c>
      <c r="L293" s="41" t="s">
        <v>49</v>
      </c>
      <c r="M293" s="41" t="s">
        <v>56</v>
      </c>
      <c r="N293" s="10" t="s">
        <v>990</v>
      </c>
      <c r="O293" s="8"/>
      <c r="P293" s="1"/>
    </row>
    <row r="294" spans="1:16" ht="28.5" customHeight="1">
      <c r="A294" s="10">
        <v>1</v>
      </c>
      <c r="B294" s="33" t="s">
        <v>293</v>
      </c>
      <c r="C294" s="41" t="s">
        <v>93</v>
      </c>
      <c r="D294" s="41" t="s">
        <v>991</v>
      </c>
      <c r="E294" s="41" t="s">
        <v>992</v>
      </c>
      <c r="F294" s="41" t="s">
        <v>993</v>
      </c>
      <c r="G294" s="41" t="s">
        <v>66</v>
      </c>
      <c r="H294" s="8" t="s">
        <v>67</v>
      </c>
      <c r="I294" s="70"/>
      <c r="J294" s="70"/>
      <c r="K294" s="70" t="s">
        <v>97</v>
      </c>
      <c r="L294" s="41" t="s">
        <v>49</v>
      </c>
      <c r="M294" s="41"/>
      <c r="N294" s="10" t="s">
        <v>994</v>
      </c>
      <c r="O294" s="8"/>
      <c r="P294" s="1"/>
    </row>
    <row r="295" spans="1:16" ht="28.5" customHeight="1">
      <c r="A295" s="10">
        <v>1</v>
      </c>
      <c r="B295" s="33" t="s">
        <v>293</v>
      </c>
      <c r="C295" s="41" t="s">
        <v>28</v>
      </c>
      <c r="D295" s="41" t="s">
        <v>995</v>
      </c>
      <c r="E295" s="41" t="s">
        <v>39</v>
      </c>
      <c r="F295" s="41" t="s">
        <v>996</v>
      </c>
      <c r="G295" s="41" t="s">
        <v>41</v>
      </c>
      <c r="H295" s="8" t="s">
        <v>33</v>
      </c>
      <c r="I295" s="70" t="s">
        <v>997</v>
      </c>
      <c r="J295" s="70"/>
      <c r="K295" s="70" t="s">
        <v>101</v>
      </c>
      <c r="L295" s="41" t="s">
        <v>49</v>
      </c>
      <c r="M295" s="41" t="s">
        <v>128</v>
      </c>
      <c r="N295" s="10" t="s">
        <v>820</v>
      </c>
      <c r="O295" s="8"/>
      <c r="P295" s="1"/>
    </row>
    <row r="296" spans="1:16" ht="28.5" customHeight="1">
      <c r="A296" s="10">
        <v>1</v>
      </c>
      <c r="B296" s="33" t="s">
        <v>293</v>
      </c>
      <c r="C296" s="41" t="s">
        <v>28</v>
      </c>
      <c r="D296" s="41" t="s">
        <v>998</v>
      </c>
      <c r="E296" s="41" t="s">
        <v>165</v>
      </c>
      <c r="F296" s="41" t="s">
        <v>999</v>
      </c>
      <c r="G296" s="41" t="s">
        <v>66</v>
      </c>
      <c r="H296" s="8" t="s">
        <v>67</v>
      </c>
      <c r="I296" s="70" t="s">
        <v>890</v>
      </c>
      <c r="J296" s="70"/>
      <c r="K296" s="70" t="s">
        <v>97</v>
      </c>
      <c r="L296" s="41" t="s">
        <v>49</v>
      </c>
      <c r="M296" s="41" t="s">
        <v>56</v>
      </c>
      <c r="N296" s="10" t="s">
        <v>1000</v>
      </c>
      <c r="O296" s="8"/>
      <c r="P296" s="1"/>
    </row>
    <row r="297" spans="1:16" ht="28.5" customHeight="1">
      <c r="A297" s="10">
        <v>1</v>
      </c>
      <c r="B297" s="33" t="s">
        <v>293</v>
      </c>
      <c r="C297" s="41" t="s">
        <v>28</v>
      </c>
      <c r="D297" s="41" t="s">
        <v>1001</v>
      </c>
      <c r="E297" s="41" t="s">
        <v>495</v>
      </c>
      <c r="F297" s="41">
        <v>51996844048</v>
      </c>
      <c r="G297" s="41" t="s">
        <v>85</v>
      </c>
      <c r="H297" s="8" t="s">
        <v>33</v>
      </c>
      <c r="I297" s="70" t="s">
        <v>54</v>
      </c>
      <c r="J297" s="70"/>
      <c r="K297" s="70" t="s">
        <v>97</v>
      </c>
      <c r="L297" s="41" t="s">
        <v>55</v>
      </c>
      <c r="M297" s="41" t="s">
        <v>35</v>
      </c>
      <c r="N297" s="10" t="s">
        <v>1002</v>
      </c>
      <c r="O297" s="8"/>
      <c r="P297" s="1"/>
    </row>
    <row r="298" spans="1:16" ht="28.5" customHeight="1">
      <c r="A298" s="10">
        <v>1</v>
      </c>
      <c r="B298" s="33" t="s">
        <v>293</v>
      </c>
      <c r="C298" s="41" t="s">
        <v>93</v>
      </c>
      <c r="D298" s="41" t="s">
        <v>736</v>
      </c>
      <c r="E298" s="41" t="s">
        <v>552</v>
      </c>
      <c r="F298" s="41" t="s">
        <v>737</v>
      </c>
      <c r="G298" s="41" t="s">
        <v>91</v>
      </c>
      <c r="H298" s="8" t="s">
        <v>67</v>
      </c>
      <c r="I298" s="70"/>
      <c r="J298" s="70"/>
      <c r="K298" s="70" t="s">
        <v>250</v>
      </c>
      <c r="L298" s="41" t="s">
        <v>55</v>
      </c>
      <c r="M298" s="41"/>
      <c r="N298" s="10" t="s">
        <v>1003</v>
      </c>
      <c r="O298" s="8"/>
      <c r="P298" s="1"/>
    </row>
    <row r="299" spans="1:16" ht="28.5" customHeight="1">
      <c r="A299" s="10">
        <v>1</v>
      </c>
      <c r="B299" s="33" t="s">
        <v>293</v>
      </c>
      <c r="C299" s="41" t="s">
        <v>28</v>
      </c>
      <c r="D299" s="41" t="s">
        <v>1004</v>
      </c>
      <c r="E299" s="41" t="s">
        <v>817</v>
      </c>
      <c r="F299" s="41">
        <v>51999270510</v>
      </c>
      <c r="G299" s="41" t="s">
        <v>41</v>
      </c>
      <c r="H299" s="8" t="s">
        <v>33</v>
      </c>
      <c r="I299" s="70" t="s">
        <v>1005</v>
      </c>
      <c r="J299" s="70"/>
      <c r="K299" s="70" t="s">
        <v>568</v>
      </c>
      <c r="L299" s="41" t="s">
        <v>55</v>
      </c>
      <c r="M299" s="41" t="s">
        <v>61</v>
      </c>
      <c r="N299" s="10" t="s">
        <v>358</v>
      </c>
      <c r="O299" s="8"/>
      <c r="P299" s="1"/>
    </row>
    <row r="300" spans="1:16" ht="28.5" customHeight="1">
      <c r="A300" s="10">
        <v>1</v>
      </c>
      <c r="B300" s="33" t="s">
        <v>293</v>
      </c>
      <c r="C300" s="41" t="s">
        <v>93</v>
      </c>
      <c r="D300" s="41" t="s">
        <v>1006</v>
      </c>
      <c r="E300" s="41" t="s">
        <v>363</v>
      </c>
      <c r="F300" s="41" t="s">
        <v>1007</v>
      </c>
      <c r="G300" s="41" t="s">
        <v>66</v>
      </c>
      <c r="H300" s="8" t="s">
        <v>67</v>
      </c>
      <c r="I300" s="70"/>
      <c r="J300" s="70"/>
      <c r="K300" s="70" t="s">
        <v>97</v>
      </c>
      <c r="L300" s="41" t="s">
        <v>49</v>
      </c>
      <c r="M300" s="41"/>
      <c r="N300" s="10" t="s">
        <v>1008</v>
      </c>
      <c r="O300" s="8"/>
      <c r="P300" s="1"/>
    </row>
    <row r="301" spans="1:16" ht="28.5" customHeight="1">
      <c r="A301" s="10">
        <v>1</v>
      </c>
      <c r="B301" s="33" t="s">
        <v>293</v>
      </c>
      <c r="C301" s="41" t="s">
        <v>93</v>
      </c>
      <c r="D301" s="41" t="s">
        <v>1009</v>
      </c>
      <c r="E301" s="41" t="s">
        <v>992</v>
      </c>
      <c r="F301" s="41" t="s">
        <v>1010</v>
      </c>
      <c r="G301" s="41" t="s">
        <v>66</v>
      </c>
      <c r="H301" s="8" t="s">
        <v>67</v>
      </c>
      <c r="I301" s="70"/>
      <c r="J301" s="70"/>
      <c r="K301" s="70" t="s">
        <v>97</v>
      </c>
      <c r="L301" s="41" t="s">
        <v>49</v>
      </c>
      <c r="M301" s="41"/>
      <c r="N301" s="10" t="s">
        <v>1011</v>
      </c>
      <c r="O301" s="8"/>
      <c r="P301" s="1"/>
    </row>
    <row r="302" spans="1:16" ht="28.5" customHeight="1">
      <c r="A302" s="10">
        <v>1</v>
      </c>
      <c r="B302" s="33" t="s">
        <v>293</v>
      </c>
      <c r="C302" s="41" t="s">
        <v>93</v>
      </c>
      <c r="D302" s="41" t="s">
        <v>1012</v>
      </c>
      <c r="E302" s="41" t="s">
        <v>1013</v>
      </c>
      <c r="F302" s="41" t="s">
        <v>1014</v>
      </c>
      <c r="G302" s="41" t="s">
        <v>66</v>
      </c>
      <c r="H302" s="8" t="s">
        <v>67</v>
      </c>
      <c r="I302" s="70"/>
      <c r="J302" s="70"/>
      <c r="K302" s="70" t="s">
        <v>184</v>
      </c>
      <c r="L302" s="41" t="s">
        <v>49</v>
      </c>
      <c r="M302" s="41"/>
      <c r="N302" s="10" t="s">
        <v>1015</v>
      </c>
      <c r="O302" s="8"/>
      <c r="P302" s="1"/>
    </row>
    <row r="303" spans="1:16" ht="28.5" customHeight="1">
      <c r="A303" s="10">
        <v>1</v>
      </c>
      <c r="B303" s="33" t="s">
        <v>293</v>
      </c>
      <c r="C303" s="41" t="s">
        <v>28</v>
      </c>
      <c r="D303" s="41" t="s">
        <v>1016</v>
      </c>
      <c r="E303" s="41" t="s">
        <v>438</v>
      </c>
      <c r="F303" s="41" t="s">
        <v>1017</v>
      </c>
      <c r="G303" s="41" t="s">
        <v>501</v>
      </c>
      <c r="H303" s="8" t="s">
        <v>67</v>
      </c>
      <c r="I303" s="70"/>
      <c r="J303" s="70"/>
      <c r="K303" s="70" t="s">
        <v>184</v>
      </c>
      <c r="L303" s="41" t="s">
        <v>34</v>
      </c>
      <c r="M303" s="41" t="s">
        <v>128</v>
      </c>
      <c r="N303" s="10" t="s">
        <v>1018</v>
      </c>
      <c r="O303" s="8"/>
      <c r="P303" s="1"/>
    </row>
    <row r="304" spans="1:16" ht="28.5" customHeight="1">
      <c r="A304" s="10">
        <v>1</v>
      </c>
      <c r="B304" s="33" t="s">
        <v>293</v>
      </c>
      <c r="C304" s="41" t="s">
        <v>28</v>
      </c>
      <c r="D304" s="41" t="s">
        <v>1019</v>
      </c>
      <c r="E304" s="41" t="s">
        <v>967</v>
      </c>
      <c r="F304" s="41" t="s">
        <v>1020</v>
      </c>
      <c r="G304" s="41" t="s">
        <v>53</v>
      </c>
      <c r="H304" s="8" t="s">
        <v>33</v>
      </c>
      <c r="I304" s="70"/>
      <c r="J304" s="70"/>
      <c r="K304" s="70" t="s">
        <v>97</v>
      </c>
      <c r="L304" s="41" t="s">
        <v>49</v>
      </c>
      <c r="M304" s="41" t="s">
        <v>61</v>
      </c>
      <c r="N304" s="10" t="s">
        <v>1021</v>
      </c>
      <c r="O304" s="8"/>
      <c r="P304" s="1"/>
    </row>
    <row r="305" spans="1:16" ht="28.5" customHeight="1">
      <c r="A305" s="10">
        <v>1</v>
      </c>
      <c r="B305" s="33" t="s">
        <v>293</v>
      </c>
      <c r="C305" s="41" t="s">
        <v>93</v>
      </c>
      <c r="D305" s="41" t="s">
        <v>1022</v>
      </c>
      <c r="E305" s="41" t="s">
        <v>85</v>
      </c>
      <c r="F305" s="41" t="s">
        <v>1023</v>
      </c>
      <c r="G305" s="41" t="s">
        <v>1024</v>
      </c>
      <c r="H305" s="8" t="s">
        <v>33</v>
      </c>
      <c r="I305" s="70"/>
      <c r="J305" s="70"/>
      <c r="K305" s="70" t="s">
        <v>555</v>
      </c>
      <c r="L305" s="41" t="s">
        <v>34</v>
      </c>
      <c r="M305" s="41"/>
      <c r="N305" s="10" t="s">
        <v>1025</v>
      </c>
      <c r="O305" s="8"/>
      <c r="P305" s="1"/>
    </row>
    <row r="306" spans="1:16" ht="28.5" customHeight="1">
      <c r="A306" s="10">
        <v>1</v>
      </c>
      <c r="B306" s="33" t="s">
        <v>386</v>
      </c>
      <c r="C306" s="41" t="s">
        <v>28</v>
      </c>
      <c r="D306" s="41" t="s">
        <v>1026</v>
      </c>
      <c r="E306" s="41" t="s">
        <v>47</v>
      </c>
      <c r="F306" s="41">
        <v>51991014332</v>
      </c>
      <c r="G306" s="41" t="s">
        <v>79</v>
      </c>
      <c r="H306" s="8" t="s">
        <v>47</v>
      </c>
      <c r="I306" s="70"/>
      <c r="J306" s="70"/>
      <c r="K306" s="70" t="s">
        <v>179</v>
      </c>
      <c r="L306" s="41" t="s">
        <v>55</v>
      </c>
      <c r="M306" s="41" t="s">
        <v>56</v>
      </c>
      <c r="N306" s="10" t="s">
        <v>1027</v>
      </c>
      <c r="O306" s="8"/>
      <c r="P306" s="1"/>
    </row>
    <row r="307" spans="1:16" ht="28.5" customHeight="1">
      <c r="A307" s="10">
        <v>1</v>
      </c>
      <c r="B307" s="33" t="s">
        <v>386</v>
      </c>
      <c r="C307" s="41" t="s">
        <v>93</v>
      </c>
      <c r="D307" s="41" t="s">
        <v>1028</v>
      </c>
      <c r="E307" s="41" t="s">
        <v>446</v>
      </c>
      <c r="F307" s="41" t="s">
        <v>1029</v>
      </c>
      <c r="G307" s="41" t="s">
        <v>66</v>
      </c>
      <c r="H307" s="8" t="s">
        <v>67</v>
      </c>
      <c r="I307" s="70"/>
      <c r="J307" s="70"/>
      <c r="K307" s="70" t="s">
        <v>97</v>
      </c>
      <c r="L307" s="41" t="s">
        <v>49</v>
      </c>
      <c r="M307" s="41"/>
      <c r="N307" s="10" t="s">
        <v>1030</v>
      </c>
      <c r="O307" s="8"/>
      <c r="P307" s="1"/>
    </row>
    <row r="308" spans="1:16" ht="28.5" customHeight="1">
      <c r="A308" s="10">
        <v>1</v>
      </c>
      <c r="B308" s="33" t="s">
        <v>386</v>
      </c>
      <c r="C308" s="41" t="s">
        <v>28</v>
      </c>
      <c r="D308" s="41" t="s">
        <v>1031</v>
      </c>
      <c r="E308" s="41" t="s">
        <v>619</v>
      </c>
      <c r="F308" s="41" t="s">
        <v>1032</v>
      </c>
      <c r="G308" s="41" t="s">
        <v>66</v>
      </c>
      <c r="H308" s="8" t="s">
        <v>67</v>
      </c>
      <c r="I308" s="70" t="s">
        <v>1033</v>
      </c>
      <c r="J308" s="70"/>
      <c r="K308" s="70" t="s">
        <v>184</v>
      </c>
      <c r="L308" s="41" t="s">
        <v>49</v>
      </c>
      <c r="M308" s="41" t="s">
        <v>128</v>
      </c>
      <c r="N308" s="10" t="s">
        <v>1034</v>
      </c>
      <c r="O308" s="8"/>
      <c r="P308" s="1"/>
    </row>
    <row r="309" spans="1:16" ht="28.5" customHeight="1">
      <c r="A309" s="10">
        <v>1</v>
      </c>
      <c r="B309" s="33" t="s">
        <v>386</v>
      </c>
      <c r="C309" s="41" t="s">
        <v>28</v>
      </c>
      <c r="D309" s="41" t="s">
        <v>1035</v>
      </c>
      <c r="E309" s="41" t="s">
        <v>1036</v>
      </c>
      <c r="F309" s="41">
        <v>51986038163</v>
      </c>
      <c r="G309" s="41" t="s">
        <v>66</v>
      </c>
      <c r="H309" s="8" t="s">
        <v>67</v>
      </c>
      <c r="I309" s="70" t="s">
        <v>1037</v>
      </c>
      <c r="J309" s="70"/>
      <c r="K309" s="70" t="s">
        <v>97</v>
      </c>
      <c r="L309" s="41" t="s">
        <v>55</v>
      </c>
      <c r="M309" s="41" t="s">
        <v>128</v>
      </c>
      <c r="N309" s="10" t="s">
        <v>120</v>
      </c>
      <c r="O309" s="8"/>
      <c r="P309" s="1"/>
    </row>
    <row r="310" spans="1:16" ht="28.5" customHeight="1">
      <c r="A310" s="10">
        <v>1</v>
      </c>
      <c r="B310" s="33" t="s">
        <v>386</v>
      </c>
      <c r="C310" s="41" t="s">
        <v>28</v>
      </c>
      <c r="D310" s="41" t="s">
        <v>1038</v>
      </c>
      <c r="E310" s="41" t="s">
        <v>52</v>
      </c>
      <c r="F310" s="41">
        <v>51999092604</v>
      </c>
      <c r="G310" s="41" t="s">
        <v>1039</v>
      </c>
      <c r="H310" s="8" t="s">
        <v>33</v>
      </c>
      <c r="I310" s="70" t="s">
        <v>467</v>
      </c>
      <c r="J310" s="70"/>
      <c r="K310" s="70" t="s">
        <v>142</v>
      </c>
      <c r="L310" s="41" t="s">
        <v>55</v>
      </c>
      <c r="M310" s="41" t="s">
        <v>35</v>
      </c>
      <c r="N310" s="10" t="s">
        <v>120</v>
      </c>
      <c r="O310" s="8"/>
      <c r="P310" s="1"/>
    </row>
    <row r="311" spans="1:16" ht="28.5" customHeight="1">
      <c r="A311" s="10">
        <v>1</v>
      </c>
      <c r="B311" s="33" t="s">
        <v>386</v>
      </c>
      <c r="C311" s="41" t="s">
        <v>93</v>
      </c>
      <c r="D311" s="41" t="s">
        <v>1040</v>
      </c>
      <c r="E311" s="41" t="s">
        <v>39</v>
      </c>
      <c r="F311" s="41" t="s">
        <v>1041</v>
      </c>
      <c r="G311" s="41" t="s">
        <v>41</v>
      </c>
      <c r="H311" s="8" t="s">
        <v>33</v>
      </c>
      <c r="I311" s="70"/>
      <c r="J311" s="70"/>
      <c r="K311" s="70" t="s">
        <v>250</v>
      </c>
      <c r="L311" s="41" t="s">
        <v>49</v>
      </c>
      <c r="M311" s="41"/>
      <c r="N311" s="10" t="s">
        <v>1042</v>
      </c>
      <c r="O311" s="8"/>
      <c r="P311" s="1"/>
    </row>
    <row r="312" spans="1:16" ht="28.5" customHeight="1">
      <c r="A312" s="10">
        <v>1</v>
      </c>
      <c r="B312" s="33" t="s">
        <v>386</v>
      </c>
      <c r="C312" s="41" t="s">
        <v>28</v>
      </c>
      <c r="D312" s="41" t="s">
        <v>1043</v>
      </c>
      <c r="E312" s="41" t="s">
        <v>292</v>
      </c>
      <c r="F312" s="41">
        <v>51993446740</v>
      </c>
      <c r="G312" s="41" t="s">
        <v>41</v>
      </c>
      <c r="H312" s="8" t="s">
        <v>33</v>
      </c>
      <c r="I312" s="70" t="s">
        <v>54</v>
      </c>
      <c r="J312" s="70"/>
      <c r="K312" s="70" t="s">
        <v>101</v>
      </c>
      <c r="L312" s="41" t="s">
        <v>55</v>
      </c>
      <c r="M312" s="41" t="s">
        <v>61</v>
      </c>
      <c r="N312" s="10" t="s">
        <v>1044</v>
      </c>
      <c r="O312" s="8"/>
      <c r="P312" s="1"/>
    </row>
    <row r="313" spans="1:16" ht="28.5" customHeight="1">
      <c r="A313" s="10">
        <v>1</v>
      </c>
      <c r="B313" s="33" t="s">
        <v>386</v>
      </c>
      <c r="C313" s="41" t="s">
        <v>93</v>
      </c>
      <c r="D313" s="41" t="s">
        <v>1045</v>
      </c>
      <c r="E313" s="41" t="s">
        <v>145</v>
      </c>
      <c r="F313" s="41" t="s">
        <v>1046</v>
      </c>
      <c r="G313" s="41" t="s">
        <v>79</v>
      </c>
      <c r="H313" s="8" t="s">
        <v>47</v>
      </c>
      <c r="I313" s="70"/>
      <c r="J313" s="70"/>
      <c r="K313" s="70" t="s">
        <v>97</v>
      </c>
      <c r="L313" s="41" t="s">
        <v>49</v>
      </c>
      <c r="M313" s="41"/>
      <c r="N313" s="10" t="s">
        <v>1047</v>
      </c>
      <c r="O313" s="8"/>
      <c r="P313" s="1"/>
    </row>
    <row r="314" spans="1:16" ht="28.5" customHeight="1">
      <c r="A314" s="10">
        <v>1</v>
      </c>
      <c r="B314" s="33" t="s">
        <v>386</v>
      </c>
      <c r="C314" s="41" t="s">
        <v>28</v>
      </c>
      <c r="D314" s="41" t="s">
        <v>1048</v>
      </c>
      <c r="E314" s="41" t="s">
        <v>39</v>
      </c>
      <c r="F314" s="41" t="s">
        <v>1049</v>
      </c>
      <c r="G314" s="41" t="s">
        <v>41</v>
      </c>
      <c r="H314" s="8" t="s">
        <v>33</v>
      </c>
      <c r="I314" s="70" t="s">
        <v>54</v>
      </c>
      <c r="J314" s="70"/>
      <c r="K314" s="70" t="s">
        <v>555</v>
      </c>
      <c r="L314" s="41" t="s">
        <v>49</v>
      </c>
      <c r="M314" s="41" t="s">
        <v>35</v>
      </c>
      <c r="N314" s="10" t="s">
        <v>1050</v>
      </c>
      <c r="O314" s="8"/>
      <c r="P314" s="1"/>
    </row>
    <row r="315" spans="1:16" ht="28.5" customHeight="1">
      <c r="A315" s="10">
        <v>1</v>
      </c>
      <c r="B315" s="33" t="s">
        <v>386</v>
      </c>
      <c r="C315" s="41" t="s">
        <v>28</v>
      </c>
      <c r="D315" s="122" t="s">
        <v>1051</v>
      </c>
      <c r="E315" s="41" t="s">
        <v>841</v>
      </c>
      <c r="F315">
        <v>51993881181</v>
      </c>
      <c r="G315" s="41" t="s">
        <v>91</v>
      </c>
      <c r="H315" s="8" t="s">
        <v>67</v>
      </c>
      <c r="I315" s="70" t="s">
        <v>20</v>
      </c>
      <c r="J315" s="70"/>
      <c r="K315" s="70" t="s">
        <v>250</v>
      </c>
      <c r="L315" s="41" t="s">
        <v>34</v>
      </c>
      <c r="M315" s="41" t="s">
        <v>61</v>
      </c>
      <c r="N315" s="10" t="s">
        <v>1052</v>
      </c>
      <c r="O315" s="8"/>
      <c r="P315" s="1"/>
    </row>
    <row r="316" spans="1:16" ht="28.5" customHeight="1">
      <c r="A316" s="10">
        <v>1</v>
      </c>
      <c r="B316" s="33" t="s">
        <v>386</v>
      </c>
      <c r="C316" s="41" t="s">
        <v>28</v>
      </c>
      <c r="D316" s="41" t="s">
        <v>1053</v>
      </c>
      <c r="E316" s="41" t="s">
        <v>438</v>
      </c>
      <c r="F316" s="41" t="s">
        <v>1054</v>
      </c>
      <c r="G316" s="41" t="s">
        <v>91</v>
      </c>
      <c r="H316" s="8" t="s">
        <v>67</v>
      </c>
      <c r="I316" s="70" t="s">
        <v>20</v>
      </c>
      <c r="J316" s="70"/>
      <c r="K316" s="70" t="s">
        <v>154</v>
      </c>
      <c r="L316" s="41" t="s">
        <v>34</v>
      </c>
      <c r="M316" s="41" t="s">
        <v>111</v>
      </c>
      <c r="N316" s="10" t="s">
        <v>1055</v>
      </c>
      <c r="O316" s="8"/>
      <c r="P316" s="1"/>
    </row>
    <row r="317" spans="1:16" ht="28.5" customHeight="1">
      <c r="A317" s="10">
        <v>1</v>
      </c>
      <c r="B317" s="33" t="s">
        <v>386</v>
      </c>
      <c r="C317" s="41" t="s">
        <v>28</v>
      </c>
      <c r="D317" s="41" t="s">
        <v>1056</v>
      </c>
      <c r="E317" s="41" t="s">
        <v>1057</v>
      </c>
      <c r="F317" s="41">
        <v>51992718604</v>
      </c>
      <c r="G317" s="41" t="s">
        <v>66</v>
      </c>
      <c r="H317" s="8" t="s">
        <v>67</v>
      </c>
      <c r="I317" s="70" t="s">
        <v>467</v>
      </c>
      <c r="J317" s="70"/>
      <c r="K317" s="70" t="s">
        <v>97</v>
      </c>
      <c r="L317" s="41" t="s">
        <v>55</v>
      </c>
      <c r="M317" s="41" t="s">
        <v>61</v>
      </c>
      <c r="N317" s="10" t="s">
        <v>211</v>
      </c>
      <c r="O317" s="8"/>
      <c r="P317" s="1"/>
    </row>
    <row r="318" spans="1:16" ht="28.5" customHeight="1">
      <c r="A318" s="10">
        <v>1</v>
      </c>
      <c r="B318" s="33" t="s">
        <v>890</v>
      </c>
      <c r="C318" s="41" t="s">
        <v>93</v>
      </c>
      <c r="D318" s="41" t="s">
        <v>1058</v>
      </c>
      <c r="E318" s="41" t="s">
        <v>363</v>
      </c>
      <c r="F318" s="41" t="s">
        <v>1059</v>
      </c>
      <c r="G318" s="41" t="s">
        <v>66</v>
      </c>
      <c r="H318" s="8" t="s">
        <v>67</v>
      </c>
      <c r="I318" s="70"/>
      <c r="J318" s="70"/>
      <c r="K318" s="70" t="s">
        <v>250</v>
      </c>
      <c r="L318" s="41" t="s">
        <v>49</v>
      </c>
      <c r="M318" s="41"/>
      <c r="N318" s="10" t="s">
        <v>1060</v>
      </c>
      <c r="O318" s="8"/>
      <c r="P318" s="1"/>
    </row>
    <row r="319" spans="1:16" ht="28.5" customHeight="1">
      <c r="A319" s="10">
        <v>1</v>
      </c>
      <c r="B319" s="33" t="s">
        <v>890</v>
      </c>
      <c r="C319" s="41" t="s">
        <v>28</v>
      </c>
      <c r="D319" s="41" t="s">
        <v>1061</v>
      </c>
      <c r="E319" s="41" t="s">
        <v>446</v>
      </c>
      <c r="F319" s="41" t="s">
        <v>1062</v>
      </c>
      <c r="G319" s="41" t="s">
        <v>66</v>
      </c>
      <c r="H319" s="8" t="s">
        <v>67</v>
      </c>
      <c r="I319" s="70" t="s">
        <v>467</v>
      </c>
      <c r="J319" s="70"/>
      <c r="K319" s="70" t="s">
        <v>250</v>
      </c>
      <c r="L319" s="41" t="s">
        <v>49</v>
      </c>
      <c r="M319" s="41" t="s">
        <v>80</v>
      </c>
      <c r="N319" s="10" t="s">
        <v>1063</v>
      </c>
      <c r="O319" s="8"/>
      <c r="P319" s="1"/>
    </row>
    <row r="320" spans="1:16" ht="28.5" customHeight="1">
      <c r="A320" s="10">
        <v>1</v>
      </c>
      <c r="B320" s="33" t="s">
        <v>890</v>
      </c>
      <c r="C320" s="41" t="s">
        <v>93</v>
      </c>
      <c r="D320" s="41" t="s">
        <v>1064</v>
      </c>
      <c r="E320" s="41" t="s">
        <v>39</v>
      </c>
      <c r="F320" s="41">
        <v>51996462349</v>
      </c>
      <c r="G320" s="41" t="s">
        <v>41</v>
      </c>
      <c r="H320" s="8" t="s">
        <v>33</v>
      </c>
      <c r="I320" s="70"/>
      <c r="J320" s="70"/>
      <c r="K320" s="70" t="s">
        <v>250</v>
      </c>
      <c r="L320" s="41" t="s">
        <v>55</v>
      </c>
      <c r="M320" s="41"/>
      <c r="N320" s="10" t="s">
        <v>974</v>
      </c>
      <c r="O320" s="8"/>
      <c r="P320" s="1"/>
    </row>
    <row r="321" spans="1:16" ht="28.5" customHeight="1">
      <c r="A321" s="10">
        <v>1</v>
      </c>
      <c r="B321" s="33" t="s">
        <v>890</v>
      </c>
      <c r="C321" s="41" t="s">
        <v>28</v>
      </c>
      <c r="D321" s="41" t="s">
        <v>1065</v>
      </c>
      <c r="E321" s="41" t="s">
        <v>39</v>
      </c>
      <c r="F321" s="41" t="s">
        <v>1066</v>
      </c>
      <c r="G321" s="41" t="s">
        <v>41</v>
      </c>
      <c r="H321" s="8" t="s">
        <v>33</v>
      </c>
      <c r="I321" s="70" t="s">
        <v>633</v>
      </c>
      <c r="J321" s="70"/>
      <c r="K321" s="70" t="s">
        <v>101</v>
      </c>
      <c r="L321" s="41" t="s">
        <v>49</v>
      </c>
      <c r="M321" s="41" t="s">
        <v>35</v>
      </c>
      <c r="N321" s="10" t="s">
        <v>1067</v>
      </c>
      <c r="O321" s="8"/>
      <c r="P321" s="1"/>
    </row>
    <row r="322" spans="1:16" ht="28.5" customHeight="1">
      <c r="A322" s="10">
        <v>1</v>
      </c>
      <c r="B322" s="33" t="s">
        <v>890</v>
      </c>
      <c r="C322" s="41" t="s">
        <v>28</v>
      </c>
      <c r="D322" s="113" t="s">
        <v>1068</v>
      </c>
      <c r="E322" s="41" t="s">
        <v>79</v>
      </c>
      <c r="F322" s="41">
        <v>51982051515</v>
      </c>
      <c r="G322" s="41" t="s">
        <v>79</v>
      </c>
      <c r="H322" s="8" t="s">
        <v>47</v>
      </c>
      <c r="I322" s="70" t="s">
        <v>425</v>
      </c>
      <c r="J322" s="70"/>
      <c r="K322" s="70" t="s">
        <v>97</v>
      </c>
      <c r="L322" s="41" t="s">
        <v>55</v>
      </c>
      <c r="M322" s="41" t="s">
        <v>35</v>
      </c>
      <c r="N322" s="10" t="s">
        <v>601</v>
      </c>
      <c r="O322" s="8"/>
      <c r="P322" s="1"/>
    </row>
    <row r="323" spans="1:16" ht="28.5" customHeight="1">
      <c r="A323" s="10">
        <v>1</v>
      </c>
      <c r="B323" s="33" t="s">
        <v>890</v>
      </c>
      <c r="C323" s="41" t="s">
        <v>93</v>
      </c>
      <c r="D323" s="41" t="s">
        <v>1064</v>
      </c>
      <c r="E323" s="41" t="s">
        <v>39</v>
      </c>
      <c r="F323" s="41" t="s">
        <v>1069</v>
      </c>
      <c r="G323" s="41" t="s">
        <v>41</v>
      </c>
      <c r="H323" s="8" t="s">
        <v>33</v>
      </c>
      <c r="I323" s="70"/>
      <c r="J323" s="70"/>
      <c r="K323" s="70" t="s">
        <v>250</v>
      </c>
      <c r="L323" s="41" t="s">
        <v>49</v>
      </c>
      <c r="M323" s="41"/>
      <c r="N323" s="10" t="s">
        <v>1070</v>
      </c>
      <c r="O323" s="8"/>
      <c r="P323" s="1"/>
    </row>
    <row r="324" spans="1:16" ht="28.5" customHeight="1">
      <c r="A324" s="10">
        <v>1</v>
      </c>
      <c r="B324" s="33" t="s">
        <v>890</v>
      </c>
      <c r="C324" s="41" t="s">
        <v>28</v>
      </c>
      <c r="D324" s="41" t="s">
        <v>1071</v>
      </c>
      <c r="E324" s="41" t="s">
        <v>363</v>
      </c>
      <c r="F324" s="41" t="s">
        <v>1072</v>
      </c>
      <c r="G324" s="41" t="s">
        <v>66</v>
      </c>
      <c r="H324" s="8" t="s">
        <v>67</v>
      </c>
      <c r="I324" s="70" t="s">
        <v>467</v>
      </c>
      <c r="J324" s="70"/>
      <c r="K324" s="70" t="s">
        <v>97</v>
      </c>
      <c r="L324" s="41" t="s">
        <v>49</v>
      </c>
      <c r="M324" s="41" t="s">
        <v>80</v>
      </c>
      <c r="N324" s="10" t="s">
        <v>1073</v>
      </c>
      <c r="O324" s="8"/>
      <c r="P324" s="1"/>
    </row>
    <row r="325" spans="1:16" ht="28.5" customHeight="1">
      <c r="A325" s="10">
        <v>1</v>
      </c>
      <c r="B325" s="33" t="s">
        <v>890</v>
      </c>
      <c r="C325" s="41" t="s">
        <v>28</v>
      </c>
      <c r="D325" s="41" t="s">
        <v>1074</v>
      </c>
      <c r="E325" s="41" t="s">
        <v>525</v>
      </c>
      <c r="F325" s="41">
        <v>51995275320</v>
      </c>
      <c r="G325" s="41" t="s">
        <v>85</v>
      </c>
      <c r="H325" s="8" t="s">
        <v>33</v>
      </c>
      <c r="I325" s="70" t="s">
        <v>1075</v>
      </c>
      <c r="J325" s="70"/>
      <c r="K325" s="70" t="s">
        <v>179</v>
      </c>
      <c r="L325" s="41" t="s">
        <v>55</v>
      </c>
      <c r="M325" s="41" t="s">
        <v>56</v>
      </c>
      <c r="N325" s="10" t="s">
        <v>976</v>
      </c>
      <c r="O325" s="8"/>
      <c r="P325" s="1"/>
    </row>
    <row r="326" spans="1:16" ht="28.5" customHeight="1">
      <c r="A326" s="10">
        <v>1</v>
      </c>
      <c r="B326" s="33" t="s">
        <v>890</v>
      </c>
      <c r="C326" s="41" t="s">
        <v>93</v>
      </c>
      <c r="D326" s="41" t="s">
        <v>1076</v>
      </c>
      <c r="E326" s="41" t="s">
        <v>310</v>
      </c>
      <c r="F326" s="41" t="s">
        <v>1077</v>
      </c>
      <c r="G326" s="41" t="s">
        <v>750</v>
      </c>
      <c r="H326" s="8" t="s">
        <v>47</v>
      </c>
      <c r="I326" s="70"/>
      <c r="J326" s="70"/>
      <c r="K326" s="70" t="s">
        <v>97</v>
      </c>
      <c r="L326" s="41" t="s">
        <v>34</v>
      </c>
      <c r="M326" s="41"/>
      <c r="N326" s="10" t="s">
        <v>1078</v>
      </c>
      <c r="O326" s="8"/>
      <c r="P326" s="1"/>
    </row>
    <row r="327" spans="1:16" ht="28.5" customHeight="1">
      <c r="A327" s="10">
        <v>1</v>
      </c>
      <c r="B327" s="33" t="s">
        <v>890</v>
      </c>
      <c r="C327" s="41" t="s">
        <v>28</v>
      </c>
      <c r="D327" s="41" t="s">
        <v>1079</v>
      </c>
      <c r="E327" s="41" t="s">
        <v>1080</v>
      </c>
      <c r="F327" s="41">
        <v>51985777487</v>
      </c>
      <c r="G327" s="41" t="s">
        <v>85</v>
      </c>
      <c r="H327" s="8" t="s">
        <v>33</v>
      </c>
      <c r="I327" s="70" t="s">
        <v>54</v>
      </c>
      <c r="J327" s="70"/>
      <c r="K327" s="70" t="s">
        <v>250</v>
      </c>
      <c r="L327" s="41" t="s">
        <v>55</v>
      </c>
      <c r="M327" s="41" t="s">
        <v>56</v>
      </c>
      <c r="N327" s="10" t="s">
        <v>1081</v>
      </c>
      <c r="O327" s="8"/>
      <c r="P327" s="1"/>
    </row>
    <row r="328" spans="1:16" ht="28.5" customHeight="1">
      <c r="A328" s="10">
        <v>1</v>
      </c>
      <c r="B328" s="33" t="s">
        <v>890</v>
      </c>
      <c r="C328" s="41" t="s">
        <v>28</v>
      </c>
      <c r="D328" s="41" t="s">
        <v>1082</v>
      </c>
      <c r="E328" s="41" t="s">
        <v>1083</v>
      </c>
      <c r="F328" s="41">
        <v>51997589654</v>
      </c>
      <c r="G328" s="41" t="s">
        <v>85</v>
      </c>
      <c r="H328" s="8" t="s">
        <v>33</v>
      </c>
      <c r="I328" s="70" t="s">
        <v>1075</v>
      </c>
      <c r="J328" s="70"/>
      <c r="K328" s="70" t="s">
        <v>97</v>
      </c>
      <c r="L328" s="41" t="s">
        <v>55</v>
      </c>
      <c r="M328" s="41" t="s">
        <v>35</v>
      </c>
      <c r="N328" s="10" t="s">
        <v>1084</v>
      </c>
      <c r="O328" s="8"/>
      <c r="P328" s="1"/>
    </row>
    <row r="329" spans="1:16" ht="28.5" customHeight="1">
      <c r="A329" s="10">
        <v>1</v>
      </c>
      <c r="B329" s="33" t="s">
        <v>890</v>
      </c>
      <c r="C329" s="41" t="s">
        <v>28</v>
      </c>
      <c r="D329" s="41" t="s">
        <v>1085</v>
      </c>
      <c r="E329" s="41" t="s">
        <v>1086</v>
      </c>
      <c r="F329" s="41" t="s">
        <v>1087</v>
      </c>
      <c r="G329" s="41" t="s">
        <v>66</v>
      </c>
      <c r="H329" s="8" t="s">
        <v>67</v>
      </c>
      <c r="I329" s="70" t="s">
        <v>467</v>
      </c>
      <c r="J329" s="70"/>
      <c r="K329" s="70" t="s">
        <v>250</v>
      </c>
      <c r="L329" s="41" t="s">
        <v>49</v>
      </c>
      <c r="M329" s="41" t="s">
        <v>35</v>
      </c>
      <c r="N329" s="10" t="s">
        <v>1088</v>
      </c>
      <c r="O329" s="8"/>
      <c r="P329" s="1"/>
    </row>
    <row r="330" spans="1:16" ht="28.5" customHeight="1">
      <c r="A330" s="10">
        <v>1</v>
      </c>
      <c r="B330" s="33" t="s">
        <v>890</v>
      </c>
      <c r="C330" s="41" t="s">
        <v>93</v>
      </c>
      <c r="D330" s="41" t="s">
        <v>1089</v>
      </c>
      <c r="E330" s="41" t="s">
        <v>39</v>
      </c>
      <c r="F330" s="41" t="s">
        <v>1090</v>
      </c>
      <c r="G330" s="41" t="s">
        <v>1091</v>
      </c>
      <c r="H330" s="8" t="s">
        <v>33</v>
      </c>
      <c r="I330" s="70"/>
      <c r="J330" s="70"/>
      <c r="K330" s="70" t="s">
        <v>568</v>
      </c>
      <c r="L330" s="41" t="s">
        <v>34</v>
      </c>
      <c r="M330" s="41"/>
      <c r="N330" s="10" t="s">
        <v>1092</v>
      </c>
      <c r="O330" s="8"/>
      <c r="P330" s="1"/>
    </row>
    <row r="331" spans="1:16" ht="28.5" customHeight="1">
      <c r="A331" s="10">
        <v>1</v>
      </c>
      <c r="B331" s="33" t="s">
        <v>890</v>
      </c>
      <c r="C331" s="41" t="s">
        <v>28</v>
      </c>
      <c r="D331" s="41" t="s">
        <v>1093</v>
      </c>
      <c r="E331" s="41" t="s">
        <v>150</v>
      </c>
      <c r="F331" s="41" t="s">
        <v>1094</v>
      </c>
      <c r="G331" s="41" t="s">
        <v>91</v>
      </c>
      <c r="H331" s="8" t="s">
        <v>67</v>
      </c>
      <c r="I331" s="70" t="s">
        <v>425</v>
      </c>
      <c r="J331" s="70"/>
      <c r="K331" s="70" t="s">
        <v>184</v>
      </c>
      <c r="L331" s="41" t="s">
        <v>49</v>
      </c>
      <c r="M331" s="41" t="s">
        <v>80</v>
      </c>
      <c r="N331" s="10" t="s">
        <v>1095</v>
      </c>
      <c r="O331" s="8"/>
      <c r="P331" s="1"/>
    </row>
    <row r="332" spans="1:16" ht="28.5" customHeight="1">
      <c r="A332" s="10">
        <v>1</v>
      </c>
      <c r="B332" s="33" t="s">
        <v>890</v>
      </c>
      <c r="C332" s="41" t="s">
        <v>28</v>
      </c>
      <c r="D332" s="41" t="s">
        <v>1096</v>
      </c>
      <c r="E332" s="41" t="s">
        <v>354</v>
      </c>
      <c r="F332" s="41" t="s">
        <v>1097</v>
      </c>
      <c r="G332" s="41" t="s">
        <v>79</v>
      </c>
      <c r="H332" s="8" t="s">
        <v>47</v>
      </c>
      <c r="I332" s="70" t="s">
        <v>930</v>
      </c>
      <c r="J332" s="70"/>
      <c r="K332" s="70" t="s">
        <v>250</v>
      </c>
      <c r="L332" s="41" t="s">
        <v>49</v>
      </c>
      <c r="M332" s="41" t="s">
        <v>56</v>
      </c>
      <c r="N332" s="10" t="s">
        <v>1098</v>
      </c>
      <c r="O332" s="8"/>
      <c r="P332" s="1"/>
    </row>
    <row r="333" spans="1:16" ht="28.5" customHeight="1">
      <c r="A333" s="10">
        <v>1</v>
      </c>
      <c r="B333" s="33" t="s">
        <v>890</v>
      </c>
      <c r="C333" s="41" t="s">
        <v>93</v>
      </c>
      <c r="D333" s="41" t="s">
        <v>1099</v>
      </c>
      <c r="E333" s="41" t="s">
        <v>1100</v>
      </c>
      <c r="F333" s="41">
        <v>51989114801</v>
      </c>
      <c r="G333" s="41" t="s">
        <v>79</v>
      </c>
      <c r="H333" s="8" t="s">
        <v>47</v>
      </c>
      <c r="I333" s="70"/>
      <c r="J333" s="70"/>
      <c r="K333" s="70" t="s">
        <v>97</v>
      </c>
      <c r="L333" s="41" t="s">
        <v>55</v>
      </c>
      <c r="M333" s="41"/>
      <c r="N333" s="10" t="s">
        <v>974</v>
      </c>
      <c r="O333" s="8"/>
      <c r="P333" s="1"/>
    </row>
    <row r="334" spans="1:16" ht="28.5" customHeight="1">
      <c r="A334" s="10">
        <v>1</v>
      </c>
      <c r="B334" s="33" t="s">
        <v>890</v>
      </c>
      <c r="C334" s="41" t="s">
        <v>93</v>
      </c>
      <c r="D334" s="41" t="s">
        <v>1101</v>
      </c>
      <c r="E334" s="41" t="s">
        <v>1102</v>
      </c>
      <c r="F334" s="41" t="s">
        <v>1103</v>
      </c>
      <c r="G334" s="41" t="s">
        <v>79</v>
      </c>
      <c r="H334" s="8" t="s">
        <v>47</v>
      </c>
      <c r="I334" s="70"/>
      <c r="J334" s="70"/>
      <c r="K334" s="70" t="s">
        <v>184</v>
      </c>
      <c r="L334" s="41" t="s">
        <v>49</v>
      </c>
      <c r="M334" s="41"/>
      <c r="N334" s="10" t="s">
        <v>1104</v>
      </c>
      <c r="O334" s="8"/>
      <c r="P334" s="1"/>
    </row>
    <row r="335" spans="1:16" ht="28.5" customHeight="1">
      <c r="A335" s="10">
        <v>1</v>
      </c>
      <c r="B335" s="33" t="s">
        <v>890</v>
      </c>
      <c r="C335" s="41" t="s">
        <v>93</v>
      </c>
      <c r="D335" s="41" t="s">
        <v>1028</v>
      </c>
      <c r="E335" s="41" t="s">
        <v>446</v>
      </c>
      <c r="F335" s="41" t="s">
        <v>1029</v>
      </c>
      <c r="G335" s="41" t="s">
        <v>66</v>
      </c>
      <c r="H335" s="8" t="s">
        <v>67</v>
      </c>
      <c r="I335" s="70"/>
      <c r="J335" s="70"/>
      <c r="K335" s="70" t="s">
        <v>97</v>
      </c>
      <c r="L335" s="41" t="s">
        <v>49</v>
      </c>
      <c r="M335" s="41"/>
      <c r="N335" s="10" t="s">
        <v>1105</v>
      </c>
      <c r="O335" s="8"/>
      <c r="P335" s="1"/>
    </row>
    <row r="336" spans="1:16" ht="28.5" customHeight="1">
      <c r="A336" s="10">
        <v>1</v>
      </c>
      <c r="B336" s="33" t="s">
        <v>890</v>
      </c>
      <c r="C336" s="41" t="s">
        <v>93</v>
      </c>
      <c r="D336" s="41" t="s">
        <v>1106</v>
      </c>
      <c r="E336" s="41" t="s">
        <v>817</v>
      </c>
      <c r="F336" s="41" t="s">
        <v>1107</v>
      </c>
      <c r="G336" s="41" t="s">
        <v>41</v>
      </c>
      <c r="H336" s="8" t="s">
        <v>33</v>
      </c>
      <c r="I336" s="70"/>
      <c r="J336" s="70"/>
      <c r="K336" s="70" t="s">
        <v>97</v>
      </c>
      <c r="L336" s="41" t="s">
        <v>49</v>
      </c>
      <c r="M336" s="41"/>
      <c r="N336" s="10" t="s">
        <v>1108</v>
      </c>
      <c r="O336" s="8"/>
      <c r="P336" s="1"/>
    </row>
    <row r="337" spans="1:16" ht="28.5" customHeight="1">
      <c r="A337" s="10">
        <v>1</v>
      </c>
      <c r="B337" s="33" t="s">
        <v>1033</v>
      </c>
      <c r="C337" s="41" t="s">
        <v>93</v>
      </c>
      <c r="D337" s="41" t="s">
        <v>1109</v>
      </c>
      <c r="E337" s="41" t="s">
        <v>817</v>
      </c>
      <c r="F337" s="41" t="s">
        <v>1110</v>
      </c>
      <c r="G337" s="41" t="s">
        <v>41</v>
      </c>
      <c r="H337" s="8" t="s">
        <v>33</v>
      </c>
      <c r="I337" s="70"/>
      <c r="J337" s="70"/>
      <c r="K337" s="70" t="s">
        <v>250</v>
      </c>
      <c r="L337" s="41" t="s">
        <v>49</v>
      </c>
      <c r="M337" s="41"/>
      <c r="N337" s="10" t="s">
        <v>1111</v>
      </c>
      <c r="O337" s="8"/>
      <c r="P337" s="1"/>
    </row>
    <row r="338" spans="1:16" ht="28.5" customHeight="1">
      <c r="A338" s="10">
        <v>1</v>
      </c>
      <c r="B338" s="33" t="s">
        <v>1033</v>
      </c>
      <c r="C338" s="41" t="s">
        <v>93</v>
      </c>
      <c r="D338" s="41" t="s">
        <v>1112</v>
      </c>
      <c r="E338" s="41" t="s">
        <v>893</v>
      </c>
      <c r="F338" s="41" t="s">
        <v>1113</v>
      </c>
      <c r="G338" s="41" t="s">
        <v>85</v>
      </c>
      <c r="H338" s="8" t="s">
        <v>33</v>
      </c>
      <c r="I338" s="70"/>
      <c r="J338" s="70"/>
      <c r="K338" s="70" t="s">
        <v>97</v>
      </c>
      <c r="L338" s="41" t="s">
        <v>49</v>
      </c>
      <c r="M338" s="41"/>
      <c r="N338" s="10" t="s">
        <v>1114</v>
      </c>
      <c r="O338" s="8"/>
      <c r="P338" s="1"/>
    </row>
    <row r="339" spans="1:16" ht="28.5" customHeight="1">
      <c r="A339" s="10">
        <v>1</v>
      </c>
      <c r="B339" s="33" t="s">
        <v>1033</v>
      </c>
      <c r="C339" s="41" t="s">
        <v>28</v>
      </c>
      <c r="D339" s="41" t="s">
        <v>1115</v>
      </c>
      <c r="E339" s="41" t="s">
        <v>39</v>
      </c>
      <c r="F339" s="41" t="s">
        <v>1116</v>
      </c>
      <c r="G339" s="41" t="s">
        <v>41</v>
      </c>
      <c r="H339" s="8" t="s">
        <v>33</v>
      </c>
      <c r="I339" s="70" t="s">
        <v>930</v>
      </c>
      <c r="J339" s="70"/>
      <c r="K339" s="70" t="s">
        <v>250</v>
      </c>
      <c r="L339" s="41" t="s">
        <v>49</v>
      </c>
      <c r="M339" s="41" t="s">
        <v>128</v>
      </c>
      <c r="N339" s="10" t="s">
        <v>1117</v>
      </c>
      <c r="O339" s="8"/>
      <c r="P339" s="1"/>
    </row>
    <row r="340" spans="1:16" ht="28.5" customHeight="1">
      <c r="A340" s="10">
        <v>1</v>
      </c>
      <c r="B340" s="33" t="s">
        <v>1033</v>
      </c>
      <c r="C340" s="41" t="s">
        <v>28</v>
      </c>
      <c r="D340" s="41" t="s">
        <v>1118</v>
      </c>
      <c r="E340" s="41" t="s">
        <v>1119</v>
      </c>
      <c r="F340" s="41" t="s">
        <v>1120</v>
      </c>
      <c r="G340" s="41" t="s">
        <v>1121</v>
      </c>
      <c r="H340" s="8" t="s">
        <v>67</v>
      </c>
      <c r="I340" s="70" t="s">
        <v>900</v>
      </c>
      <c r="J340" s="70"/>
      <c r="K340" s="70" t="s">
        <v>568</v>
      </c>
      <c r="L340" s="41" t="s">
        <v>49</v>
      </c>
      <c r="M340" s="41" t="s">
        <v>128</v>
      </c>
      <c r="N340" s="10" t="s">
        <v>820</v>
      </c>
      <c r="O340" s="8"/>
      <c r="P340" s="1"/>
    </row>
    <row r="341" spans="1:16" ht="28.5" customHeight="1">
      <c r="A341" s="10">
        <v>1</v>
      </c>
      <c r="B341" s="33" t="s">
        <v>1033</v>
      </c>
      <c r="C341" s="41" t="s">
        <v>28</v>
      </c>
      <c r="D341" s="41" t="s">
        <v>1122</v>
      </c>
      <c r="E341" s="41" t="s">
        <v>165</v>
      </c>
      <c r="F341" s="41" t="s">
        <v>1123</v>
      </c>
      <c r="G341" s="41" t="s">
        <v>66</v>
      </c>
      <c r="H341" s="8" t="s">
        <v>67</v>
      </c>
      <c r="I341" s="70" t="s">
        <v>467</v>
      </c>
      <c r="J341" s="70"/>
      <c r="K341" s="70" t="s">
        <v>101</v>
      </c>
      <c r="L341" s="41" t="s">
        <v>49</v>
      </c>
      <c r="M341" s="41" t="s">
        <v>128</v>
      </c>
      <c r="N341" s="10" t="s">
        <v>1124</v>
      </c>
      <c r="O341" s="8"/>
      <c r="P341" s="1"/>
    </row>
    <row r="342" spans="1:16" ht="28.5" customHeight="1">
      <c r="A342" s="10">
        <v>1</v>
      </c>
      <c r="B342" s="33" t="s">
        <v>1033</v>
      </c>
      <c r="C342" s="41" t="s">
        <v>28</v>
      </c>
      <c r="D342" s="41" t="s">
        <v>1125</v>
      </c>
      <c r="E342" s="41" t="s">
        <v>1126</v>
      </c>
      <c r="F342" s="41" t="s">
        <v>1127</v>
      </c>
      <c r="G342" s="41" t="s">
        <v>41</v>
      </c>
      <c r="H342" s="8" t="s">
        <v>33</v>
      </c>
      <c r="I342" s="70" t="s">
        <v>195</v>
      </c>
      <c r="J342" s="70"/>
      <c r="K342" s="70" t="s">
        <v>568</v>
      </c>
      <c r="L342" s="41" t="s">
        <v>49</v>
      </c>
      <c r="M342" s="41" t="s">
        <v>61</v>
      </c>
      <c r="N342" s="10" t="s">
        <v>1128</v>
      </c>
      <c r="O342" s="8"/>
      <c r="P342" s="1"/>
    </row>
    <row r="343" spans="1:16" ht="28.5" customHeight="1">
      <c r="A343" s="10">
        <v>1</v>
      </c>
      <c r="B343" s="33" t="s">
        <v>1033</v>
      </c>
      <c r="C343" s="41" t="s">
        <v>28</v>
      </c>
      <c r="D343" s="41" t="s">
        <v>1129</v>
      </c>
      <c r="E343" s="41" t="s">
        <v>312</v>
      </c>
      <c r="F343" s="41" t="s">
        <v>1130</v>
      </c>
      <c r="G343" s="41" t="s">
        <v>41</v>
      </c>
      <c r="H343" s="8" t="s">
        <v>33</v>
      </c>
      <c r="I343" s="70" t="s">
        <v>1131</v>
      </c>
      <c r="J343" s="70"/>
      <c r="K343" s="70" t="s">
        <v>250</v>
      </c>
      <c r="L343" s="41" t="s">
        <v>49</v>
      </c>
      <c r="M343" s="41" t="s">
        <v>128</v>
      </c>
      <c r="N343" s="10" t="s">
        <v>1132</v>
      </c>
      <c r="O343" s="8"/>
      <c r="P343" s="1"/>
    </row>
    <row r="344" spans="1:16" ht="28.5" customHeight="1">
      <c r="A344" s="10">
        <v>1</v>
      </c>
      <c r="B344" s="33" t="s">
        <v>1033</v>
      </c>
      <c r="C344" s="41" t="s">
        <v>28</v>
      </c>
      <c r="D344" s="41" t="s">
        <v>1133</v>
      </c>
      <c r="E344" s="41" t="s">
        <v>1134</v>
      </c>
      <c r="F344" s="41" t="s">
        <v>1135</v>
      </c>
      <c r="G344" s="41" t="s">
        <v>41</v>
      </c>
      <c r="H344" s="8" t="s">
        <v>33</v>
      </c>
      <c r="I344" s="70" t="s">
        <v>930</v>
      </c>
      <c r="J344" s="70"/>
      <c r="K344" s="70" t="s">
        <v>1136</v>
      </c>
      <c r="L344" s="41" t="s">
        <v>49</v>
      </c>
      <c r="M344" s="41" t="s">
        <v>128</v>
      </c>
      <c r="N344" s="10" t="s">
        <v>1137</v>
      </c>
      <c r="O344" s="8"/>
      <c r="P344" s="1"/>
    </row>
    <row r="345" spans="1:16" ht="28.5" customHeight="1">
      <c r="A345" s="10">
        <v>1</v>
      </c>
      <c r="B345" s="33" t="s">
        <v>1033</v>
      </c>
      <c r="C345" s="41" t="s">
        <v>93</v>
      </c>
      <c r="D345" s="41" t="s">
        <v>1138</v>
      </c>
      <c r="E345" s="41" t="s">
        <v>253</v>
      </c>
      <c r="F345" s="41" t="s">
        <v>1139</v>
      </c>
      <c r="G345" s="41" t="s">
        <v>1140</v>
      </c>
      <c r="H345" s="8" t="s">
        <v>67</v>
      </c>
      <c r="I345" s="70"/>
      <c r="J345" s="70"/>
      <c r="K345" s="70" t="s">
        <v>184</v>
      </c>
      <c r="L345" s="41" t="s">
        <v>34</v>
      </c>
      <c r="M345" s="41"/>
      <c r="N345" s="10" t="s">
        <v>1141</v>
      </c>
      <c r="O345" s="8"/>
      <c r="P345" s="1"/>
    </row>
    <row r="346" spans="1:16" ht="28.5" customHeight="1">
      <c r="A346" s="10">
        <v>1</v>
      </c>
      <c r="B346" s="33" t="s">
        <v>1033</v>
      </c>
      <c r="C346" s="41" t="s">
        <v>93</v>
      </c>
      <c r="D346" s="41" t="s">
        <v>1142</v>
      </c>
      <c r="E346" s="41" t="s">
        <v>446</v>
      </c>
      <c r="F346" s="41" t="s">
        <v>1143</v>
      </c>
      <c r="G346" s="41" t="s">
        <v>507</v>
      </c>
      <c r="H346" s="8" t="s">
        <v>67</v>
      </c>
      <c r="I346" s="70"/>
      <c r="J346" s="70"/>
      <c r="K346" s="70" t="s">
        <v>179</v>
      </c>
      <c r="L346" s="41" t="s">
        <v>34</v>
      </c>
      <c r="M346" s="41"/>
      <c r="N346" s="10" t="s">
        <v>1144</v>
      </c>
      <c r="O346" s="8"/>
      <c r="P346" s="1"/>
    </row>
    <row r="347" spans="1:16" ht="28.5" customHeight="1">
      <c r="A347" s="10">
        <v>1</v>
      </c>
      <c r="B347" s="33" t="s">
        <v>1033</v>
      </c>
      <c r="C347" s="41" t="s">
        <v>28</v>
      </c>
      <c r="D347" s="41" t="s">
        <v>1145</v>
      </c>
      <c r="E347" s="41" t="s">
        <v>1146</v>
      </c>
      <c r="F347" s="41" t="s">
        <v>1147</v>
      </c>
      <c r="G347" s="41" t="s">
        <v>66</v>
      </c>
      <c r="H347" s="8" t="s">
        <v>206</v>
      </c>
      <c r="I347" s="70" t="s">
        <v>1148</v>
      </c>
      <c r="J347" s="70"/>
      <c r="K347" s="70" t="s">
        <v>250</v>
      </c>
      <c r="L347" s="41" t="s">
        <v>34</v>
      </c>
      <c r="M347" s="41" t="s">
        <v>61</v>
      </c>
      <c r="N347" s="10" t="s">
        <v>1149</v>
      </c>
      <c r="O347" s="8"/>
      <c r="P347" s="1"/>
    </row>
    <row r="348" spans="1:16" ht="28.5" customHeight="1">
      <c r="A348" s="10">
        <v>1</v>
      </c>
      <c r="B348" s="33" t="s">
        <v>1033</v>
      </c>
      <c r="C348" s="41" t="s">
        <v>28</v>
      </c>
      <c r="D348" s="41" t="s">
        <v>1150</v>
      </c>
      <c r="E348" s="41" t="s">
        <v>145</v>
      </c>
      <c r="F348" s="41" t="s">
        <v>1151</v>
      </c>
      <c r="G348" s="41" t="s">
        <v>79</v>
      </c>
      <c r="H348" s="8" t="s">
        <v>402</v>
      </c>
      <c r="I348" s="70" t="s">
        <v>538</v>
      </c>
      <c r="J348" s="70"/>
      <c r="K348" s="70" t="s">
        <v>97</v>
      </c>
      <c r="L348" s="41" t="s">
        <v>1152</v>
      </c>
      <c r="M348" s="41" t="s">
        <v>61</v>
      </c>
      <c r="N348" s="10" t="s">
        <v>1153</v>
      </c>
      <c r="O348" s="8"/>
      <c r="P348" s="1"/>
    </row>
    <row r="349" spans="1:16" ht="28.5" customHeight="1">
      <c r="A349" s="10">
        <v>1</v>
      </c>
      <c r="B349" s="33" t="s">
        <v>633</v>
      </c>
      <c r="C349" s="41" t="s">
        <v>28</v>
      </c>
      <c r="D349" s="41" t="s">
        <v>1154</v>
      </c>
      <c r="E349" s="41" t="s">
        <v>992</v>
      </c>
      <c r="F349" s="41">
        <v>51984499912</v>
      </c>
      <c r="G349" s="41" t="s">
        <v>66</v>
      </c>
      <c r="H349" s="8" t="s">
        <v>67</v>
      </c>
      <c r="I349" s="70" t="s">
        <v>425</v>
      </c>
      <c r="J349" s="70"/>
      <c r="K349" s="70" t="s">
        <v>250</v>
      </c>
      <c r="L349" s="41" t="s">
        <v>55</v>
      </c>
      <c r="M349" s="41" t="s">
        <v>128</v>
      </c>
      <c r="N349" s="10" t="s">
        <v>129</v>
      </c>
      <c r="O349" s="8"/>
      <c r="P349" s="1"/>
    </row>
    <row r="350" spans="1:16" ht="28.5" customHeight="1">
      <c r="A350" s="10">
        <v>1</v>
      </c>
      <c r="B350" s="33" t="s">
        <v>633</v>
      </c>
      <c r="C350" s="41" t="s">
        <v>28</v>
      </c>
      <c r="D350" s="41" t="s">
        <v>1155</v>
      </c>
      <c r="E350" s="41" t="s">
        <v>841</v>
      </c>
      <c r="F350" s="41">
        <v>51992718604</v>
      </c>
      <c r="G350" s="41" t="s">
        <v>91</v>
      </c>
      <c r="H350" s="8" t="s">
        <v>67</v>
      </c>
      <c r="I350" s="70" t="s">
        <v>425</v>
      </c>
      <c r="J350" s="70"/>
      <c r="K350" s="70" t="s">
        <v>97</v>
      </c>
      <c r="L350" s="41" t="s">
        <v>55</v>
      </c>
      <c r="M350" s="41" t="s">
        <v>128</v>
      </c>
      <c r="N350" s="10" t="s">
        <v>468</v>
      </c>
      <c r="O350" s="8"/>
      <c r="P350" s="1"/>
    </row>
    <row r="351" spans="1:16" ht="28.5" customHeight="1">
      <c r="A351" s="10">
        <v>1</v>
      </c>
      <c r="B351" s="33" t="s">
        <v>633</v>
      </c>
      <c r="C351" s="41" t="s">
        <v>28</v>
      </c>
      <c r="D351" s="41" t="s">
        <v>1156</v>
      </c>
      <c r="E351" s="41" t="s">
        <v>71</v>
      </c>
      <c r="F351" s="41" t="s">
        <v>1157</v>
      </c>
      <c r="G351" s="41" t="s">
        <v>730</v>
      </c>
      <c r="H351" s="8" t="s">
        <v>33</v>
      </c>
      <c r="I351" s="70" t="s">
        <v>1131</v>
      </c>
      <c r="J351" s="70"/>
      <c r="K351" s="70" t="s">
        <v>97</v>
      </c>
      <c r="L351" s="41" t="s">
        <v>49</v>
      </c>
      <c r="M351" s="41" t="s">
        <v>128</v>
      </c>
      <c r="N351" s="10" t="s">
        <v>1158</v>
      </c>
      <c r="O351" s="8"/>
      <c r="P351" s="1"/>
    </row>
    <row r="352" spans="1:16" ht="28.5" customHeight="1">
      <c r="A352" s="10">
        <v>1</v>
      </c>
      <c r="B352" s="33" t="s">
        <v>633</v>
      </c>
      <c r="C352" s="41" t="s">
        <v>28</v>
      </c>
      <c r="D352" s="41" t="s">
        <v>1159</v>
      </c>
      <c r="E352" s="41" t="s">
        <v>39</v>
      </c>
      <c r="F352" s="41" t="s">
        <v>1160</v>
      </c>
      <c r="G352" s="41" t="s">
        <v>41</v>
      </c>
      <c r="H352" s="8" t="s">
        <v>33</v>
      </c>
      <c r="I352" s="70" t="s">
        <v>195</v>
      </c>
      <c r="J352" s="70"/>
      <c r="K352" s="70" t="s">
        <v>179</v>
      </c>
      <c r="L352" s="41" t="s">
        <v>49</v>
      </c>
      <c r="M352" s="41" t="s">
        <v>35</v>
      </c>
      <c r="N352" s="10" t="s">
        <v>1161</v>
      </c>
      <c r="O352" s="8"/>
      <c r="P352" s="1"/>
    </row>
    <row r="353" spans="1:16" ht="28.5" customHeight="1">
      <c r="A353" s="10">
        <v>1</v>
      </c>
      <c r="B353" s="33" t="s">
        <v>633</v>
      </c>
      <c r="C353" s="41" t="s">
        <v>28</v>
      </c>
      <c r="D353" s="41" t="s">
        <v>1162</v>
      </c>
      <c r="E353" s="41" t="s">
        <v>1163</v>
      </c>
      <c r="F353" s="41">
        <v>51996407541</v>
      </c>
      <c r="G353" s="41" t="s">
        <v>32</v>
      </c>
      <c r="H353" s="8" t="s">
        <v>33</v>
      </c>
      <c r="I353" s="70" t="s">
        <v>54</v>
      </c>
      <c r="J353" s="70"/>
      <c r="K353" s="70" t="s">
        <v>555</v>
      </c>
      <c r="L353" s="41" t="s">
        <v>55</v>
      </c>
      <c r="M353" s="41" t="s">
        <v>61</v>
      </c>
      <c r="N353" s="10" t="s">
        <v>358</v>
      </c>
      <c r="O353" s="8"/>
      <c r="P353" s="1"/>
    </row>
    <row r="354" spans="1:16" ht="28.5" customHeight="1">
      <c r="A354" s="10">
        <v>1</v>
      </c>
      <c r="B354" s="33" t="s">
        <v>633</v>
      </c>
      <c r="C354" s="41" t="s">
        <v>93</v>
      </c>
      <c r="D354" s="41" t="s">
        <v>1164</v>
      </c>
      <c r="E354" s="41" t="s">
        <v>1165</v>
      </c>
      <c r="F354" s="41" t="s">
        <v>1166</v>
      </c>
      <c r="G354" s="41" t="s">
        <v>79</v>
      </c>
      <c r="H354" s="8" t="s">
        <v>47</v>
      </c>
      <c r="I354" s="70"/>
      <c r="J354" s="70"/>
      <c r="K354" s="70" t="s">
        <v>250</v>
      </c>
      <c r="L354" s="41" t="s">
        <v>49</v>
      </c>
      <c r="M354" s="41"/>
      <c r="N354" s="10" t="s">
        <v>1167</v>
      </c>
      <c r="O354" s="8"/>
      <c r="P354" s="1"/>
    </row>
    <row r="355" spans="1:16" ht="28.5" customHeight="1">
      <c r="A355" s="10">
        <v>1</v>
      </c>
      <c r="B355" s="33" t="s">
        <v>633</v>
      </c>
      <c r="C355" s="41" t="s">
        <v>28</v>
      </c>
      <c r="D355" s="41" t="s">
        <v>1168</v>
      </c>
      <c r="E355" s="41" t="s">
        <v>1169</v>
      </c>
      <c r="F355" s="41">
        <v>51992286911</v>
      </c>
      <c r="G355" s="41" t="s">
        <v>91</v>
      </c>
      <c r="H355" s="8" t="s">
        <v>67</v>
      </c>
      <c r="I355" s="70" t="s">
        <v>1148</v>
      </c>
      <c r="J355" s="70"/>
      <c r="K355" s="70" t="s">
        <v>250</v>
      </c>
      <c r="L355" s="41" t="s">
        <v>55</v>
      </c>
      <c r="M355" s="41" t="s">
        <v>128</v>
      </c>
      <c r="N355" s="10" t="s">
        <v>1170</v>
      </c>
      <c r="O355" s="8"/>
      <c r="P355" s="1"/>
    </row>
    <row r="356" spans="1:16" ht="28.5" customHeight="1">
      <c r="A356" s="10">
        <v>1</v>
      </c>
      <c r="B356" s="33" t="s">
        <v>633</v>
      </c>
      <c r="C356" s="41" t="s">
        <v>93</v>
      </c>
      <c r="D356" s="41" t="s">
        <v>1171</v>
      </c>
      <c r="E356" s="41" t="s">
        <v>285</v>
      </c>
      <c r="F356" s="41" t="s">
        <v>1172</v>
      </c>
      <c r="G356" s="41" t="s">
        <v>66</v>
      </c>
      <c r="H356" s="8" t="s">
        <v>67</v>
      </c>
      <c r="I356" s="70"/>
      <c r="J356" s="70"/>
      <c r="K356" s="70" t="s">
        <v>250</v>
      </c>
      <c r="L356" s="41" t="s">
        <v>49</v>
      </c>
      <c r="M356" s="41"/>
      <c r="N356" s="10" t="s">
        <v>1173</v>
      </c>
      <c r="O356" s="8"/>
      <c r="P356" s="1"/>
    </row>
    <row r="357" spans="1:16" ht="28.5" customHeight="1">
      <c r="A357" s="10">
        <v>1</v>
      </c>
      <c r="B357" s="33" t="s">
        <v>633</v>
      </c>
      <c r="C357" s="41" t="s">
        <v>28</v>
      </c>
      <c r="D357" s="41" t="s">
        <v>1174</v>
      </c>
      <c r="E357" s="41" t="s">
        <v>454</v>
      </c>
      <c r="F357" s="41" t="s">
        <v>1175</v>
      </c>
      <c r="G357" s="41" t="s">
        <v>66</v>
      </c>
      <c r="H357" s="8" t="s">
        <v>67</v>
      </c>
      <c r="I357" s="70" t="s">
        <v>1176</v>
      </c>
      <c r="J357" s="70"/>
      <c r="K357" s="70" t="s">
        <v>97</v>
      </c>
      <c r="L357" s="41" t="s">
        <v>49</v>
      </c>
      <c r="M357" s="41" t="s">
        <v>56</v>
      </c>
      <c r="N357" s="10" t="s">
        <v>1177</v>
      </c>
      <c r="O357" s="8"/>
      <c r="P357" s="1"/>
    </row>
    <row r="358" spans="1:16" ht="28.5" customHeight="1">
      <c r="A358" s="10">
        <v>1</v>
      </c>
      <c r="B358" s="33" t="s">
        <v>633</v>
      </c>
      <c r="C358" s="41" t="s">
        <v>93</v>
      </c>
      <c r="D358" s="41" t="s">
        <v>1178</v>
      </c>
      <c r="E358" s="41" t="s">
        <v>1013</v>
      </c>
      <c r="F358" s="41" t="s">
        <v>1179</v>
      </c>
      <c r="G358" s="41" t="s">
        <v>66</v>
      </c>
      <c r="H358" s="8" t="s">
        <v>67</v>
      </c>
      <c r="I358" s="70"/>
      <c r="J358" s="70"/>
      <c r="K358" s="70" t="s">
        <v>97</v>
      </c>
      <c r="L358" s="41" t="s">
        <v>49</v>
      </c>
      <c r="M358" s="41"/>
      <c r="N358" s="10" t="s">
        <v>1180</v>
      </c>
      <c r="O358" s="8"/>
      <c r="P358" s="1"/>
    </row>
    <row r="359" spans="1:16" ht="28.5" customHeight="1">
      <c r="A359" s="10">
        <v>1</v>
      </c>
      <c r="B359" s="33" t="s">
        <v>633</v>
      </c>
      <c r="C359" s="41" t="s">
        <v>28</v>
      </c>
      <c r="D359" s="41" t="s">
        <v>1181</v>
      </c>
      <c r="E359" s="41" t="s">
        <v>1182</v>
      </c>
      <c r="F359" s="41" t="s">
        <v>1183</v>
      </c>
      <c r="G359" s="41" t="s">
        <v>1184</v>
      </c>
      <c r="H359" s="8" t="s">
        <v>33</v>
      </c>
      <c r="I359" s="70"/>
      <c r="J359" s="70"/>
      <c r="K359" s="70" t="s">
        <v>568</v>
      </c>
      <c r="L359" s="41" t="s">
        <v>34</v>
      </c>
      <c r="M359" s="41" t="s">
        <v>61</v>
      </c>
      <c r="N359" s="10" t="s">
        <v>1185</v>
      </c>
      <c r="O359" s="8"/>
      <c r="P359" s="1"/>
    </row>
    <row r="360" spans="1:16" ht="28.5" customHeight="1">
      <c r="A360" s="10">
        <v>1</v>
      </c>
      <c r="B360" s="33" t="s">
        <v>633</v>
      </c>
      <c r="C360" s="41" t="s">
        <v>93</v>
      </c>
      <c r="D360" s="41" t="s">
        <v>1186</v>
      </c>
      <c r="E360" s="41" t="s">
        <v>315</v>
      </c>
      <c r="F360" s="41" t="s">
        <v>1187</v>
      </c>
      <c r="G360" s="41" t="s">
        <v>66</v>
      </c>
      <c r="H360" s="8" t="s">
        <v>67</v>
      </c>
      <c r="I360" s="70"/>
      <c r="J360" s="70"/>
      <c r="K360" s="70" t="s">
        <v>568</v>
      </c>
      <c r="L360" s="41" t="s">
        <v>55</v>
      </c>
      <c r="M360" s="41"/>
      <c r="N360" s="10" t="s">
        <v>1188</v>
      </c>
      <c r="O360" s="8"/>
      <c r="P360" s="1"/>
    </row>
    <row r="361" spans="1:16" ht="28.5" customHeight="1">
      <c r="A361" s="10">
        <v>1</v>
      </c>
      <c r="B361" s="33" t="s">
        <v>633</v>
      </c>
      <c r="C361" s="41" t="s">
        <v>93</v>
      </c>
      <c r="D361" s="41" t="s">
        <v>1189</v>
      </c>
      <c r="E361" s="41" t="s">
        <v>1190</v>
      </c>
      <c r="F361" s="41">
        <v>51995115603</v>
      </c>
      <c r="G361" s="41" t="s">
        <v>41</v>
      </c>
      <c r="H361" s="8" t="s">
        <v>33</v>
      </c>
      <c r="I361" s="70"/>
      <c r="J361" s="70"/>
      <c r="K361" s="70" t="s">
        <v>154</v>
      </c>
      <c r="L361" s="41" t="s">
        <v>55</v>
      </c>
      <c r="M361" s="41"/>
      <c r="N361" s="10"/>
      <c r="O361" s="8"/>
      <c r="P361" s="1"/>
    </row>
    <row r="362" spans="1:16" ht="28.5" customHeight="1">
      <c r="A362" s="10">
        <v>1</v>
      </c>
      <c r="B362" s="33" t="s">
        <v>633</v>
      </c>
      <c r="C362" s="41" t="s">
        <v>93</v>
      </c>
      <c r="D362" s="41" t="s">
        <v>1191</v>
      </c>
      <c r="E362" s="41" t="s">
        <v>1182</v>
      </c>
      <c r="F362" s="41" t="s">
        <v>1192</v>
      </c>
      <c r="G362" s="41" t="s">
        <v>73</v>
      </c>
      <c r="H362" s="8" t="s">
        <v>33</v>
      </c>
      <c r="I362" s="70"/>
      <c r="J362" s="70"/>
      <c r="K362" s="70" t="s">
        <v>142</v>
      </c>
      <c r="L362" s="41" t="s">
        <v>49</v>
      </c>
      <c r="M362" s="41"/>
      <c r="N362" s="10" t="s">
        <v>1193</v>
      </c>
      <c r="O362" s="8"/>
      <c r="P362" s="1"/>
    </row>
    <row r="363" spans="1:16" ht="28.5" customHeight="1">
      <c r="A363" s="10">
        <v>1</v>
      </c>
      <c r="B363" s="33" t="s">
        <v>633</v>
      </c>
      <c r="C363" s="41" t="s">
        <v>93</v>
      </c>
      <c r="D363" s="41" t="s">
        <v>1194</v>
      </c>
      <c r="E363" s="41" t="s">
        <v>285</v>
      </c>
      <c r="F363" s="41" t="s">
        <v>1195</v>
      </c>
      <c r="G363" s="41" t="s">
        <v>66</v>
      </c>
      <c r="H363" s="8" t="s">
        <v>67</v>
      </c>
      <c r="I363" s="70"/>
      <c r="J363" s="70"/>
      <c r="K363" s="70" t="s">
        <v>1196</v>
      </c>
      <c r="L363" s="41" t="s">
        <v>49</v>
      </c>
      <c r="M363" s="41"/>
      <c r="N363" s="10" t="s">
        <v>1197</v>
      </c>
      <c r="O363" s="8"/>
      <c r="P363" s="1"/>
    </row>
    <row r="364" spans="1:16" ht="28.5" customHeight="1">
      <c r="A364" s="10">
        <v>1</v>
      </c>
      <c r="B364" s="33" t="s">
        <v>633</v>
      </c>
      <c r="C364" s="41" t="s">
        <v>28</v>
      </c>
      <c r="D364" s="41" t="s">
        <v>1198</v>
      </c>
      <c r="E364" s="41" t="s">
        <v>992</v>
      </c>
      <c r="F364" s="41" t="s">
        <v>1199</v>
      </c>
      <c r="G364" s="41" t="s">
        <v>66</v>
      </c>
      <c r="H364" s="8" t="s">
        <v>67</v>
      </c>
      <c r="I364" s="70" t="s">
        <v>467</v>
      </c>
      <c r="J364" s="70"/>
      <c r="K364" s="70" t="s">
        <v>184</v>
      </c>
      <c r="L364" s="41" t="s">
        <v>49</v>
      </c>
      <c r="M364" s="41" t="s">
        <v>128</v>
      </c>
      <c r="N364" s="10" t="s">
        <v>1200</v>
      </c>
      <c r="O364" s="8"/>
      <c r="P364" s="1"/>
    </row>
    <row r="365" spans="1:16" ht="28.5" customHeight="1">
      <c r="A365" s="10">
        <v>1</v>
      </c>
      <c r="B365" s="33" t="s">
        <v>633</v>
      </c>
      <c r="C365" s="41" t="s">
        <v>93</v>
      </c>
      <c r="D365" s="41" t="s">
        <v>1201</v>
      </c>
      <c r="E365" s="41" t="s">
        <v>1202</v>
      </c>
      <c r="F365" s="41">
        <v>51981561349</v>
      </c>
      <c r="G365" s="41" t="s">
        <v>32</v>
      </c>
      <c r="H365" s="8" t="s">
        <v>33</v>
      </c>
      <c r="I365" s="70"/>
      <c r="J365" s="70"/>
      <c r="K365" s="70" t="s">
        <v>97</v>
      </c>
      <c r="L365" s="41" t="s">
        <v>55</v>
      </c>
      <c r="M365" s="41"/>
      <c r="N365" s="10" t="s">
        <v>102</v>
      </c>
      <c r="O365" s="8"/>
      <c r="P365" s="1"/>
    </row>
    <row r="366" spans="1:16" ht="28.5" customHeight="1">
      <c r="A366" s="10">
        <v>1</v>
      </c>
      <c r="B366" s="33" t="s">
        <v>633</v>
      </c>
      <c r="C366" s="41" t="s">
        <v>93</v>
      </c>
      <c r="D366" s="41" t="s">
        <v>1203</v>
      </c>
      <c r="E366" s="41" t="s">
        <v>136</v>
      </c>
      <c r="F366" s="41" t="s">
        <v>1204</v>
      </c>
      <c r="G366" s="41" t="s">
        <v>66</v>
      </c>
      <c r="H366" s="8" t="s">
        <v>67</v>
      </c>
      <c r="I366" s="70"/>
      <c r="J366" s="70"/>
      <c r="K366" s="70" t="s">
        <v>142</v>
      </c>
      <c r="L366" s="41" t="s">
        <v>34</v>
      </c>
      <c r="M366" s="41"/>
      <c r="N366" s="10" t="s">
        <v>1205</v>
      </c>
      <c r="O366" s="8"/>
      <c r="P366" s="1"/>
    </row>
    <row r="367" spans="1:16" ht="28.5" customHeight="1">
      <c r="A367" s="10">
        <v>1</v>
      </c>
      <c r="B367" s="33" t="s">
        <v>633</v>
      </c>
      <c r="C367" s="41" t="s">
        <v>28</v>
      </c>
      <c r="D367" s="41" t="s">
        <v>1206</v>
      </c>
      <c r="E367" s="41" t="s">
        <v>1146</v>
      </c>
      <c r="F367" s="41" t="s">
        <v>1207</v>
      </c>
      <c r="G367" s="41" t="s">
        <v>66</v>
      </c>
      <c r="H367" s="8" t="s">
        <v>67</v>
      </c>
      <c r="I367" s="70"/>
      <c r="J367" s="70"/>
      <c r="K367" s="70"/>
      <c r="L367" s="41"/>
      <c r="M367" s="41"/>
      <c r="N367" s="10"/>
      <c r="O367" s="8"/>
      <c r="P367" s="1"/>
    </row>
    <row r="368" spans="1:16" ht="28.5" customHeight="1">
      <c r="A368" s="10">
        <v>1</v>
      </c>
      <c r="B368" s="33" t="s">
        <v>633</v>
      </c>
      <c r="C368" s="41" t="s">
        <v>93</v>
      </c>
      <c r="D368" s="41" t="s">
        <v>1208</v>
      </c>
      <c r="E368" s="41" t="s">
        <v>1209</v>
      </c>
      <c r="F368" s="41" t="s">
        <v>1210</v>
      </c>
      <c r="G368" s="41" t="s">
        <v>91</v>
      </c>
      <c r="H368" s="8" t="s">
        <v>67</v>
      </c>
      <c r="I368" s="70"/>
      <c r="J368" s="70"/>
      <c r="K368" s="70" t="s">
        <v>142</v>
      </c>
      <c r="L368" s="41" t="s">
        <v>49</v>
      </c>
      <c r="M368" s="41"/>
      <c r="N368" s="10" t="s">
        <v>1211</v>
      </c>
      <c r="O368" s="8"/>
      <c r="P368" s="1"/>
    </row>
    <row r="369" spans="1:16" ht="28.5" customHeight="1">
      <c r="A369" s="10">
        <v>1</v>
      </c>
      <c r="B369" s="33" t="s">
        <v>633</v>
      </c>
      <c r="C369" s="41" t="s">
        <v>93</v>
      </c>
      <c r="D369" s="41" t="s">
        <v>1212</v>
      </c>
      <c r="E369" s="41" t="s">
        <v>1213</v>
      </c>
      <c r="F369" s="41">
        <v>51986168544</v>
      </c>
      <c r="G369" s="41" t="s">
        <v>66</v>
      </c>
      <c r="H369" s="8" t="s">
        <v>67</v>
      </c>
      <c r="I369" s="70"/>
      <c r="J369" s="70"/>
      <c r="K369" s="70" t="s">
        <v>97</v>
      </c>
      <c r="L369" s="41" t="s">
        <v>55</v>
      </c>
      <c r="M369" s="41"/>
      <c r="N369" s="10" t="s">
        <v>102</v>
      </c>
      <c r="O369" s="8"/>
      <c r="P369" s="1"/>
    </row>
    <row r="370" spans="1:16" ht="28.5" customHeight="1">
      <c r="A370" s="10">
        <v>1</v>
      </c>
      <c r="B370" s="33" t="s">
        <v>633</v>
      </c>
      <c r="C370" s="41" t="s">
        <v>28</v>
      </c>
      <c r="D370" s="41" t="s">
        <v>1214</v>
      </c>
      <c r="E370" s="41" t="s">
        <v>1215</v>
      </c>
      <c r="F370" s="41" t="s">
        <v>1216</v>
      </c>
      <c r="G370" s="41" t="s">
        <v>79</v>
      </c>
      <c r="H370" s="8" t="s">
        <v>47</v>
      </c>
      <c r="I370" s="70" t="s">
        <v>425</v>
      </c>
      <c r="J370" s="70"/>
      <c r="K370" s="70" t="s">
        <v>154</v>
      </c>
      <c r="L370" s="41" t="s">
        <v>49</v>
      </c>
      <c r="M370" s="41" t="s">
        <v>133</v>
      </c>
      <c r="N370" s="10" t="s">
        <v>1217</v>
      </c>
      <c r="O370" s="8"/>
      <c r="P370" s="1"/>
    </row>
    <row r="371" spans="1:16" ht="28.5" customHeight="1">
      <c r="A371" s="10">
        <v>1</v>
      </c>
      <c r="B371" s="33" t="s">
        <v>467</v>
      </c>
      <c r="C371" s="41" t="s">
        <v>28</v>
      </c>
      <c r="D371" s="41" t="s">
        <v>1218</v>
      </c>
      <c r="E371" s="41" t="s">
        <v>661</v>
      </c>
      <c r="F371" s="41">
        <v>51998116876</v>
      </c>
      <c r="G371" s="41" t="s">
        <v>85</v>
      </c>
      <c r="H371" s="8" t="s">
        <v>33</v>
      </c>
      <c r="I371" s="70" t="s">
        <v>54</v>
      </c>
      <c r="J371" s="70"/>
      <c r="K371" s="70" t="s">
        <v>101</v>
      </c>
      <c r="L371" s="41" t="s">
        <v>55</v>
      </c>
      <c r="M371" s="41" t="s">
        <v>61</v>
      </c>
      <c r="N371" s="10" t="s">
        <v>120</v>
      </c>
      <c r="O371" s="8"/>
      <c r="P371" s="1"/>
    </row>
    <row r="372" spans="1:16" ht="28.5" customHeight="1">
      <c r="A372" s="10">
        <v>1</v>
      </c>
      <c r="B372" s="33" t="s">
        <v>467</v>
      </c>
      <c r="C372" s="41" t="s">
        <v>93</v>
      </c>
      <c r="D372" s="41" t="s">
        <v>1219</v>
      </c>
      <c r="E372" s="41" t="s">
        <v>290</v>
      </c>
      <c r="F372" s="41">
        <v>51997862664</v>
      </c>
      <c r="G372" s="41" t="s">
        <v>91</v>
      </c>
      <c r="H372" s="8" t="s">
        <v>67</v>
      </c>
      <c r="I372" s="70"/>
      <c r="J372" s="70"/>
      <c r="K372" s="70" t="s">
        <v>179</v>
      </c>
      <c r="L372" s="41" t="s">
        <v>55</v>
      </c>
      <c r="M372" s="41"/>
      <c r="N372" s="10" t="s">
        <v>1220</v>
      </c>
      <c r="O372" s="8"/>
      <c r="P372" s="1"/>
    </row>
    <row r="373" spans="1:16" ht="28.5" customHeight="1">
      <c r="A373" s="10">
        <v>1</v>
      </c>
      <c r="B373" s="33" t="s">
        <v>467</v>
      </c>
      <c r="C373" s="41" t="s">
        <v>93</v>
      </c>
      <c r="D373" s="41" t="s">
        <v>1221</v>
      </c>
      <c r="E373" s="41" t="s">
        <v>136</v>
      </c>
      <c r="F373" s="41">
        <v>51985814049</v>
      </c>
      <c r="G373" s="41" t="s">
        <v>66</v>
      </c>
      <c r="H373" s="8" t="s">
        <v>67</v>
      </c>
      <c r="I373" s="70"/>
      <c r="J373" s="70"/>
      <c r="K373" s="70" t="s">
        <v>184</v>
      </c>
      <c r="L373" s="41" t="s">
        <v>55</v>
      </c>
      <c r="M373" s="41"/>
      <c r="N373" s="10" t="s">
        <v>1222</v>
      </c>
      <c r="O373" s="8"/>
      <c r="P373" s="1"/>
    </row>
    <row r="374" spans="1:16" ht="28.5" customHeight="1">
      <c r="A374" s="10">
        <v>1</v>
      </c>
      <c r="B374" s="33" t="s">
        <v>467</v>
      </c>
      <c r="C374" s="41" t="s">
        <v>28</v>
      </c>
      <c r="D374" s="41" t="s">
        <v>1223</v>
      </c>
      <c r="E374" s="41" t="s">
        <v>841</v>
      </c>
      <c r="F374" s="41" t="s">
        <v>1224</v>
      </c>
      <c r="G374" s="41" t="s">
        <v>91</v>
      </c>
      <c r="H374" s="8" t="s">
        <v>67</v>
      </c>
      <c r="I374" s="70" t="s">
        <v>425</v>
      </c>
      <c r="J374" s="70"/>
      <c r="K374" s="70" t="s">
        <v>250</v>
      </c>
      <c r="L374" s="41" t="s">
        <v>49</v>
      </c>
      <c r="M374" s="41" t="s">
        <v>35</v>
      </c>
      <c r="N374" s="10" t="s">
        <v>1225</v>
      </c>
      <c r="O374" s="8"/>
      <c r="P374" s="1"/>
    </row>
    <row r="375" spans="1:16" ht="28.5" customHeight="1">
      <c r="A375" s="10">
        <v>1</v>
      </c>
      <c r="B375" s="33" t="s">
        <v>467</v>
      </c>
      <c r="C375" s="41" t="s">
        <v>28</v>
      </c>
      <c r="D375" s="41" t="s">
        <v>1226</v>
      </c>
      <c r="E375" s="41" t="s">
        <v>1057</v>
      </c>
      <c r="F375" s="41">
        <v>51992966830</v>
      </c>
      <c r="G375" s="41" t="s">
        <v>66</v>
      </c>
      <c r="H375" s="8" t="s">
        <v>67</v>
      </c>
      <c r="I375" s="70"/>
      <c r="J375" s="70"/>
      <c r="K375" s="70" t="s">
        <v>97</v>
      </c>
      <c r="L375" s="41" t="s">
        <v>55</v>
      </c>
      <c r="M375" s="41" t="s">
        <v>80</v>
      </c>
      <c r="N375" s="10" t="s">
        <v>589</v>
      </c>
      <c r="O375" s="8"/>
      <c r="P375" s="1"/>
    </row>
    <row r="376" spans="1:16" ht="28.5" customHeight="1">
      <c r="A376" s="10">
        <v>1</v>
      </c>
      <c r="B376" s="33" t="s">
        <v>467</v>
      </c>
      <c r="C376" s="41" t="s">
        <v>93</v>
      </c>
      <c r="D376" s="41" t="s">
        <v>1227</v>
      </c>
      <c r="E376" s="41" t="s">
        <v>817</v>
      </c>
      <c r="F376" s="41" t="s">
        <v>1228</v>
      </c>
      <c r="G376" s="41" t="s">
        <v>41</v>
      </c>
      <c r="H376" s="8" t="s">
        <v>33</v>
      </c>
      <c r="I376" s="70"/>
      <c r="J376" s="70"/>
      <c r="K376" s="70" t="s">
        <v>97</v>
      </c>
      <c r="L376" s="41" t="s">
        <v>49</v>
      </c>
      <c r="M376" s="41"/>
      <c r="N376" s="10" t="s">
        <v>1229</v>
      </c>
      <c r="O376" s="8"/>
      <c r="P376" s="1"/>
    </row>
    <row r="377" spans="1:16" ht="28.5" customHeight="1">
      <c r="A377" s="10">
        <v>1</v>
      </c>
      <c r="B377" s="33" t="s">
        <v>467</v>
      </c>
      <c r="C377" s="41" t="s">
        <v>28</v>
      </c>
      <c r="D377" s="41" t="s">
        <v>1230</v>
      </c>
      <c r="E377" s="41" t="s">
        <v>278</v>
      </c>
      <c r="F377" s="41" t="s">
        <v>1231</v>
      </c>
      <c r="G377" s="41" t="s">
        <v>280</v>
      </c>
      <c r="H377" s="8" t="s">
        <v>33</v>
      </c>
      <c r="I377" s="70" t="s">
        <v>1232</v>
      </c>
      <c r="J377" s="70"/>
      <c r="K377" s="70" t="s">
        <v>101</v>
      </c>
      <c r="L377" s="41" t="s">
        <v>49</v>
      </c>
      <c r="M377" s="41" t="s">
        <v>56</v>
      </c>
      <c r="N377" s="10" t="s">
        <v>1233</v>
      </c>
      <c r="O377" s="8"/>
      <c r="P377" s="1"/>
    </row>
    <row r="378" spans="1:16" ht="28.5" customHeight="1">
      <c r="A378" s="10">
        <v>1</v>
      </c>
      <c r="B378" s="33" t="s">
        <v>467</v>
      </c>
      <c r="C378" s="41" t="s">
        <v>93</v>
      </c>
      <c r="D378" s="41" t="s">
        <v>1234</v>
      </c>
      <c r="E378" s="41" t="s">
        <v>71</v>
      </c>
      <c r="F378" s="41" t="s">
        <v>1235</v>
      </c>
      <c r="G378" s="41" t="s">
        <v>1236</v>
      </c>
      <c r="H378" s="8" t="s">
        <v>33</v>
      </c>
      <c r="I378" s="70"/>
      <c r="J378" s="70"/>
      <c r="K378" s="70" t="s">
        <v>154</v>
      </c>
      <c r="L378" s="41" t="s">
        <v>34</v>
      </c>
      <c r="M378" s="41"/>
      <c r="N378" s="10" t="s">
        <v>1237</v>
      </c>
      <c r="O378" s="8"/>
      <c r="P378" s="1"/>
    </row>
    <row r="379" spans="1:16" ht="28.5" customHeight="1">
      <c r="A379" s="10">
        <v>1</v>
      </c>
      <c r="B379" s="33" t="s">
        <v>467</v>
      </c>
      <c r="C379" s="41" t="s">
        <v>93</v>
      </c>
      <c r="D379" s="41" t="s">
        <v>1238</v>
      </c>
      <c r="E379" s="41" t="s">
        <v>454</v>
      </c>
      <c r="F379" s="41">
        <v>51985914556</v>
      </c>
      <c r="G379" s="41" t="s">
        <v>66</v>
      </c>
      <c r="H379" s="8" t="s">
        <v>67</v>
      </c>
      <c r="I379" s="70"/>
      <c r="J379" s="70"/>
      <c r="K379" s="70" t="s">
        <v>142</v>
      </c>
      <c r="L379" s="41" t="s">
        <v>55</v>
      </c>
      <c r="M379" s="41"/>
      <c r="N379" s="10" t="s">
        <v>102</v>
      </c>
      <c r="O379" s="8"/>
      <c r="P379" s="1"/>
    </row>
    <row r="380" spans="1:16" ht="28.5" customHeight="1">
      <c r="A380" s="10">
        <v>1</v>
      </c>
      <c r="B380" s="33" t="s">
        <v>467</v>
      </c>
      <c r="C380" s="41" t="s">
        <v>28</v>
      </c>
      <c r="D380" s="41" t="s">
        <v>794</v>
      </c>
      <c r="E380" s="41" t="s">
        <v>52</v>
      </c>
      <c r="F380" s="41" t="s">
        <v>796</v>
      </c>
      <c r="G380" s="41" t="s">
        <v>53</v>
      </c>
      <c r="H380" s="8" t="s">
        <v>33</v>
      </c>
      <c r="I380" s="70" t="s">
        <v>1239</v>
      </c>
      <c r="J380" s="70"/>
      <c r="K380" s="70" t="s">
        <v>798</v>
      </c>
      <c r="L380" s="41" t="s">
        <v>49</v>
      </c>
      <c r="M380" s="41" t="s">
        <v>61</v>
      </c>
      <c r="N380" s="10" t="s">
        <v>1240</v>
      </c>
      <c r="O380" s="8"/>
      <c r="P380" s="1"/>
    </row>
    <row r="381" spans="1:16" ht="28.5" customHeight="1">
      <c r="A381" s="10">
        <v>1</v>
      </c>
      <c r="B381" s="33" t="s">
        <v>467</v>
      </c>
      <c r="C381" s="41" t="s">
        <v>28</v>
      </c>
      <c r="D381" s="41" t="s">
        <v>736</v>
      </c>
      <c r="E381" s="41" t="s">
        <v>552</v>
      </c>
      <c r="F381" s="41">
        <v>51983198602</v>
      </c>
      <c r="G381" s="41" t="s">
        <v>91</v>
      </c>
      <c r="H381" s="8" t="s">
        <v>67</v>
      </c>
      <c r="I381" s="70"/>
      <c r="J381" s="70"/>
      <c r="K381" s="70" t="s">
        <v>142</v>
      </c>
      <c r="L381" s="41" t="s">
        <v>55</v>
      </c>
      <c r="M381" s="41" t="s">
        <v>61</v>
      </c>
      <c r="N381" s="10" t="s">
        <v>358</v>
      </c>
      <c r="O381" s="8"/>
      <c r="P381" s="1"/>
    </row>
    <row r="382" spans="1:16" ht="28.5" customHeight="1">
      <c r="A382" s="10">
        <v>1</v>
      </c>
      <c r="B382" s="33" t="s">
        <v>467</v>
      </c>
      <c r="C382" s="41" t="s">
        <v>28</v>
      </c>
      <c r="D382" s="41" t="s">
        <v>1241</v>
      </c>
      <c r="E382" s="41" t="s">
        <v>1242</v>
      </c>
      <c r="F382" s="41" t="s">
        <v>1243</v>
      </c>
      <c r="G382" s="41" t="s">
        <v>66</v>
      </c>
      <c r="H382" s="8" t="s">
        <v>67</v>
      </c>
      <c r="I382" s="70" t="s">
        <v>1244</v>
      </c>
      <c r="J382" s="70"/>
      <c r="K382" s="70" t="s">
        <v>250</v>
      </c>
      <c r="L382" s="41" t="s">
        <v>49</v>
      </c>
      <c r="M382" s="41" t="s">
        <v>35</v>
      </c>
      <c r="N382" s="10" t="s">
        <v>1245</v>
      </c>
      <c r="O382" s="8"/>
      <c r="P382" s="1"/>
    </row>
    <row r="383" spans="1:16" ht="28.5" customHeight="1">
      <c r="A383" s="10">
        <v>1</v>
      </c>
      <c r="B383" s="33" t="s">
        <v>467</v>
      </c>
      <c r="C383" s="41" t="s">
        <v>28</v>
      </c>
      <c r="D383" s="41" t="s">
        <v>906</v>
      </c>
      <c r="E383" s="41" t="s">
        <v>619</v>
      </c>
      <c r="F383" s="41" t="s">
        <v>907</v>
      </c>
      <c r="G383" s="41" t="s">
        <v>507</v>
      </c>
      <c r="H383" s="8" t="s">
        <v>67</v>
      </c>
      <c r="I383" s="70" t="s">
        <v>425</v>
      </c>
      <c r="J383" s="70"/>
      <c r="K383" s="70" t="s">
        <v>184</v>
      </c>
      <c r="L383" s="41" t="s">
        <v>34</v>
      </c>
      <c r="M383" s="41" t="s">
        <v>61</v>
      </c>
      <c r="N383" s="10" t="s">
        <v>1240</v>
      </c>
      <c r="O383" s="8"/>
      <c r="P383" s="1"/>
    </row>
    <row r="384" spans="1:16" ht="28.5" customHeight="1">
      <c r="A384" s="10">
        <v>1</v>
      </c>
      <c r="B384" s="33" t="s">
        <v>467</v>
      </c>
      <c r="C384" s="41" t="s">
        <v>28</v>
      </c>
      <c r="D384" s="41" t="s">
        <v>1246</v>
      </c>
      <c r="E384" s="41" t="s">
        <v>541</v>
      </c>
      <c r="F384" s="41" t="s">
        <v>1247</v>
      </c>
      <c r="G384" s="41" t="s">
        <v>85</v>
      </c>
      <c r="H384" s="8" t="s">
        <v>33</v>
      </c>
      <c r="I384" s="70"/>
      <c r="J384" s="70"/>
      <c r="K384" s="70" t="s">
        <v>250</v>
      </c>
      <c r="L384" s="41" t="s">
        <v>34</v>
      </c>
      <c r="M384" s="41" t="s">
        <v>56</v>
      </c>
      <c r="N384" s="10" t="s">
        <v>1248</v>
      </c>
      <c r="O384" s="8"/>
      <c r="P384" s="1"/>
    </row>
    <row r="385" spans="1:16" ht="28.5" customHeight="1">
      <c r="A385" s="10">
        <v>1</v>
      </c>
      <c r="B385" s="33" t="s">
        <v>467</v>
      </c>
      <c r="C385" s="41" t="s">
        <v>93</v>
      </c>
      <c r="D385" s="41" t="s">
        <v>1249</v>
      </c>
      <c r="E385" s="41" t="s">
        <v>1250</v>
      </c>
      <c r="F385" s="41" t="s">
        <v>1251</v>
      </c>
      <c r="G385" s="41" t="s">
        <v>1091</v>
      </c>
      <c r="H385" s="8" t="s">
        <v>33</v>
      </c>
      <c r="I385" s="70"/>
      <c r="J385" s="70"/>
      <c r="K385" s="70" t="s">
        <v>179</v>
      </c>
      <c r="L385" s="41" t="s">
        <v>34</v>
      </c>
      <c r="M385" s="41"/>
      <c r="N385" s="10" t="s">
        <v>1252</v>
      </c>
      <c r="O385" s="8"/>
      <c r="P385" s="1"/>
    </row>
    <row r="386" spans="1:16" ht="28.5" customHeight="1">
      <c r="A386" s="10">
        <v>1</v>
      </c>
      <c r="B386" s="33" t="s">
        <v>467</v>
      </c>
      <c r="C386" s="41" t="s">
        <v>93</v>
      </c>
      <c r="D386" s="41" t="s">
        <v>1253</v>
      </c>
      <c r="E386" s="41" t="s">
        <v>285</v>
      </c>
      <c r="F386" s="41" t="s">
        <v>1254</v>
      </c>
      <c r="G386" s="41" t="s">
        <v>507</v>
      </c>
      <c r="H386" s="8" t="s">
        <v>67</v>
      </c>
      <c r="I386" s="70"/>
      <c r="J386" s="70"/>
      <c r="K386" s="70" t="s">
        <v>250</v>
      </c>
      <c r="L386" s="41" t="s">
        <v>34</v>
      </c>
      <c r="M386" s="41"/>
      <c r="N386" s="10" t="s">
        <v>1255</v>
      </c>
      <c r="O386" s="8"/>
      <c r="P386" s="1"/>
    </row>
    <row r="387" spans="1:16" ht="28.5" customHeight="1">
      <c r="A387" s="10">
        <v>1</v>
      </c>
      <c r="B387" s="33" t="s">
        <v>467</v>
      </c>
      <c r="C387" s="41" t="s">
        <v>93</v>
      </c>
      <c r="D387" s="41" t="s">
        <v>1256</v>
      </c>
      <c r="E387" s="41" t="s">
        <v>1036</v>
      </c>
      <c r="F387" s="41">
        <v>51993909763</v>
      </c>
      <c r="G387" s="41" t="s">
        <v>66</v>
      </c>
      <c r="H387" s="8" t="s">
        <v>67</v>
      </c>
      <c r="I387" s="70"/>
      <c r="J387" s="70"/>
      <c r="K387" s="70" t="s">
        <v>97</v>
      </c>
      <c r="L387" s="41" t="s">
        <v>55</v>
      </c>
      <c r="M387" s="41"/>
      <c r="N387" s="10" t="s">
        <v>1257</v>
      </c>
      <c r="O387" s="8"/>
      <c r="P387" s="1"/>
    </row>
    <row r="388" spans="1:16" ht="28.5" customHeight="1">
      <c r="A388" s="10">
        <v>1</v>
      </c>
      <c r="B388" s="33" t="s">
        <v>467</v>
      </c>
      <c r="C388" s="41" t="s">
        <v>28</v>
      </c>
      <c r="D388" s="41" t="s">
        <v>1258</v>
      </c>
      <c r="E388" s="41" t="s">
        <v>290</v>
      </c>
      <c r="F388" s="41" t="s">
        <v>1259</v>
      </c>
      <c r="G388" s="41" t="s">
        <v>91</v>
      </c>
      <c r="H388" s="8" t="s">
        <v>67</v>
      </c>
      <c r="I388" s="70" t="s">
        <v>1244</v>
      </c>
      <c r="J388" s="70"/>
      <c r="K388" s="70" t="s">
        <v>97</v>
      </c>
      <c r="L388" s="41" t="s">
        <v>49</v>
      </c>
      <c r="M388" s="41" t="s">
        <v>35</v>
      </c>
      <c r="N388" s="10" t="s">
        <v>1260</v>
      </c>
      <c r="O388" s="8"/>
      <c r="P388" s="1"/>
    </row>
    <row r="389" spans="1:16" ht="28.5" customHeight="1">
      <c r="A389" s="10">
        <v>1</v>
      </c>
      <c r="B389" s="33" t="s">
        <v>467</v>
      </c>
      <c r="C389" s="41" t="s">
        <v>93</v>
      </c>
      <c r="D389" s="41" t="s">
        <v>1261</v>
      </c>
      <c r="E389" s="41" t="s">
        <v>446</v>
      </c>
      <c r="F389" s="41" t="s">
        <v>1262</v>
      </c>
      <c r="G389" s="41" t="s">
        <v>507</v>
      </c>
      <c r="H389" s="8" t="s">
        <v>67</v>
      </c>
      <c r="I389" s="70"/>
      <c r="J389" s="70"/>
      <c r="K389" s="70" t="s">
        <v>184</v>
      </c>
      <c r="L389" s="41" t="s">
        <v>34</v>
      </c>
      <c r="M389" s="41"/>
      <c r="N389" s="10" t="s">
        <v>1263</v>
      </c>
      <c r="O389" s="8"/>
      <c r="P389" s="1"/>
    </row>
    <row r="390" spans="1:16" ht="28.5" customHeight="1">
      <c r="A390" s="10">
        <v>1</v>
      </c>
      <c r="B390" s="33" t="s">
        <v>467</v>
      </c>
      <c r="C390" s="41" t="s">
        <v>93</v>
      </c>
      <c r="D390" s="41" t="s">
        <v>1264</v>
      </c>
      <c r="E390" s="41" t="s">
        <v>52</v>
      </c>
      <c r="F390" s="41" t="s">
        <v>1265</v>
      </c>
      <c r="G390" s="41" t="s">
        <v>797</v>
      </c>
      <c r="H390" s="8" t="s">
        <v>33</v>
      </c>
      <c r="I390" s="70"/>
      <c r="J390" s="70"/>
      <c r="K390" s="70" t="s">
        <v>154</v>
      </c>
      <c r="L390" s="41" t="s">
        <v>34</v>
      </c>
      <c r="M390" s="41"/>
      <c r="N390" s="10" t="s">
        <v>1266</v>
      </c>
      <c r="O390" s="8"/>
      <c r="P390" s="1"/>
    </row>
    <row r="391" spans="1:16" ht="28.5" customHeight="1">
      <c r="A391" s="10">
        <v>1</v>
      </c>
      <c r="B391" s="33" t="s">
        <v>467</v>
      </c>
      <c r="C391" s="41" t="s">
        <v>28</v>
      </c>
      <c r="D391" s="41" t="s">
        <v>1267</v>
      </c>
      <c r="E391" s="41" t="s">
        <v>1268</v>
      </c>
      <c r="F391" s="41">
        <v>51995760186</v>
      </c>
      <c r="G391" s="41" t="s">
        <v>41</v>
      </c>
      <c r="H391" s="8" t="s">
        <v>33</v>
      </c>
      <c r="I391" s="70" t="s">
        <v>54</v>
      </c>
      <c r="J391" s="70"/>
      <c r="K391" s="70" t="s">
        <v>568</v>
      </c>
      <c r="L391" s="41" t="s">
        <v>55</v>
      </c>
      <c r="M391" s="41" t="s">
        <v>35</v>
      </c>
      <c r="N391" s="10" t="s">
        <v>120</v>
      </c>
      <c r="O391" s="8"/>
      <c r="P391" s="1"/>
    </row>
    <row r="392" spans="1:16" ht="28.5" customHeight="1">
      <c r="A392" s="10">
        <v>1</v>
      </c>
      <c r="B392" s="33" t="s">
        <v>467</v>
      </c>
      <c r="C392" s="41" t="s">
        <v>28</v>
      </c>
      <c r="D392" s="41" t="s">
        <v>1269</v>
      </c>
      <c r="E392" s="41" t="s">
        <v>39</v>
      </c>
      <c r="F392" s="41">
        <v>51998882950</v>
      </c>
      <c r="G392" s="41" t="s">
        <v>41</v>
      </c>
      <c r="H392" s="8" t="s">
        <v>33</v>
      </c>
      <c r="I392" s="70" t="s">
        <v>54</v>
      </c>
      <c r="J392" s="70"/>
      <c r="K392" s="70" t="s">
        <v>555</v>
      </c>
      <c r="L392" s="41" t="s">
        <v>55</v>
      </c>
      <c r="M392" s="41" t="s">
        <v>35</v>
      </c>
      <c r="N392" s="10" t="s">
        <v>120</v>
      </c>
      <c r="O392" s="8"/>
      <c r="P392" s="1"/>
    </row>
    <row r="393" spans="1:16" ht="28.5" customHeight="1">
      <c r="A393" s="10">
        <v>1</v>
      </c>
      <c r="B393" s="33" t="s">
        <v>467</v>
      </c>
      <c r="C393" s="41" t="s">
        <v>28</v>
      </c>
      <c r="D393" s="41" t="s">
        <v>1270</v>
      </c>
      <c r="E393" s="41" t="s">
        <v>186</v>
      </c>
      <c r="F393" s="41" t="s">
        <v>1271</v>
      </c>
      <c r="G393" s="41" t="s">
        <v>66</v>
      </c>
      <c r="H393" s="8" t="s">
        <v>67</v>
      </c>
      <c r="I393" s="70" t="s">
        <v>1272</v>
      </c>
      <c r="J393" s="70"/>
      <c r="K393" s="70" t="s">
        <v>97</v>
      </c>
      <c r="L393" s="41" t="s">
        <v>49</v>
      </c>
      <c r="M393" s="41" t="s">
        <v>128</v>
      </c>
      <c r="N393" s="10" t="s">
        <v>1273</v>
      </c>
      <c r="O393" s="8"/>
      <c r="P393" s="1"/>
    </row>
    <row r="394" spans="1:16" ht="28.5" customHeight="1">
      <c r="A394" s="10">
        <v>1</v>
      </c>
      <c r="B394" s="33" t="s">
        <v>467</v>
      </c>
      <c r="C394" s="41" t="s">
        <v>93</v>
      </c>
      <c r="D394" s="41" t="s">
        <v>1274</v>
      </c>
      <c r="E394" s="41" t="s">
        <v>334</v>
      </c>
      <c r="F394" s="41" t="s">
        <v>1275</v>
      </c>
      <c r="G394" s="41" t="s">
        <v>66</v>
      </c>
      <c r="H394" s="8" t="s">
        <v>67</v>
      </c>
      <c r="I394" s="70"/>
      <c r="J394" s="70"/>
      <c r="K394" s="70" t="s">
        <v>179</v>
      </c>
      <c r="L394" s="41" t="s">
        <v>49</v>
      </c>
      <c r="M394" s="41"/>
      <c r="N394" s="10" t="s">
        <v>1276</v>
      </c>
      <c r="O394" s="8"/>
      <c r="P394" s="1"/>
    </row>
    <row r="395" spans="1:16" ht="28.5" customHeight="1">
      <c r="A395" s="10">
        <v>1</v>
      </c>
      <c r="B395" s="33" t="s">
        <v>467</v>
      </c>
      <c r="C395" s="41" t="s">
        <v>28</v>
      </c>
      <c r="D395" s="41" t="s">
        <v>1277</v>
      </c>
      <c r="E395" s="41" t="s">
        <v>1278</v>
      </c>
      <c r="F395" s="41" t="s">
        <v>1279</v>
      </c>
      <c r="G395" s="41" t="s">
        <v>559</v>
      </c>
      <c r="H395" s="8" t="s">
        <v>33</v>
      </c>
      <c r="I395" s="70" t="s">
        <v>582</v>
      </c>
      <c r="J395" s="70"/>
      <c r="K395" s="70" t="s">
        <v>97</v>
      </c>
      <c r="L395" s="41" t="s">
        <v>34</v>
      </c>
      <c r="M395" s="41" t="s">
        <v>35</v>
      </c>
      <c r="N395" s="10" t="s">
        <v>1280</v>
      </c>
      <c r="O395" s="8"/>
      <c r="P395" s="1"/>
    </row>
    <row r="396" spans="1:16" ht="28.5" customHeight="1">
      <c r="A396" s="10">
        <v>1</v>
      </c>
      <c r="B396" s="33" t="s">
        <v>467</v>
      </c>
      <c r="C396" s="41" t="s">
        <v>28</v>
      </c>
      <c r="D396" s="41" t="s">
        <v>1281</v>
      </c>
      <c r="E396" s="41" t="s">
        <v>967</v>
      </c>
      <c r="F396" s="41">
        <v>51982532305</v>
      </c>
      <c r="G396" s="41" t="s">
        <v>53</v>
      </c>
      <c r="H396" s="8" t="s">
        <v>33</v>
      </c>
      <c r="I396" s="70" t="s">
        <v>1282</v>
      </c>
      <c r="J396" s="70"/>
      <c r="K396" s="70" t="s">
        <v>97</v>
      </c>
      <c r="L396" s="41" t="s">
        <v>55</v>
      </c>
      <c r="M396" s="41" t="s">
        <v>128</v>
      </c>
      <c r="N396" s="10" t="s">
        <v>1283</v>
      </c>
      <c r="O396" s="8"/>
      <c r="P396" s="1"/>
    </row>
    <row r="397" spans="1:16" ht="28.5" customHeight="1">
      <c r="A397" s="10">
        <v>1</v>
      </c>
      <c r="B397" s="33" t="s">
        <v>425</v>
      </c>
      <c r="C397" s="41" t="s">
        <v>93</v>
      </c>
      <c r="D397" s="41" t="s">
        <v>1284</v>
      </c>
      <c r="E397" s="41" t="s">
        <v>253</v>
      </c>
      <c r="F397" s="41" t="s">
        <v>1285</v>
      </c>
      <c r="G397" s="41" t="s">
        <v>91</v>
      </c>
      <c r="H397" s="8" t="s">
        <v>67</v>
      </c>
      <c r="I397" s="70"/>
      <c r="J397" s="70"/>
      <c r="K397" s="70" t="s">
        <v>97</v>
      </c>
      <c r="L397" s="41" t="s">
        <v>49</v>
      </c>
      <c r="M397" s="41"/>
      <c r="N397" s="10" t="s">
        <v>1286</v>
      </c>
      <c r="O397" s="8"/>
      <c r="P397" s="1"/>
    </row>
    <row r="398" spans="1:16" ht="28.5" customHeight="1">
      <c r="A398" s="10">
        <v>1</v>
      </c>
      <c r="B398" s="33" t="s">
        <v>425</v>
      </c>
      <c r="C398" s="41" t="s">
        <v>28</v>
      </c>
      <c r="D398" s="41" t="s">
        <v>1028</v>
      </c>
      <c r="E398" s="41" t="s">
        <v>446</v>
      </c>
      <c r="F398" s="41" t="s">
        <v>1029</v>
      </c>
      <c r="G398" s="41" t="s">
        <v>66</v>
      </c>
      <c r="H398" s="8" t="s">
        <v>67</v>
      </c>
      <c r="I398" s="70" t="s">
        <v>425</v>
      </c>
      <c r="J398" s="70"/>
      <c r="K398" s="70" t="s">
        <v>97</v>
      </c>
      <c r="L398" s="41" t="s">
        <v>49</v>
      </c>
      <c r="M398" s="41" t="s">
        <v>61</v>
      </c>
      <c r="N398" s="10" t="s">
        <v>1287</v>
      </c>
      <c r="O398" s="8"/>
      <c r="P398" s="1"/>
    </row>
    <row r="399" spans="1:16" ht="28.5" customHeight="1">
      <c r="A399" s="10">
        <v>1</v>
      </c>
      <c r="B399" s="33" t="s">
        <v>425</v>
      </c>
      <c r="C399" s="41" t="s">
        <v>93</v>
      </c>
      <c r="D399" s="41" t="s">
        <v>1288</v>
      </c>
      <c r="E399" s="41" t="s">
        <v>446</v>
      </c>
      <c r="F399" s="41">
        <v>51993953077</v>
      </c>
      <c r="G399" s="41" t="s">
        <v>66</v>
      </c>
      <c r="H399" s="8" t="s">
        <v>67</v>
      </c>
      <c r="I399" s="70"/>
      <c r="J399" s="70"/>
      <c r="K399" s="70" t="s">
        <v>97</v>
      </c>
      <c r="L399" s="41" t="s">
        <v>55</v>
      </c>
      <c r="M399" s="41"/>
      <c r="N399" s="10" t="s">
        <v>1289</v>
      </c>
      <c r="O399" s="8"/>
      <c r="P399" s="1"/>
    </row>
    <row r="400" spans="1:16" ht="28.5" customHeight="1">
      <c r="A400" s="10">
        <v>1</v>
      </c>
      <c r="B400" s="33" t="s">
        <v>425</v>
      </c>
      <c r="C400" s="41" t="s">
        <v>28</v>
      </c>
      <c r="D400" s="41" t="s">
        <v>1290</v>
      </c>
      <c r="E400" s="41" t="s">
        <v>298</v>
      </c>
      <c r="F400" s="41" t="s">
        <v>1291</v>
      </c>
      <c r="G400" s="41" t="s">
        <v>91</v>
      </c>
      <c r="H400" s="8" t="s">
        <v>67</v>
      </c>
      <c r="I400" s="70" t="s">
        <v>1244</v>
      </c>
      <c r="J400" s="70"/>
      <c r="K400" s="70" t="s">
        <v>97</v>
      </c>
      <c r="L400" s="41" t="s">
        <v>49</v>
      </c>
      <c r="M400" s="41" t="s">
        <v>35</v>
      </c>
      <c r="N400" s="10" t="s">
        <v>1292</v>
      </c>
      <c r="O400" s="8"/>
      <c r="P400" s="1"/>
    </row>
    <row r="401" spans="1:16" ht="28.5" customHeight="1">
      <c r="A401" s="10">
        <v>1</v>
      </c>
      <c r="B401" s="33" t="s">
        <v>425</v>
      </c>
      <c r="C401" s="41" t="s">
        <v>28</v>
      </c>
      <c r="D401" s="41" t="s">
        <v>1293</v>
      </c>
      <c r="E401" s="41" t="s">
        <v>145</v>
      </c>
      <c r="F401" s="41" t="s">
        <v>1294</v>
      </c>
      <c r="G401" s="41" t="s">
        <v>79</v>
      </c>
      <c r="H401" s="8" t="s">
        <v>47</v>
      </c>
      <c r="I401" s="70" t="s">
        <v>1176</v>
      </c>
      <c r="J401" s="70"/>
      <c r="K401" s="70" t="s">
        <v>97</v>
      </c>
      <c r="L401" s="41" t="s">
        <v>49</v>
      </c>
      <c r="M401" s="41" t="s">
        <v>56</v>
      </c>
      <c r="N401" s="10" t="s">
        <v>1295</v>
      </c>
      <c r="O401" s="8"/>
      <c r="P401" s="1"/>
    </row>
    <row r="402" spans="1:16" ht="28.5" customHeight="1">
      <c r="A402" s="10">
        <v>1</v>
      </c>
      <c r="B402" s="33" t="s">
        <v>425</v>
      </c>
      <c r="C402" s="41" t="s">
        <v>28</v>
      </c>
      <c r="D402" s="41" t="s">
        <v>1296</v>
      </c>
      <c r="E402" s="41" t="s">
        <v>298</v>
      </c>
      <c r="F402" s="41">
        <v>51993784250</v>
      </c>
      <c r="G402" s="41" t="s">
        <v>91</v>
      </c>
      <c r="H402" s="8" t="s">
        <v>67</v>
      </c>
      <c r="I402" s="70" t="s">
        <v>1244</v>
      </c>
      <c r="J402" s="70"/>
      <c r="K402" s="70" t="s">
        <v>97</v>
      </c>
      <c r="L402" s="41" t="s">
        <v>55</v>
      </c>
      <c r="M402" s="41" t="s">
        <v>61</v>
      </c>
      <c r="N402" s="10" t="s">
        <v>599</v>
      </c>
      <c r="O402" s="8"/>
      <c r="P402" s="1"/>
    </row>
    <row r="403" spans="1:16" ht="28.5" customHeight="1">
      <c r="A403" s="10">
        <v>1</v>
      </c>
      <c r="B403" s="33" t="s">
        <v>425</v>
      </c>
      <c r="C403" s="41" t="s">
        <v>93</v>
      </c>
      <c r="D403" s="41" t="s">
        <v>1297</v>
      </c>
      <c r="E403" s="41" t="s">
        <v>30</v>
      </c>
      <c r="F403" s="41">
        <v>51981173002</v>
      </c>
      <c r="G403" s="41" t="s">
        <v>32</v>
      </c>
      <c r="H403" s="8" t="s">
        <v>33</v>
      </c>
      <c r="I403" s="70"/>
      <c r="J403" s="70"/>
      <c r="K403" s="70" t="s">
        <v>142</v>
      </c>
      <c r="L403" s="41" t="s">
        <v>55</v>
      </c>
      <c r="M403" s="41"/>
      <c r="N403" s="10" t="s">
        <v>102</v>
      </c>
      <c r="O403" s="8"/>
      <c r="P403" s="1"/>
    </row>
    <row r="404" spans="1:16" ht="28.5" customHeight="1">
      <c r="A404" s="10">
        <v>1</v>
      </c>
      <c r="B404" s="33" t="s">
        <v>425</v>
      </c>
      <c r="C404" s="41" t="s">
        <v>93</v>
      </c>
      <c r="D404" s="41" t="s">
        <v>1298</v>
      </c>
      <c r="E404" s="41" t="s">
        <v>165</v>
      </c>
      <c r="F404" s="41">
        <v>51991967021</v>
      </c>
      <c r="G404" s="41" t="s">
        <v>66</v>
      </c>
      <c r="H404" s="8" t="s">
        <v>67</v>
      </c>
      <c r="I404" s="70"/>
      <c r="J404" s="70"/>
      <c r="K404" s="70" t="s">
        <v>97</v>
      </c>
      <c r="L404" s="41" t="s">
        <v>55</v>
      </c>
      <c r="M404" s="41"/>
      <c r="N404" s="10" t="s">
        <v>102</v>
      </c>
      <c r="O404" s="8"/>
      <c r="P404" s="1"/>
    </row>
    <row r="405" spans="1:16" ht="28.5" customHeight="1">
      <c r="A405" s="10">
        <v>1</v>
      </c>
      <c r="B405" s="33" t="s">
        <v>425</v>
      </c>
      <c r="C405" s="41" t="s">
        <v>28</v>
      </c>
      <c r="D405" s="41" t="s">
        <v>1299</v>
      </c>
      <c r="E405" s="41" t="s">
        <v>446</v>
      </c>
      <c r="F405" s="41" t="s">
        <v>1300</v>
      </c>
      <c r="G405" s="41" t="s">
        <v>66</v>
      </c>
      <c r="H405" s="8" t="s">
        <v>67</v>
      </c>
      <c r="I405" s="70" t="s">
        <v>1244</v>
      </c>
      <c r="J405" s="70"/>
      <c r="K405" s="70" t="s">
        <v>250</v>
      </c>
      <c r="L405" s="41" t="s">
        <v>49</v>
      </c>
      <c r="M405" s="41" t="s">
        <v>35</v>
      </c>
      <c r="N405" s="10" t="s">
        <v>1301</v>
      </c>
      <c r="O405" s="8"/>
      <c r="P405" s="1"/>
    </row>
    <row r="406" spans="1:16" ht="28.5" customHeight="1">
      <c r="A406" s="10">
        <v>1</v>
      </c>
      <c r="B406" s="33" t="s">
        <v>425</v>
      </c>
      <c r="C406" s="41" t="s">
        <v>28</v>
      </c>
      <c r="D406" s="41" t="s">
        <v>1302</v>
      </c>
      <c r="E406" s="41" t="s">
        <v>661</v>
      </c>
      <c r="F406" s="41" t="s">
        <v>1303</v>
      </c>
      <c r="G406" s="41" t="s">
        <v>85</v>
      </c>
      <c r="H406" s="8" t="s">
        <v>33</v>
      </c>
      <c r="I406" s="70" t="s">
        <v>1232</v>
      </c>
      <c r="J406" s="70"/>
      <c r="K406" s="70" t="s">
        <v>101</v>
      </c>
      <c r="L406" s="41" t="s">
        <v>49</v>
      </c>
      <c r="M406" s="41" t="s">
        <v>61</v>
      </c>
      <c r="N406" s="10" t="s">
        <v>1304</v>
      </c>
      <c r="O406" s="8"/>
      <c r="P406" s="1"/>
    </row>
    <row r="407" spans="1:16" ht="28.5" customHeight="1">
      <c r="A407" s="10">
        <v>1</v>
      </c>
      <c r="B407" s="33" t="s">
        <v>425</v>
      </c>
      <c r="C407" s="41" t="s">
        <v>93</v>
      </c>
      <c r="D407" s="41" t="s">
        <v>1305</v>
      </c>
      <c r="E407" s="41" t="s">
        <v>1306</v>
      </c>
      <c r="F407" s="41" t="s">
        <v>1307</v>
      </c>
      <c r="G407" s="41" t="s">
        <v>53</v>
      </c>
      <c r="H407" s="8" t="s">
        <v>33</v>
      </c>
      <c r="I407" s="70"/>
      <c r="J407" s="70"/>
      <c r="K407" s="70" t="s">
        <v>97</v>
      </c>
      <c r="L407" s="41" t="s">
        <v>49</v>
      </c>
      <c r="M407" s="41"/>
      <c r="N407" s="10" t="s">
        <v>1308</v>
      </c>
      <c r="O407" s="8"/>
      <c r="P407" s="1"/>
    </row>
    <row r="408" spans="1:16" ht="28.5" customHeight="1">
      <c r="A408" s="10">
        <v>1</v>
      </c>
      <c r="B408" s="33" t="s">
        <v>425</v>
      </c>
      <c r="C408" s="41" t="s">
        <v>93</v>
      </c>
      <c r="D408" s="41" t="s">
        <v>1309</v>
      </c>
      <c r="E408" s="41" t="s">
        <v>525</v>
      </c>
      <c r="F408" s="41">
        <v>51995883009</v>
      </c>
      <c r="G408" s="41" t="s">
        <v>85</v>
      </c>
      <c r="H408" s="8" t="s">
        <v>33</v>
      </c>
      <c r="I408" s="70"/>
      <c r="J408" s="70"/>
      <c r="K408" s="70" t="s">
        <v>101</v>
      </c>
      <c r="L408" s="41" t="s">
        <v>55</v>
      </c>
      <c r="M408" s="41"/>
      <c r="N408" s="10" t="s">
        <v>1310</v>
      </c>
      <c r="O408" s="8"/>
      <c r="P408" s="1"/>
    </row>
    <row r="409" spans="1:16" ht="28.5" customHeight="1">
      <c r="A409" s="10">
        <v>1</v>
      </c>
      <c r="B409" s="33" t="s">
        <v>425</v>
      </c>
      <c r="C409" s="41" t="s">
        <v>93</v>
      </c>
      <c r="D409" s="41" t="s">
        <v>1311</v>
      </c>
      <c r="E409" s="41" t="s">
        <v>85</v>
      </c>
      <c r="F409" s="41">
        <v>51999273485</v>
      </c>
      <c r="G409" s="41" t="s">
        <v>85</v>
      </c>
      <c r="H409" s="8" t="s">
        <v>33</v>
      </c>
      <c r="I409" s="70"/>
      <c r="J409" s="70"/>
      <c r="K409" s="70" t="s">
        <v>568</v>
      </c>
      <c r="L409" s="41" t="s">
        <v>55</v>
      </c>
      <c r="M409" s="41"/>
      <c r="N409" s="10" t="s">
        <v>974</v>
      </c>
      <c r="O409" s="8"/>
      <c r="P409" s="1"/>
    </row>
    <row r="410" spans="1:16" ht="28.5" customHeight="1">
      <c r="A410" s="10">
        <v>1</v>
      </c>
      <c r="B410" s="33" t="s">
        <v>425</v>
      </c>
      <c r="C410" s="41" t="s">
        <v>93</v>
      </c>
      <c r="D410" s="41" t="s">
        <v>1312</v>
      </c>
      <c r="E410" s="41" t="s">
        <v>1313</v>
      </c>
      <c r="F410" s="41" t="s">
        <v>1314</v>
      </c>
      <c r="G410" s="41" t="s">
        <v>85</v>
      </c>
      <c r="H410" s="8" t="s">
        <v>33</v>
      </c>
      <c r="I410" s="70"/>
      <c r="J410" s="70"/>
      <c r="K410" s="70" t="s">
        <v>184</v>
      </c>
      <c r="L410" s="41" t="s">
        <v>49</v>
      </c>
      <c r="M410" s="41"/>
      <c r="N410" s="10" t="s">
        <v>1315</v>
      </c>
      <c r="O410" s="8"/>
      <c r="P410" s="1"/>
    </row>
    <row r="411" spans="1:16" ht="28.5" customHeight="1">
      <c r="A411" s="10">
        <v>1</v>
      </c>
      <c r="B411" s="33" t="s">
        <v>425</v>
      </c>
      <c r="C411" s="41" t="s">
        <v>28</v>
      </c>
      <c r="D411" s="41" t="s">
        <v>1316</v>
      </c>
      <c r="E411" s="41" t="s">
        <v>581</v>
      </c>
      <c r="F411" s="41" t="s">
        <v>1317</v>
      </c>
      <c r="G411" s="41" t="s">
        <v>85</v>
      </c>
      <c r="H411" s="8" t="s">
        <v>33</v>
      </c>
      <c r="I411" s="70"/>
      <c r="J411" s="70"/>
      <c r="K411" s="70" t="s">
        <v>154</v>
      </c>
      <c r="L411" s="41" t="s">
        <v>49</v>
      </c>
      <c r="M411" s="41" t="s">
        <v>35</v>
      </c>
      <c r="N411" s="10" t="s">
        <v>1318</v>
      </c>
      <c r="O411" s="8"/>
      <c r="P411" s="1"/>
    </row>
    <row r="412" spans="1:16" ht="28.5" customHeight="1">
      <c r="A412" s="10">
        <v>1</v>
      </c>
      <c r="B412" s="33" t="s">
        <v>425</v>
      </c>
      <c r="C412" s="41" t="s">
        <v>28</v>
      </c>
      <c r="D412" s="41" t="s">
        <v>1319</v>
      </c>
      <c r="E412" s="41" t="s">
        <v>1320</v>
      </c>
      <c r="F412" s="41" t="s">
        <v>1321</v>
      </c>
      <c r="G412" s="41" t="s">
        <v>415</v>
      </c>
      <c r="H412" s="8" t="s">
        <v>33</v>
      </c>
      <c r="I412" s="70"/>
      <c r="J412" s="70"/>
      <c r="K412" s="70" t="s">
        <v>101</v>
      </c>
      <c r="L412" s="41" t="s">
        <v>55</v>
      </c>
      <c r="M412" s="41" t="s">
        <v>61</v>
      </c>
      <c r="N412" s="10" t="s">
        <v>1322</v>
      </c>
      <c r="O412" s="8"/>
      <c r="P412" s="1"/>
    </row>
    <row r="413" spans="1:16" ht="28.5" customHeight="1">
      <c r="A413" s="10">
        <v>1</v>
      </c>
      <c r="B413" s="33" t="s">
        <v>425</v>
      </c>
      <c r="C413" s="41" t="s">
        <v>93</v>
      </c>
      <c r="D413" s="41" t="s">
        <v>1323</v>
      </c>
      <c r="E413" s="41" t="s">
        <v>39</v>
      </c>
      <c r="F413" s="41">
        <v>51999942441</v>
      </c>
      <c r="G413" s="41" t="s">
        <v>41</v>
      </c>
      <c r="H413" s="8" t="s">
        <v>33</v>
      </c>
      <c r="I413" s="70"/>
      <c r="J413" s="70"/>
      <c r="K413" s="70" t="s">
        <v>97</v>
      </c>
      <c r="L413" s="41" t="s">
        <v>55</v>
      </c>
      <c r="M413" s="41"/>
      <c r="N413" s="10" t="s">
        <v>1324</v>
      </c>
      <c r="O413" s="8"/>
      <c r="P413" s="1"/>
    </row>
    <row r="414" spans="1:16" ht="28.5" customHeight="1">
      <c r="A414" s="10">
        <v>1</v>
      </c>
      <c r="B414" s="33" t="s">
        <v>425</v>
      </c>
      <c r="C414" s="41" t="s">
        <v>93</v>
      </c>
      <c r="D414" s="41" t="s">
        <v>1325</v>
      </c>
      <c r="E414" s="41" t="s">
        <v>1190</v>
      </c>
      <c r="F414" s="41">
        <v>51997990049</v>
      </c>
      <c r="G414" s="41" t="s">
        <v>41</v>
      </c>
      <c r="H414" s="8" t="s">
        <v>33</v>
      </c>
      <c r="I414" s="70"/>
      <c r="J414" s="70"/>
      <c r="K414" s="70" t="s">
        <v>568</v>
      </c>
      <c r="L414" s="41" t="s">
        <v>55</v>
      </c>
      <c r="M414" s="41"/>
      <c r="N414" s="10" t="s">
        <v>1326</v>
      </c>
      <c r="O414" s="8"/>
      <c r="P414" s="1"/>
    </row>
    <row r="415" spans="1:16" ht="28.5" customHeight="1">
      <c r="A415" s="10">
        <v>1</v>
      </c>
      <c r="B415" s="33" t="s">
        <v>425</v>
      </c>
      <c r="C415" s="41" t="s">
        <v>28</v>
      </c>
      <c r="D415" s="41"/>
      <c r="E415" s="41"/>
      <c r="F415" s="41"/>
      <c r="G415" s="41"/>
      <c r="H415" s="8"/>
      <c r="I415" s="70"/>
      <c r="J415" s="70"/>
      <c r="K415" s="70"/>
      <c r="L415" s="41"/>
      <c r="M415" s="41"/>
      <c r="N415" s="10"/>
      <c r="O415" s="8"/>
      <c r="P415" s="1"/>
    </row>
    <row r="416" spans="1:16" ht="28.5" customHeight="1">
      <c r="A416" s="10">
        <v>1</v>
      </c>
      <c r="B416" s="33" t="s">
        <v>425</v>
      </c>
      <c r="C416" s="41" t="s">
        <v>28</v>
      </c>
      <c r="D416" s="41" t="s">
        <v>1327</v>
      </c>
      <c r="E416" s="41" t="s">
        <v>525</v>
      </c>
      <c r="F416" s="41" t="s">
        <v>1328</v>
      </c>
      <c r="G416" s="41" t="s">
        <v>85</v>
      </c>
      <c r="H416" s="8" t="s">
        <v>33</v>
      </c>
      <c r="I416" s="70" t="s">
        <v>1232</v>
      </c>
      <c r="J416" s="70"/>
      <c r="K416" s="70" t="s">
        <v>97</v>
      </c>
      <c r="L416" s="41" t="s">
        <v>49</v>
      </c>
      <c r="M416" s="41" t="s">
        <v>128</v>
      </c>
      <c r="N416" s="10" t="s">
        <v>1329</v>
      </c>
      <c r="O416" s="8"/>
      <c r="P416" s="1"/>
    </row>
    <row r="417" spans="1:16" ht="28.5" customHeight="1">
      <c r="A417" s="10">
        <v>1</v>
      </c>
      <c r="B417" s="33" t="s">
        <v>425</v>
      </c>
      <c r="C417" s="41" t="s">
        <v>28</v>
      </c>
      <c r="D417" s="41" t="s">
        <v>1330</v>
      </c>
      <c r="E417" s="41" t="s">
        <v>292</v>
      </c>
      <c r="F417" s="41" t="s">
        <v>1331</v>
      </c>
      <c r="G417" s="41" t="s">
        <v>41</v>
      </c>
      <c r="H417" s="8" t="s">
        <v>33</v>
      </c>
      <c r="I417" s="70" t="s">
        <v>930</v>
      </c>
      <c r="J417" s="70"/>
      <c r="K417" s="70" t="s">
        <v>154</v>
      </c>
      <c r="L417" s="41" t="s">
        <v>49</v>
      </c>
      <c r="M417" s="41" t="s">
        <v>80</v>
      </c>
      <c r="N417" s="10" t="s">
        <v>1332</v>
      </c>
      <c r="O417" s="8"/>
      <c r="P417" s="1"/>
    </row>
    <row r="418" spans="1:16" ht="28.5" customHeight="1">
      <c r="A418" s="10">
        <v>1</v>
      </c>
      <c r="B418" s="33" t="s">
        <v>425</v>
      </c>
      <c r="C418" s="41" t="s">
        <v>93</v>
      </c>
      <c r="D418" s="41" t="s">
        <v>1333</v>
      </c>
      <c r="E418" s="41" t="s">
        <v>136</v>
      </c>
      <c r="F418" s="41" t="s">
        <v>1334</v>
      </c>
      <c r="G418" s="41" t="s">
        <v>66</v>
      </c>
      <c r="H418" s="8" t="s">
        <v>67</v>
      </c>
      <c r="I418" s="70"/>
      <c r="J418" s="70"/>
      <c r="K418" s="70" t="s">
        <v>97</v>
      </c>
      <c r="L418" s="41" t="s">
        <v>49</v>
      </c>
      <c r="M418" s="41"/>
      <c r="N418" s="10" t="s">
        <v>1335</v>
      </c>
      <c r="O418" s="8"/>
      <c r="P418" s="1"/>
    </row>
    <row r="419" spans="1:16" ht="28.5" customHeight="1">
      <c r="A419" s="10">
        <v>1</v>
      </c>
      <c r="B419" s="33" t="s">
        <v>425</v>
      </c>
      <c r="C419" s="41" t="s">
        <v>28</v>
      </c>
      <c r="D419" s="41" t="s">
        <v>1234</v>
      </c>
      <c r="E419" s="41" t="s">
        <v>71</v>
      </c>
      <c r="F419" s="41" t="s">
        <v>1235</v>
      </c>
      <c r="G419" s="41" t="s">
        <v>73</v>
      </c>
      <c r="H419" s="8" t="s">
        <v>33</v>
      </c>
      <c r="I419" s="70" t="s">
        <v>1239</v>
      </c>
      <c r="J419" s="70"/>
      <c r="K419" s="70" t="s">
        <v>154</v>
      </c>
      <c r="L419" s="41" t="s">
        <v>49</v>
      </c>
      <c r="M419" s="41" t="s">
        <v>35</v>
      </c>
      <c r="N419" s="10" t="s">
        <v>1336</v>
      </c>
      <c r="O419" s="8"/>
      <c r="P419" s="1"/>
    </row>
    <row r="420" spans="1:16" ht="28.5" customHeight="1">
      <c r="A420" s="10">
        <v>1</v>
      </c>
      <c r="B420" s="33" t="s">
        <v>425</v>
      </c>
      <c r="C420" s="41" t="s">
        <v>93</v>
      </c>
      <c r="D420" s="41" t="s">
        <v>1337</v>
      </c>
      <c r="E420" s="41" t="s">
        <v>52</v>
      </c>
      <c r="F420" s="41" t="s">
        <v>1338</v>
      </c>
      <c r="G420" s="41" t="s">
        <v>53</v>
      </c>
      <c r="H420" s="8" t="s">
        <v>33</v>
      </c>
      <c r="I420" s="70"/>
      <c r="J420" s="70"/>
      <c r="K420" s="70" t="s">
        <v>250</v>
      </c>
      <c r="L420" s="41" t="s">
        <v>49</v>
      </c>
      <c r="M420" s="41"/>
      <c r="N420" s="10" t="s">
        <v>1339</v>
      </c>
      <c r="O420" s="8"/>
      <c r="P420" s="1"/>
    </row>
    <row r="421" spans="1:16" ht="28.5" customHeight="1">
      <c r="A421" s="10">
        <v>1</v>
      </c>
      <c r="B421" s="33" t="s">
        <v>425</v>
      </c>
      <c r="C421" s="41" t="s">
        <v>93</v>
      </c>
      <c r="D421" s="41" t="s">
        <v>1112</v>
      </c>
      <c r="E421" s="41" t="s">
        <v>893</v>
      </c>
      <c r="F421" s="41" t="s">
        <v>1113</v>
      </c>
      <c r="G421" s="41" t="s">
        <v>85</v>
      </c>
      <c r="H421" s="8" t="s">
        <v>33</v>
      </c>
      <c r="I421" s="70"/>
      <c r="J421" s="70"/>
      <c r="K421" s="70" t="s">
        <v>179</v>
      </c>
      <c r="L421" s="41" t="s">
        <v>49</v>
      </c>
      <c r="M421" s="41"/>
      <c r="N421" s="10" t="s">
        <v>1340</v>
      </c>
      <c r="O421" s="8"/>
      <c r="P421" s="1"/>
    </row>
    <row r="422" spans="1:16" ht="28.5" customHeight="1">
      <c r="A422" s="10">
        <v>1</v>
      </c>
      <c r="B422" s="33" t="s">
        <v>425</v>
      </c>
      <c r="C422" s="41" t="s">
        <v>93</v>
      </c>
      <c r="D422" s="41" t="s">
        <v>1341</v>
      </c>
      <c r="E422" s="41" t="s">
        <v>1342</v>
      </c>
      <c r="F422" s="41" t="s">
        <v>1343</v>
      </c>
      <c r="G422" s="41" t="s">
        <v>66</v>
      </c>
      <c r="H422" s="8" t="s">
        <v>67</v>
      </c>
      <c r="I422" s="70"/>
      <c r="J422" s="70"/>
      <c r="K422" s="70" t="s">
        <v>97</v>
      </c>
      <c r="L422" s="41" t="s">
        <v>34</v>
      </c>
      <c r="M422" s="41"/>
      <c r="N422" s="10" t="s">
        <v>1344</v>
      </c>
      <c r="O422" s="8"/>
      <c r="P422" s="1"/>
    </row>
    <row r="423" spans="1:16" ht="28.5" customHeight="1">
      <c r="A423" s="10">
        <v>1</v>
      </c>
      <c r="B423" s="33" t="s">
        <v>425</v>
      </c>
      <c r="C423" s="41" t="s">
        <v>28</v>
      </c>
      <c r="D423" s="41" t="s">
        <v>1345</v>
      </c>
      <c r="E423" s="41" t="s">
        <v>705</v>
      </c>
      <c r="F423" s="41" t="s">
        <v>1346</v>
      </c>
      <c r="G423" s="41" t="s">
        <v>53</v>
      </c>
      <c r="H423" s="8" t="s">
        <v>33</v>
      </c>
      <c r="I423" s="70" t="s">
        <v>1239</v>
      </c>
      <c r="J423" s="70"/>
      <c r="K423" s="70" t="s">
        <v>97</v>
      </c>
      <c r="L423" s="41" t="s">
        <v>49</v>
      </c>
      <c r="M423" s="41" t="s">
        <v>35</v>
      </c>
      <c r="N423" s="10" t="s">
        <v>1347</v>
      </c>
      <c r="O423" s="8"/>
      <c r="P423" s="1"/>
    </row>
    <row r="424" spans="1:16" ht="28.5" customHeight="1">
      <c r="A424" s="10">
        <v>1</v>
      </c>
      <c r="B424" s="33" t="s">
        <v>425</v>
      </c>
      <c r="C424" s="41" t="s">
        <v>28</v>
      </c>
      <c r="D424" s="41" t="s">
        <v>1348</v>
      </c>
      <c r="E424" s="41" t="s">
        <v>1349</v>
      </c>
      <c r="F424" s="41" t="s">
        <v>1350</v>
      </c>
      <c r="G424" s="41" t="s">
        <v>1091</v>
      </c>
      <c r="H424" s="8" t="s">
        <v>33</v>
      </c>
      <c r="I424" s="70" t="s">
        <v>1351</v>
      </c>
      <c r="J424" s="70"/>
      <c r="K424" s="70" t="s">
        <v>101</v>
      </c>
      <c r="L424" s="41" t="s">
        <v>34</v>
      </c>
      <c r="M424" s="41" t="s">
        <v>35</v>
      </c>
      <c r="N424" s="10" t="s">
        <v>1352</v>
      </c>
      <c r="O424" s="8"/>
      <c r="P424" s="1"/>
    </row>
    <row r="425" spans="1:16" ht="28.5" customHeight="1">
      <c r="A425" s="10">
        <v>1</v>
      </c>
      <c r="B425" s="33" t="s">
        <v>425</v>
      </c>
      <c r="C425" s="41" t="s">
        <v>28</v>
      </c>
      <c r="D425" s="41" t="s">
        <v>1353</v>
      </c>
      <c r="E425" s="41" t="s">
        <v>1354</v>
      </c>
      <c r="F425" s="41" t="s">
        <v>1355</v>
      </c>
      <c r="G425" s="41" t="s">
        <v>559</v>
      </c>
      <c r="H425" s="8" t="s">
        <v>33</v>
      </c>
      <c r="I425" s="70" t="s">
        <v>582</v>
      </c>
      <c r="J425" s="70"/>
      <c r="K425" s="70" t="s">
        <v>184</v>
      </c>
      <c r="L425" s="41" t="s">
        <v>34</v>
      </c>
      <c r="M425" s="41" t="s">
        <v>128</v>
      </c>
      <c r="N425" s="10" t="s">
        <v>1356</v>
      </c>
      <c r="O425" s="8"/>
      <c r="P425" s="1"/>
    </row>
    <row r="426" spans="1:16" ht="28.5" customHeight="1">
      <c r="A426" s="10">
        <v>1</v>
      </c>
      <c r="B426" s="33" t="s">
        <v>425</v>
      </c>
      <c r="C426" s="41" t="s">
        <v>28</v>
      </c>
      <c r="D426" s="41" t="s">
        <v>1357</v>
      </c>
      <c r="E426" s="41" t="s">
        <v>1358</v>
      </c>
      <c r="F426" s="41" t="s">
        <v>1359</v>
      </c>
      <c r="G426" s="41" t="s">
        <v>750</v>
      </c>
      <c r="H426" s="8" t="s">
        <v>47</v>
      </c>
      <c r="I426" s="70"/>
      <c r="J426" s="70"/>
      <c r="K426" s="70" t="s">
        <v>184</v>
      </c>
      <c r="L426" s="41" t="s">
        <v>34</v>
      </c>
      <c r="M426" s="41" t="s">
        <v>133</v>
      </c>
      <c r="N426" s="10" t="s">
        <v>1360</v>
      </c>
      <c r="O426" s="8"/>
      <c r="P426" s="1"/>
    </row>
    <row r="427" spans="1:16" ht="28.5" customHeight="1">
      <c r="A427" s="10">
        <v>1</v>
      </c>
      <c r="B427" s="33" t="s">
        <v>425</v>
      </c>
      <c r="C427" s="41" t="s">
        <v>28</v>
      </c>
      <c r="D427" s="41" t="s">
        <v>1361</v>
      </c>
      <c r="E427" s="41" t="s">
        <v>665</v>
      </c>
      <c r="F427" s="41" t="s">
        <v>1362</v>
      </c>
      <c r="G427" s="41" t="s">
        <v>501</v>
      </c>
      <c r="H427" s="8" t="s">
        <v>67</v>
      </c>
      <c r="I427" s="70" t="s">
        <v>1244</v>
      </c>
      <c r="J427" s="70"/>
      <c r="K427" s="70" t="s">
        <v>97</v>
      </c>
      <c r="L427" s="41" t="s">
        <v>34</v>
      </c>
      <c r="M427" s="41" t="s">
        <v>128</v>
      </c>
      <c r="N427" s="10" t="s">
        <v>1363</v>
      </c>
      <c r="O427" s="8"/>
      <c r="P427" s="1"/>
    </row>
    <row r="428" spans="1:16" ht="28.5" customHeight="1">
      <c r="A428" s="10">
        <v>1</v>
      </c>
      <c r="B428" s="33" t="s">
        <v>1148</v>
      </c>
      <c r="C428" s="41" t="s">
        <v>28</v>
      </c>
      <c r="D428" s="41" t="s">
        <v>1364</v>
      </c>
      <c r="E428" s="41" t="s">
        <v>157</v>
      </c>
      <c r="F428" s="41">
        <v>51981210299</v>
      </c>
      <c r="G428" s="41" t="s">
        <v>147</v>
      </c>
      <c r="H428" s="8" t="s">
        <v>33</v>
      </c>
      <c r="I428" s="70" t="s">
        <v>1176</v>
      </c>
      <c r="J428" s="70"/>
      <c r="K428" s="70" t="s">
        <v>97</v>
      </c>
      <c r="L428" s="41" t="s">
        <v>55</v>
      </c>
      <c r="M428" s="41" t="s">
        <v>61</v>
      </c>
      <c r="N428" s="10"/>
      <c r="O428" s="8"/>
      <c r="P428" s="1"/>
    </row>
    <row r="429" spans="1:16" ht="28.5" customHeight="1">
      <c r="A429" s="10">
        <v>1</v>
      </c>
      <c r="B429" s="33" t="s">
        <v>1244</v>
      </c>
      <c r="C429" s="41" t="s">
        <v>28</v>
      </c>
      <c r="D429" s="41" t="s">
        <v>1365</v>
      </c>
      <c r="E429" s="41" t="s">
        <v>39</v>
      </c>
      <c r="F429" s="41">
        <v>51994239769</v>
      </c>
      <c r="G429" s="41" t="s">
        <v>313</v>
      </c>
      <c r="H429" s="8" t="s">
        <v>33</v>
      </c>
      <c r="I429" s="70" t="s">
        <v>1282</v>
      </c>
      <c r="J429" s="70"/>
      <c r="K429" s="70" t="s">
        <v>250</v>
      </c>
      <c r="L429" s="41" t="s">
        <v>55</v>
      </c>
      <c r="M429" s="41" t="s">
        <v>56</v>
      </c>
      <c r="N429" s="10" t="s">
        <v>1366</v>
      </c>
      <c r="O429" s="8"/>
      <c r="P429" s="1"/>
    </row>
    <row r="430" spans="1:16" ht="28.5" customHeight="1">
      <c r="A430" s="10">
        <v>1</v>
      </c>
      <c r="B430" s="33" t="s">
        <v>1244</v>
      </c>
      <c r="C430" s="41" t="s">
        <v>93</v>
      </c>
      <c r="D430" s="41" t="s">
        <v>1367</v>
      </c>
      <c r="E430" s="41" t="s">
        <v>893</v>
      </c>
      <c r="F430" s="41">
        <v>51996871946</v>
      </c>
      <c r="G430" s="41" t="s">
        <v>85</v>
      </c>
      <c r="H430" s="8" t="s">
        <v>33</v>
      </c>
      <c r="I430" s="70"/>
      <c r="J430" s="70"/>
      <c r="K430" s="70" t="s">
        <v>97</v>
      </c>
      <c r="L430" s="41" t="s">
        <v>55</v>
      </c>
      <c r="M430" s="41"/>
      <c r="N430" s="10" t="s">
        <v>1368</v>
      </c>
      <c r="O430" s="8"/>
      <c r="P430" s="1"/>
    </row>
    <row r="431" spans="1:16" ht="28.5" customHeight="1">
      <c r="A431" s="10">
        <v>1</v>
      </c>
      <c r="B431" s="33" t="s">
        <v>1244</v>
      </c>
      <c r="C431" s="41" t="s">
        <v>93</v>
      </c>
      <c r="D431" s="41" t="s">
        <v>1369</v>
      </c>
      <c r="E431" s="41" t="s">
        <v>1086</v>
      </c>
      <c r="F431" s="41" t="s">
        <v>1370</v>
      </c>
      <c r="G431" s="41" t="s">
        <v>66</v>
      </c>
      <c r="H431" s="8" t="s">
        <v>67</v>
      </c>
      <c r="I431" s="70"/>
      <c r="J431" s="70"/>
      <c r="K431" s="70" t="s">
        <v>97</v>
      </c>
      <c r="L431" s="41" t="s">
        <v>49</v>
      </c>
      <c r="M431" s="41"/>
      <c r="N431" s="10" t="s">
        <v>1371</v>
      </c>
      <c r="O431" s="8"/>
      <c r="P431" s="1"/>
    </row>
    <row r="432" spans="1:16" ht="28.5" customHeight="1">
      <c r="A432" s="10">
        <v>1</v>
      </c>
      <c r="B432" s="33" t="s">
        <v>1244</v>
      </c>
      <c r="C432" s="41" t="s">
        <v>28</v>
      </c>
      <c r="D432" s="41" t="s">
        <v>1372</v>
      </c>
      <c r="E432" s="41" t="s">
        <v>157</v>
      </c>
      <c r="F432" s="41">
        <v>51986535838</v>
      </c>
      <c r="G432" s="41" t="s">
        <v>147</v>
      </c>
      <c r="H432" s="8" t="s">
        <v>33</v>
      </c>
      <c r="I432" s="70" t="s">
        <v>588</v>
      </c>
      <c r="J432" s="70"/>
      <c r="K432" s="70" t="s">
        <v>184</v>
      </c>
      <c r="L432" s="41" t="s">
        <v>55</v>
      </c>
      <c r="M432" s="41" t="s">
        <v>61</v>
      </c>
      <c r="N432" s="10" t="s">
        <v>211</v>
      </c>
      <c r="O432" s="8"/>
      <c r="P432" s="1"/>
    </row>
    <row r="433" spans="1:16" ht="28.5" customHeight="1">
      <c r="A433" s="10">
        <v>1</v>
      </c>
      <c r="B433" s="33" t="s">
        <v>1244</v>
      </c>
      <c r="C433" s="41" t="s">
        <v>93</v>
      </c>
      <c r="D433" s="41" t="s">
        <v>1373</v>
      </c>
      <c r="E433" s="41" t="s">
        <v>285</v>
      </c>
      <c r="F433" s="41" t="s">
        <v>1374</v>
      </c>
      <c r="G433" s="41" t="s">
        <v>66</v>
      </c>
      <c r="H433" s="8" t="s">
        <v>67</v>
      </c>
      <c r="I433" s="70"/>
      <c r="J433" s="70"/>
      <c r="K433" s="70" t="s">
        <v>250</v>
      </c>
      <c r="L433" s="41" t="s">
        <v>49</v>
      </c>
      <c r="M433" s="41"/>
      <c r="N433" s="10" t="s">
        <v>1375</v>
      </c>
      <c r="O433" s="8"/>
      <c r="P433" s="1"/>
    </row>
    <row r="434" spans="1:16" ht="28.5" customHeight="1">
      <c r="A434" s="10">
        <v>1</v>
      </c>
      <c r="B434" s="33" t="s">
        <v>1244</v>
      </c>
      <c r="C434" s="41" t="s">
        <v>28</v>
      </c>
      <c r="D434" s="41" t="s">
        <v>1376</v>
      </c>
      <c r="E434" s="41" t="s">
        <v>1182</v>
      </c>
      <c r="F434" s="41" t="s">
        <v>1377</v>
      </c>
      <c r="G434" s="41" t="s">
        <v>73</v>
      </c>
      <c r="H434" s="8" t="s">
        <v>33</v>
      </c>
      <c r="I434" s="70" t="s">
        <v>1239</v>
      </c>
      <c r="J434" s="70"/>
      <c r="K434" s="70" t="s">
        <v>568</v>
      </c>
      <c r="L434" s="41" t="s">
        <v>49</v>
      </c>
      <c r="M434" s="41" t="s">
        <v>56</v>
      </c>
      <c r="N434" s="10" t="s">
        <v>1378</v>
      </c>
      <c r="O434" s="8"/>
      <c r="P434" s="1"/>
    </row>
    <row r="435" spans="1:16" ht="28.5" customHeight="1">
      <c r="A435" s="10">
        <v>1</v>
      </c>
      <c r="B435" s="33" t="s">
        <v>1244</v>
      </c>
      <c r="C435" s="41" t="s">
        <v>93</v>
      </c>
      <c r="D435" s="41" t="s">
        <v>1379</v>
      </c>
      <c r="E435" s="41" t="s">
        <v>39</v>
      </c>
      <c r="F435" s="41">
        <v>51999409510</v>
      </c>
      <c r="G435" s="41" t="s">
        <v>41</v>
      </c>
      <c r="H435" s="8" t="s">
        <v>33</v>
      </c>
      <c r="I435" s="70"/>
      <c r="J435" s="70"/>
      <c r="K435" s="70" t="s">
        <v>179</v>
      </c>
      <c r="L435" s="41" t="s">
        <v>55</v>
      </c>
      <c r="M435" s="41"/>
      <c r="N435" s="10" t="s">
        <v>1380</v>
      </c>
      <c r="O435" s="8"/>
      <c r="P435" s="1"/>
    </row>
    <row r="436" spans="1:16" ht="28.5" customHeight="1">
      <c r="A436" s="10">
        <v>1</v>
      </c>
      <c r="B436" s="33" t="s">
        <v>1244</v>
      </c>
      <c r="C436" s="41" t="s">
        <v>93</v>
      </c>
      <c r="D436" s="41" t="s">
        <v>1381</v>
      </c>
      <c r="E436" s="41" t="s">
        <v>79</v>
      </c>
      <c r="F436" s="41" t="s">
        <v>1382</v>
      </c>
      <c r="G436" s="41" t="s">
        <v>79</v>
      </c>
      <c r="H436" s="8" t="s">
        <v>47</v>
      </c>
      <c r="I436" s="70"/>
      <c r="J436" s="70"/>
      <c r="K436" s="70" t="s">
        <v>250</v>
      </c>
      <c r="L436" s="41" t="s">
        <v>49</v>
      </c>
      <c r="M436" s="41"/>
      <c r="N436" s="10" t="s">
        <v>1383</v>
      </c>
      <c r="O436" s="8"/>
      <c r="P436" s="1"/>
    </row>
    <row r="437" spans="1:16" ht="28.5" customHeight="1">
      <c r="A437" s="10">
        <v>1</v>
      </c>
      <c r="B437" s="33" t="s">
        <v>1244</v>
      </c>
      <c r="C437" s="41" t="s">
        <v>28</v>
      </c>
      <c r="D437" s="41" t="s">
        <v>1138</v>
      </c>
      <c r="E437" s="41" t="s">
        <v>1384</v>
      </c>
      <c r="F437" s="41">
        <v>41992854098</v>
      </c>
      <c r="G437" s="41" t="s">
        <v>91</v>
      </c>
      <c r="H437" s="8" t="s">
        <v>67</v>
      </c>
      <c r="I437" s="70"/>
      <c r="J437" s="70"/>
      <c r="K437" s="70" t="s">
        <v>184</v>
      </c>
      <c r="L437" s="41" t="s">
        <v>55</v>
      </c>
      <c r="M437" s="41" t="s">
        <v>61</v>
      </c>
      <c r="N437" s="10" t="s">
        <v>211</v>
      </c>
      <c r="O437" s="8"/>
      <c r="P437" s="1"/>
    </row>
    <row r="438" spans="1:16" ht="28.5" customHeight="1">
      <c r="A438" s="10">
        <v>1</v>
      </c>
      <c r="B438" s="33" t="s">
        <v>1244</v>
      </c>
      <c r="C438" s="41" t="s">
        <v>28</v>
      </c>
      <c r="D438" s="41" t="s">
        <v>1385</v>
      </c>
      <c r="E438" s="41" t="s">
        <v>145</v>
      </c>
      <c r="F438" s="41">
        <v>51999935081</v>
      </c>
      <c r="G438" s="41" t="s">
        <v>79</v>
      </c>
      <c r="H438" s="8" t="s">
        <v>47</v>
      </c>
      <c r="I438" s="70" t="s">
        <v>1075</v>
      </c>
      <c r="J438" s="70"/>
      <c r="K438" s="70" t="s">
        <v>97</v>
      </c>
      <c r="L438" s="41" t="s">
        <v>55</v>
      </c>
      <c r="M438" s="41" t="s">
        <v>128</v>
      </c>
      <c r="N438" s="10" t="s">
        <v>120</v>
      </c>
      <c r="O438" s="8"/>
      <c r="P438" s="1"/>
    </row>
    <row r="439" spans="1:16" ht="28.5" customHeight="1">
      <c r="A439" s="10">
        <v>1</v>
      </c>
      <c r="B439" s="33" t="s">
        <v>1244</v>
      </c>
      <c r="C439" s="41" t="s">
        <v>93</v>
      </c>
      <c r="D439" s="41" t="s">
        <v>1386</v>
      </c>
      <c r="E439" s="41" t="s">
        <v>759</v>
      </c>
      <c r="F439" s="41" t="s">
        <v>1387</v>
      </c>
      <c r="G439" s="41" t="s">
        <v>53</v>
      </c>
      <c r="H439" s="8" t="s">
        <v>33</v>
      </c>
      <c r="I439" s="70"/>
      <c r="J439" s="70"/>
      <c r="K439" s="70" t="s">
        <v>97</v>
      </c>
      <c r="L439" s="41" t="s">
        <v>49</v>
      </c>
      <c r="M439" s="41"/>
      <c r="N439" s="10" t="s">
        <v>1388</v>
      </c>
      <c r="O439" s="8"/>
      <c r="P439" s="1"/>
    </row>
    <row r="440" spans="1:16" ht="28.5" customHeight="1">
      <c r="A440" s="10">
        <v>1</v>
      </c>
      <c r="B440" s="33" t="s">
        <v>1244</v>
      </c>
      <c r="C440" s="41" t="s">
        <v>93</v>
      </c>
      <c r="D440" s="41" t="s">
        <v>1389</v>
      </c>
      <c r="E440" s="41" t="s">
        <v>512</v>
      </c>
      <c r="F440" s="41" t="s">
        <v>1390</v>
      </c>
      <c r="G440" s="41" t="s">
        <v>501</v>
      </c>
      <c r="H440" s="8" t="s">
        <v>67</v>
      </c>
      <c r="I440" s="70"/>
      <c r="J440" s="70"/>
      <c r="K440" s="70" t="s">
        <v>97</v>
      </c>
      <c r="L440" s="41" t="s">
        <v>34</v>
      </c>
      <c r="M440" s="41"/>
      <c r="N440" s="10" t="s">
        <v>1391</v>
      </c>
      <c r="O440" s="8"/>
      <c r="P440" s="1"/>
    </row>
    <row r="441" spans="1:16" ht="28.5" customHeight="1">
      <c r="A441" s="10">
        <v>1</v>
      </c>
      <c r="B441" s="33" t="s">
        <v>1244</v>
      </c>
      <c r="C441" s="41" t="s">
        <v>93</v>
      </c>
      <c r="D441" s="41" t="s">
        <v>1392</v>
      </c>
      <c r="E441" s="41" t="s">
        <v>615</v>
      </c>
      <c r="F441" s="41" t="s">
        <v>1393</v>
      </c>
      <c r="G441" s="41" t="s">
        <v>66</v>
      </c>
      <c r="H441" s="8" t="s">
        <v>67</v>
      </c>
      <c r="I441" s="70"/>
      <c r="J441" s="70"/>
      <c r="K441" s="70" t="s">
        <v>250</v>
      </c>
      <c r="L441" s="41" t="s">
        <v>49</v>
      </c>
      <c r="M441" s="41"/>
      <c r="N441" s="10" t="s">
        <v>1394</v>
      </c>
      <c r="O441" s="8"/>
      <c r="P441" s="1"/>
    </row>
    <row r="442" spans="1:16" ht="28.5" customHeight="1">
      <c r="A442" s="10">
        <v>1</v>
      </c>
      <c r="B442" s="33" t="s">
        <v>1244</v>
      </c>
      <c r="C442" s="41" t="s">
        <v>28</v>
      </c>
      <c r="D442" s="41" t="s">
        <v>1395</v>
      </c>
      <c r="E442" s="41" t="s">
        <v>817</v>
      </c>
      <c r="F442" s="41" t="s">
        <v>1396</v>
      </c>
      <c r="G442" s="41" t="s">
        <v>1091</v>
      </c>
      <c r="H442" s="8" t="s">
        <v>33</v>
      </c>
      <c r="I442" s="70"/>
      <c r="J442" s="70"/>
      <c r="K442" s="70" t="s">
        <v>97</v>
      </c>
      <c r="L442" s="41" t="s">
        <v>34</v>
      </c>
      <c r="M442" s="41" t="s">
        <v>56</v>
      </c>
      <c r="N442" s="10" t="s">
        <v>1397</v>
      </c>
      <c r="O442" s="8"/>
      <c r="P442" s="1"/>
    </row>
    <row r="443" spans="1:16" ht="28.5" customHeight="1">
      <c r="A443" s="10">
        <v>1</v>
      </c>
      <c r="B443" s="33" t="s">
        <v>1244</v>
      </c>
      <c r="C443" s="41" t="s">
        <v>93</v>
      </c>
      <c r="D443" s="41" t="s">
        <v>1398</v>
      </c>
      <c r="E443" s="41" t="s">
        <v>400</v>
      </c>
      <c r="F443" s="41" t="s">
        <v>1399</v>
      </c>
      <c r="G443" s="41" t="s">
        <v>1400</v>
      </c>
      <c r="H443" s="8" t="s">
        <v>47</v>
      </c>
      <c r="I443" s="70"/>
      <c r="J443" s="70"/>
      <c r="K443" s="70" t="s">
        <v>142</v>
      </c>
      <c r="L443" s="41" t="s">
        <v>34</v>
      </c>
      <c r="M443" s="41"/>
      <c r="N443" s="10" t="s">
        <v>1401</v>
      </c>
      <c r="O443" s="8"/>
      <c r="P443" s="1"/>
    </row>
    <row r="444" spans="1:16" ht="28.5" customHeight="1">
      <c r="A444" s="10">
        <v>1</v>
      </c>
      <c r="B444" s="33" t="s">
        <v>1244</v>
      </c>
      <c r="C444" s="41" t="s">
        <v>28</v>
      </c>
      <c r="D444" s="41" t="s">
        <v>1402</v>
      </c>
      <c r="E444" s="41" t="s">
        <v>1403</v>
      </c>
      <c r="F444" s="41" t="s">
        <v>1404</v>
      </c>
      <c r="G444" s="41" t="s">
        <v>66</v>
      </c>
      <c r="H444" s="8" t="s">
        <v>67</v>
      </c>
      <c r="I444" s="70" t="s">
        <v>1075</v>
      </c>
      <c r="J444" s="70"/>
      <c r="K444" s="70" t="s">
        <v>250</v>
      </c>
      <c r="L444" s="41" t="s">
        <v>49</v>
      </c>
      <c r="M444" s="41" t="s">
        <v>35</v>
      </c>
      <c r="N444" s="10" t="s">
        <v>1405</v>
      </c>
      <c r="O444" s="8"/>
      <c r="P444" s="1"/>
    </row>
    <row r="445" spans="1:16" ht="28.5" customHeight="1">
      <c r="A445" s="10">
        <v>1</v>
      </c>
      <c r="B445" s="33" t="s">
        <v>1244</v>
      </c>
      <c r="C445" s="41" t="s">
        <v>93</v>
      </c>
      <c r="D445" s="41" t="s">
        <v>1406</v>
      </c>
      <c r="E445" s="41" t="s">
        <v>1407</v>
      </c>
      <c r="F445" s="41" t="s">
        <v>1408</v>
      </c>
      <c r="G445" s="41" t="s">
        <v>66</v>
      </c>
      <c r="H445" s="8" t="s">
        <v>67</v>
      </c>
      <c r="I445" s="70"/>
      <c r="J445" s="70"/>
      <c r="K445" s="70" t="s">
        <v>142</v>
      </c>
      <c r="L445" s="41" t="s">
        <v>49</v>
      </c>
      <c r="M445" s="41"/>
      <c r="N445" s="10" t="s">
        <v>1409</v>
      </c>
      <c r="O445" s="8"/>
      <c r="P445" s="1"/>
    </row>
    <row r="446" spans="1:16" ht="28.5" customHeight="1">
      <c r="A446" s="10">
        <v>1</v>
      </c>
      <c r="B446" s="33" t="s">
        <v>1244</v>
      </c>
      <c r="C446" s="41" t="s">
        <v>93</v>
      </c>
      <c r="D446" s="41" t="s">
        <v>1410</v>
      </c>
      <c r="E446" s="41" t="s">
        <v>1411</v>
      </c>
      <c r="F446" s="41" t="s">
        <v>1412</v>
      </c>
      <c r="G446" s="41" t="s">
        <v>756</v>
      </c>
      <c r="H446" s="8" t="s">
        <v>67</v>
      </c>
      <c r="I446" s="70"/>
      <c r="J446" s="70"/>
      <c r="K446" s="70" t="s">
        <v>568</v>
      </c>
      <c r="L446" s="41" t="s">
        <v>34</v>
      </c>
      <c r="M446" s="41"/>
      <c r="N446" s="10" t="s">
        <v>1413</v>
      </c>
      <c r="O446" s="8"/>
      <c r="P446" s="1"/>
    </row>
    <row r="447" spans="1:16" ht="28.5" customHeight="1">
      <c r="A447" s="10">
        <v>1</v>
      </c>
      <c r="B447" s="33" t="s">
        <v>1244</v>
      </c>
      <c r="C447" s="41" t="s">
        <v>28</v>
      </c>
      <c r="D447" s="41" t="s">
        <v>1414</v>
      </c>
      <c r="E447" s="41" t="s">
        <v>1415</v>
      </c>
      <c r="F447" s="41">
        <v>51985896802</v>
      </c>
      <c r="G447" s="41" t="s">
        <v>66</v>
      </c>
      <c r="H447" s="8" t="s">
        <v>67</v>
      </c>
      <c r="I447" s="70" t="s">
        <v>1075</v>
      </c>
      <c r="J447" s="70"/>
      <c r="K447" s="70" t="s">
        <v>97</v>
      </c>
      <c r="L447" s="41" t="s">
        <v>55</v>
      </c>
      <c r="M447" s="41" t="s">
        <v>35</v>
      </c>
      <c r="N447" s="10" t="s">
        <v>1416</v>
      </c>
      <c r="O447" s="8"/>
      <c r="P447" s="1"/>
    </row>
    <row r="448" spans="1:16" ht="28.5" customHeight="1">
      <c r="A448" s="10">
        <v>1</v>
      </c>
      <c r="B448" s="33" t="s">
        <v>1244</v>
      </c>
      <c r="C448" s="41" t="s">
        <v>93</v>
      </c>
      <c r="D448" s="41" t="s">
        <v>770</v>
      </c>
      <c r="E448" s="41" t="s">
        <v>454</v>
      </c>
      <c r="F448" s="41" t="s">
        <v>1417</v>
      </c>
      <c r="G448" s="41" t="s">
        <v>66</v>
      </c>
      <c r="H448" s="8" t="s">
        <v>67</v>
      </c>
      <c r="I448" s="70"/>
      <c r="J448" s="70"/>
      <c r="K448" s="70" t="s">
        <v>250</v>
      </c>
      <c r="L448" s="41" t="s">
        <v>55</v>
      </c>
      <c r="M448" s="41"/>
      <c r="N448" s="10" t="s">
        <v>1418</v>
      </c>
      <c r="O448" s="8"/>
      <c r="P448" s="1"/>
    </row>
    <row r="449" spans="1:16" ht="28.5" customHeight="1">
      <c r="A449" s="10">
        <v>1</v>
      </c>
      <c r="B449" s="33" t="s">
        <v>1244</v>
      </c>
      <c r="C449" s="41" t="s">
        <v>28</v>
      </c>
      <c r="D449" s="41" t="s">
        <v>1419</v>
      </c>
      <c r="E449" s="41" t="s">
        <v>619</v>
      </c>
      <c r="F449" s="41" t="s">
        <v>1420</v>
      </c>
      <c r="G449" s="41" t="s">
        <v>66</v>
      </c>
      <c r="H449" s="8" t="s">
        <v>67</v>
      </c>
      <c r="I449" s="70" t="s">
        <v>1075</v>
      </c>
      <c r="J449" s="70"/>
      <c r="K449" s="70" t="s">
        <v>97</v>
      </c>
      <c r="L449" s="41" t="s">
        <v>49</v>
      </c>
      <c r="M449" s="41" t="s">
        <v>128</v>
      </c>
      <c r="N449" s="100" t="s">
        <v>1421</v>
      </c>
      <c r="O449" s="8"/>
      <c r="P449" s="1"/>
    </row>
    <row r="450" spans="1:16" ht="28.5" customHeight="1">
      <c r="A450" s="10">
        <v>1</v>
      </c>
      <c r="B450" s="33" t="s">
        <v>1244</v>
      </c>
      <c r="C450" s="41" t="s">
        <v>93</v>
      </c>
      <c r="D450" s="41" t="s">
        <v>1422</v>
      </c>
      <c r="E450" s="41" t="s">
        <v>454</v>
      </c>
      <c r="F450" s="41" t="s">
        <v>1423</v>
      </c>
      <c r="G450" s="41" t="s">
        <v>66</v>
      </c>
      <c r="H450" s="8" t="s">
        <v>67</v>
      </c>
      <c r="I450" s="70"/>
      <c r="J450" s="70"/>
      <c r="K450" s="70" t="s">
        <v>97</v>
      </c>
      <c r="L450" s="41" t="s">
        <v>49</v>
      </c>
      <c r="M450" s="41"/>
      <c r="N450" s="10" t="s">
        <v>1424</v>
      </c>
      <c r="O450" s="8"/>
      <c r="P450" s="1"/>
    </row>
    <row r="451" spans="1:16" ht="28.5" customHeight="1">
      <c r="A451" s="10">
        <v>1</v>
      </c>
      <c r="B451" s="33" t="s">
        <v>1244</v>
      </c>
      <c r="C451" s="41" t="s">
        <v>93</v>
      </c>
      <c r="D451" s="41" t="s">
        <v>1425</v>
      </c>
      <c r="E451" s="41" t="s">
        <v>608</v>
      </c>
      <c r="F451" s="41">
        <v>51998768635</v>
      </c>
      <c r="G451" s="41" t="s">
        <v>66</v>
      </c>
      <c r="H451" s="8" t="s">
        <v>67</v>
      </c>
      <c r="I451" s="70"/>
      <c r="J451" s="70"/>
      <c r="K451" s="70" t="s">
        <v>184</v>
      </c>
      <c r="L451" s="41" t="s">
        <v>55</v>
      </c>
      <c r="M451" s="41"/>
      <c r="N451" s="10" t="s">
        <v>974</v>
      </c>
      <c r="O451" s="8"/>
      <c r="P451" s="1"/>
    </row>
    <row r="452" spans="1:16" ht="28.5" customHeight="1">
      <c r="A452" s="10">
        <v>1</v>
      </c>
      <c r="B452" s="33" t="s">
        <v>1244</v>
      </c>
      <c r="C452" s="41" t="s">
        <v>93</v>
      </c>
      <c r="D452" s="41" t="s">
        <v>1426</v>
      </c>
      <c r="E452" s="41" t="s">
        <v>71</v>
      </c>
      <c r="F452" s="41" t="s">
        <v>1427</v>
      </c>
      <c r="G452" s="41" t="s">
        <v>53</v>
      </c>
      <c r="H452" s="8" t="s">
        <v>33</v>
      </c>
      <c r="I452" s="70"/>
      <c r="J452" s="70"/>
      <c r="K452" s="70" t="s">
        <v>142</v>
      </c>
      <c r="L452" s="41" t="s">
        <v>49</v>
      </c>
      <c r="M452" s="41"/>
      <c r="N452" s="10" t="s">
        <v>1428</v>
      </c>
      <c r="O452" s="8"/>
      <c r="P452" s="1"/>
    </row>
    <row r="453" spans="1:16" ht="28.5" customHeight="1">
      <c r="A453" s="10">
        <v>1</v>
      </c>
      <c r="B453" s="33" t="s">
        <v>582</v>
      </c>
      <c r="C453" s="41" t="s">
        <v>93</v>
      </c>
      <c r="D453" s="41" t="s">
        <v>1429</v>
      </c>
      <c r="E453" s="41" t="s">
        <v>218</v>
      </c>
      <c r="F453" s="41">
        <v>51994616166</v>
      </c>
      <c r="G453" s="41" t="s">
        <v>66</v>
      </c>
      <c r="H453" s="8" t="s">
        <v>67</v>
      </c>
      <c r="I453" s="70"/>
      <c r="J453" s="70"/>
      <c r="K453" s="70" t="s">
        <v>97</v>
      </c>
      <c r="L453" s="41" t="s">
        <v>55</v>
      </c>
      <c r="M453" s="41"/>
      <c r="N453" s="10" t="s">
        <v>1430</v>
      </c>
      <c r="O453" s="8"/>
      <c r="P453" s="1"/>
    </row>
    <row r="454" spans="1:16" ht="28.5" customHeight="1">
      <c r="A454" s="10">
        <v>1</v>
      </c>
      <c r="B454" s="33" t="s">
        <v>582</v>
      </c>
      <c r="C454" s="41" t="s">
        <v>93</v>
      </c>
      <c r="D454" s="41" t="s">
        <v>1431</v>
      </c>
      <c r="E454" s="41" t="s">
        <v>315</v>
      </c>
      <c r="F454" s="41">
        <v>51986108024</v>
      </c>
      <c r="G454" s="41" t="s">
        <v>66</v>
      </c>
      <c r="H454" s="8" t="s">
        <v>67</v>
      </c>
      <c r="I454" s="70"/>
      <c r="J454" s="70"/>
      <c r="K454" s="70" t="s">
        <v>97</v>
      </c>
      <c r="L454" s="41" t="s">
        <v>55</v>
      </c>
      <c r="M454" s="41"/>
      <c r="N454" s="10" t="s">
        <v>974</v>
      </c>
      <c r="O454" s="8"/>
      <c r="P454" s="1"/>
    </row>
    <row r="455" spans="1:16" ht="28.5" customHeight="1">
      <c r="A455" s="10">
        <v>1</v>
      </c>
      <c r="B455" s="33" t="s">
        <v>582</v>
      </c>
      <c r="C455" s="41" t="s">
        <v>93</v>
      </c>
      <c r="D455" s="41" t="s">
        <v>1432</v>
      </c>
      <c r="E455" s="41" t="s">
        <v>552</v>
      </c>
      <c r="F455" s="41">
        <v>51982888304</v>
      </c>
      <c r="G455" s="41" t="s">
        <v>1433</v>
      </c>
      <c r="H455" s="8" t="s">
        <v>67</v>
      </c>
      <c r="I455" s="70"/>
      <c r="J455" s="70"/>
      <c r="K455" s="70" t="s">
        <v>97</v>
      </c>
      <c r="L455" s="41" t="s">
        <v>55</v>
      </c>
      <c r="M455" s="41"/>
      <c r="N455" s="10" t="s">
        <v>239</v>
      </c>
      <c r="O455" s="8"/>
      <c r="P455" s="1"/>
    </row>
    <row r="456" spans="1:16" ht="28.5" customHeight="1">
      <c r="A456" s="10">
        <v>1</v>
      </c>
      <c r="B456" s="33" t="s">
        <v>582</v>
      </c>
      <c r="C456" s="41" t="s">
        <v>28</v>
      </c>
      <c r="D456" s="41" t="s">
        <v>1434</v>
      </c>
      <c r="E456" s="41" t="s">
        <v>495</v>
      </c>
      <c r="F456" s="41" t="s">
        <v>1435</v>
      </c>
      <c r="G456" s="41" t="s">
        <v>85</v>
      </c>
      <c r="H456" s="8" t="s">
        <v>33</v>
      </c>
      <c r="I456" s="70" t="s">
        <v>1232</v>
      </c>
      <c r="J456" s="70"/>
      <c r="K456" s="70" t="s">
        <v>101</v>
      </c>
      <c r="L456" s="41" t="s">
        <v>49</v>
      </c>
      <c r="M456" s="41" t="s">
        <v>80</v>
      </c>
      <c r="N456" s="10" t="s">
        <v>1436</v>
      </c>
      <c r="O456" s="8"/>
      <c r="P456" s="1"/>
    </row>
    <row r="457" spans="1:16" ht="28.5" customHeight="1">
      <c r="A457" s="10">
        <v>1</v>
      </c>
      <c r="B457" s="33" t="s">
        <v>582</v>
      </c>
      <c r="C457" s="41" t="s">
        <v>28</v>
      </c>
      <c r="D457" s="41" t="s">
        <v>1437</v>
      </c>
      <c r="E457" s="41" t="s">
        <v>1438</v>
      </c>
      <c r="F457" s="41" t="s">
        <v>1439</v>
      </c>
      <c r="G457" s="41" t="s">
        <v>66</v>
      </c>
      <c r="H457" s="8" t="s">
        <v>67</v>
      </c>
      <c r="I457" s="70" t="s">
        <v>1440</v>
      </c>
      <c r="J457" s="70"/>
      <c r="K457" s="70" t="s">
        <v>97</v>
      </c>
      <c r="L457" s="41" t="s">
        <v>49</v>
      </c>
      <c r="M457" s="41" t="s">
        <v>128</v>
      </c>
      <c r="N457" s="10" t="s">
        <v>1441</v>
      </c>
      <c r="O457" s="8"/>
      <c r="P457" s="1"/>
    </row>
    <row r="458" spans="1:16" ht="28.5" customHeight="1">
      <c r="A458" s="10">
        <v>1</v>
      </c>
      <c r="B458" s="33" t="s">
        <v>582</v>
      </c>
      <c r="C458" s="41" t="s">
        <v>93</v>
      </c>
      <c r="D458" s="41" t="s">
        <v>1442</v>
      </c>
      <c r="E458" s="41" t="s">
        <v>1443</v>
      </c>
      <c r="F458" s="41" t="s">
        <v>1444</v>
      </c>
      <c r="G458" s="41" t="s">
        <v>32</v>
      </c>
      <c r="H458" s="8" t="s">
        <v>33</v>
      </c>
      <c r="I458" s="70"/>
      <c r="J458" s="70"/>
      <c r="K458" s="70" t="s">
        <v>142</v>
      </c>
      <c r="L458" s="41" t="s">
        <v>49</v>
      </c>
      <c r="M458" s="41"/>
      <c r="N458" s="10" t="s">
        <v>1445</v>
      </c>
      <c r="O458" s="8"/>
      <c r="P458" s="1"/>
    </row>
    <row r="459" spans="1:16" ht="28.5" customHeight="1">
      <c r="A459" s="10">
        <v>1</v>
      </c>
      <c r="B459" s="33" t="s">
        <v>582</v>
      </c>
      <c r="C459" s="41" t="s">
        <v>93</v>
      </c>
      <c r="D459" s="41" t="s">
        <v>1446</v>
      </c>
      <c r="E459" s="41" t="s">
        <v>363</v>
      </c>
      <c r="F459" s="41" t="s">
        <v>1447</v>
      </c>
      <c r="G459" s="41" t="s">
        <v>66</v>
      </c>
      <c r="H459" s="8" t="s">
        <v>67</v>
      </c>
      <c r="I459" s="70"/>
      <c r="J459" s="70"/>
      <c r="K459" s="70" t="s">
        <v>97</v>
      </c>
      <c r="L459" s="41" t="s">
        <v>49</v>
      </c>
      <c r="M459" s="41"/>
      <c r="N459" s="10" t="s">
        <v>1448</v>
      </c>
      <c r="O459" s="8"/>
      <c r="P459" s="1"/>
    </row>
    <row r="460" spans="1:16" ht="28.5" customHeight="1">
      <c r="A460" s="10">
        <v>1</v>
      </c>
      <c r="B460" s="33" t="s">
        <v>582</v>
      </c>
      <c r="C460" s="41" t="s">
        <v>93</v>
      </c>
      <c r="D460" s="41" t="s">
        <v>1449</v>
      </c>
      <c r="E460" s="41" t="s">
        <v>315</v>
      </c>
      <c r="F460" s="41">
        <v>51984985532</v>
      </c>
      <c r="G460" s="41" t="s">
        <v>66</v>
      </c>
      <c r="H460" s="8" t="s">
        <v>67</v>
      </c>
      <c r="I460" s="70"/>
      <c r="J460" s="70"/>
      <c r="K460" s="70" t="s">
        <v>179</v>
      </c>
      <c r="L460" s="41" t="s">
        <v>55</v>
      </c>
      <c r="M460" s="41"/>
      <c r="N460" s="10" t="s">
        <v>1450</v>
      </c>
      <c r="O460" s="8"/>
      <c r="P460" s="1"/>
    </row>
    <row r="461" spans="1:16" ht="28.5" customHeight="1">
      <c r="A461" s="10">
        <v>1</v>
      </c>
      <c r="B461" s="33" t="s">
        <v>582</v>
      </c>
      <c r="C461" s="41" t="s">
        <v>93</v>
      </c>
      <c r="D461" s="41" t="s">
        <v>1410</v>
      </c>
      <c r="E461" s="41" t="s">
        <v>686</v>
      </c>
      <c r="F461" s="41" t="s">
        <v>1412</v>
      </c>
      <c r="G461" s="41" t="s">
        <v>501</v>
      </c>
      <c r="H461" s="8" t="s">
        <v>67</v>
      </c>
      <c r="I461" s="70"/>
      <c r="J461" s="70"/>
      <c r="K461" s="70" t="s">
        <v>568</v>
      </c>
      <c r="L461" s="41" t="s">
        <v>34</v>
      </c>
      <c r="M461" s="41"/>
      <c r="N461" s="10" t="s">
        <v>1451</v>
      </c>
      <c r="O461" s="8"/>
      <c r="P461" s="1"/>
    </row>
    <row r="462" spans="1:16" ht="28.5" customHeight="1">
      <c r="A462" s="10">
        <v>1</v>
      </c>
      <c r="B462" s="33" t="s">
        <v>582</v>
      </c>
      <c r="C462" s="41" t="s">
        <v>93</v>
      </c>
      <c r="D462" s="41" t="s">
        <v>1452</v>
      </c>
      <c r="E462" s="41" t="s">
        <v>285</v>
      </c>
      <c r="F462" s="41" t="s">
        <v>1453</v>
      </c>
      <c r="G462" s="41" t="s">
        <v>66</v>
      </c>
      <c r="H462" s="8" t="s">
        <v>67</v>
      </c>
      <c r="I462" s="70"/>
      <c r="J462" s="70"/>
      <c r="K462" s="70" t="s">
        <v>97</v>
      </c>
      <c r="L462" s="41" t="s">
        <v>49</v>
      </c>
      <c r="M462" s="41"/>
      <c r="N462" s="10" t="s">
        <v>1454</v>
      </c>
      <c r="O462" s="8"/>
      <c r="P462" s="1"/>
    </row>
    <row r="463" spans="1:16" ht="28.5" customHeight="1">
      <c r="A463" s="10">
        <v>1</v>
      </c>
      <c r="B463" s="33" t="s">
        <v>582</v>
      </c>
      <c r="C463" s="41" t="s">
        <v>28</v>
      </c>
      <c r="D463" s="41" t="s">
        <v>1455</v>
      </c>
      <c r="E463" s="41" t="s">
        <v>1165</v>
      </c>
      <c r="F463" s="41" t="s">
        <v>1456</v>
      </c>
      <c r="G463" s="41" t="s">
        <v>79</v>
      </c>
      <c r="H463" s="8" t="s">
        <v>47</v>
      </c>
      <c r="I463" s="70" t="s">
        <v>1457</v>
      </c>
      <c r="J463" s="70"/>
      <c r="K463" s="70" t="s">
        <v>97</v>
      </c>
      <c r="L463" s="41" t="s">
        <v>49</v>
      </c>
      <c r="M463" s="41" t="s">
        <v>128</v>
      </c>
      <c r="N463" s="10" t="s">
        <v>1458</v>
      </c>
      <c r="O463" s="8"/>
      <c r="P463" s="1"/>
    </row>
    <row r="464" spans="1:16" ht="28.5" customHeight="1">
      <c r="A464" s="10">
        <v>1</v>
      </c>
      <c r="B464" s="33" t="s">
        <v>582</v>
      </c>
      <c r="C464" s="41" t="s">
        <v>93</v>
      </c>
      <c r="D464" s="41" t="s">
        <v>1459</v>
      </c>
      <c r="E464" s="41" t="s">
        <v>108</v>
      </c>
      <c r="F464" s="41">
        <v>51994249659</v>
      </c>
      <c r="G464" s="41" t="s">
        <v>66</v>
      </c>
      <c r="H464" s="8" t="s">
        <v>67</v>
      </c>
      <c r="I464" s="70"/>
      <c r="J464" s="70"/>
      <c r="K464" s="70" t="s">
        <v>97</v>
      </c>
      <c r="L464" s="41" t="s">
        <v>55</v>
      </c>
      <c r="M464" s="41"/>
      <c r="N464" s="10" t="s">
        <v>1460</v>
      </c>
      <c r="O464" s="8"/>
      <c r="P464" s="1"/>
    </row>
    <row r="465" spans="1:16" ht="28.5" customHeight="1">
      <c r="A465" s="10">
        <v>1</v>
      </c>
      <c r="B465" s="33" t="s">
        <v>582</v>
      </c>
      <c r="C465" s="41" t="s">
        <v>93</v>
      </c>
      <c r="D465" s="41" t="s">
        <v>1461</v>
      </c>
      <c r="E465" s="41" t="s">
        <v>118</v>
      </c>
      <c r="F465" s="41">
        <v>51985256654</v>
      </c>
      <c r="G465" s="41" t="s">
        <v>66</v>
      </c>
      <c r="H465" s="8" t="s">
        <v>67</v>
      </c>
      <c r="I465" s="70"/>
      <c r="J465" s="70"/>
      <c r="K465" s="70" t="s">
        <v>179</v>
      </c>
      <c r="L465" s="41" t="s">
        <v>55</v>
      </c>
      <c r="M465" s="41"/>
      <c r="N465" s="10" t="s">
        <v>1462</v>
      </c>
      <c r="O465" s="8"/>
      <c r="P465" s="1"/>
    </row>
    <row r="466" spans="1:16" ht="28.5" customHeight="1">
      <c r="A466" s="10">
        <v>1</v>
      </c>
      <c r="B466" s="33" t="s">
        <v>582</v>
      </c>
      <c r="C466" s="41" t="s">
        <v>28</v>
      </c>
      <c r="D466" s="41" t="s">
        <v>1463</v>
      </c>
      <c r="E466" s="41" t="s">
        <v>285</v>
      </c>
      <c r="F466" s="41" t="s">
        <v>1464</v>
      </c>
      <c r="G466" s="41" t="s">
        <v>66</v>
      </c>
      <c r="H466" s="8" t="s">
        <v>67</v>
      </c>
      <c r="I466" s="70" t="s">
        <v>1176</v>
      </c>
      <c r="J466" s="70"/>
      <c r="K466" s="70" t="s">
        <v>97</v>
      </c>
      <c r="L466" s="41" t="s">
        <v>49</v>
      </c>
      <c r="M466" s="41" t="s">
        <v>128</v>
      </c>
      <c r="N466" s="10" t="s">
        <v>1465</v>
      </c>
      <c r="O466" s="8"/>
      <c r="P466" s="1"/>
    </row>
    <row r="467" spans="1:16" ht="28.5" customHeight="1">
      <c r="A467" s="10">
        <v>1</v>
      </c>
      <c r="B467" s="33" t="s">
        <v>582</v>
      </c>
      <c r="C467" s="41" t="s">
        <v>93</v>
      </c>
      <c r="D467" s="41" t="s">
        <v>1466</v>
      </c>
      <c r="E467" s="41" t="s">
        <v>315</v>
      </c>
      <c r="F467" s="41">
        <v>51993762211</v>
      </c>
      <c r="G467" s="41" t="s">
        <v>66</v>
      </c>
      <c r="H467" s="8" t="s">
        <v>67</v>
      </c>
      <c r="I467" s="70"/>
      <c r="J467" s="70"/>
      <c r="K467" s="70" t="s">
        <v>179</v>
      </c>
      <c r="L467" s="41" t="s">
        <v>55</v>
      </c>
      <c r="M467" s="41"/>
      <c r="N467" s="10" t="s">
        <v>1467</v>
      </c>
      <c r="O467" s="8"/>
      <c r="P467" s="1"/>
    </row>
    <row r="468" spans="1:16" ht="28.5" customHeight="1">
      <c r="A468" s="10">
        <v>1</v>
      </c>
      <c r="B468" s="33" t="s">
        <v>582</v>
      </c>
      <c r="C468" s="41" t="s">
        <v>28</v>
      </c>
      <c r="D468" s="41" t="s">
        <v>1468</v>
      </c>
      <c r="E468" s="41" t="s">
        <v>1469</v>
      </c>
      <c r="F468" s="41">
        <v>51997365168</v>
      </c>
      <c r="G468" s="41" t="s">
        <v>53</v>
      </c>
      <c r="H468" s="8" t="s">
        <v>67</v>
      </c>
      <c r="I468" s="70" t="s">
        <v>1282</v>
      </c>
      <c r="J468" s="70"/>
      <c r="K468" s="70" t="s">
        <v>97</v>
      </c>
      <c r="L468" s="41" t="s">
        <v>55</v>
      </c>
      <c r="M468" s="41" t="s">
        <v>61</v>
      </c>
      <c r="N468" s="10" t="s">
        <v>599</v>
      </c>
      <c r="O468" s="8"/>
      <c r="P468" s="1"/>
    </row>
    <row r="469" spans="1:16" ht="28.5" customHeight="1">
      <c r="A469" s="10">
        <v>1</v>
      </c>
      <c r="B469" s="33" t="s">
        <v>582</v>
      </c>
      <c r="C469" s="41" t="s">
        <v>28</v>
      </c>
      <c r="D469" s="41" t="s">
        <v>1470</v>
      </c>
      <c r="E469" s="41" t="s">
        <v>665</v>
      </c>
      <c r="F469" s="41" t="s">
        <v>1471</v>
      </c>
      <c r="G469" s="41" t="s">
        <v>501</v>
      </c>
      <c r="H469" s="8" t="s">
        <v>67</v>
      </c>
      <c r="I469" s="70" t="s">
        <v>1075</v>
      </c>
      <c r="J469" s="70"/>
      <c r="K469" s="70" t="s">
        <v>97</v>
      </c>
      <c r="L469" s="41" t="s">
        <v>34</v>
      </c>
      <c r="M469" s="41" t="s">
        <v>61</v>
      </c>
      <c r="N469" s="10" t="s">
        <v>1472</v>
      </c>
      <c r="O469" s="8"/>
      <c r="P469" s="1"/>
    </row>
    <row r="470" spans="1:16" ht="28.5" customHeight="1">
      <c r="A470" s="10">
        <v>1</v>
      </c>
      <c r="B470" s="33" t="s">
        <v>582</v>
      </c>
      <c r="C470" s="41" t="s">
        <v>93</v>
      </c>
      <c r="D470" s="41" t="s">
        <v>1473</v>
      </c>
      <c r="E470" s="41" t="s">
        <v>1474</v>
      </c>
      <c r="F470" s="41" t="s">
        <v>1475</v>
      </c>
      <c r="G470" s="41" t="s">
        <v>559</v>
      </c>
      <c r="H470" s="8" t="s">
        <v>33</v>
      </c>
      <c r="I470" s="70"/>
      <c r="J470" s="70"/>
      <c r="K470" s="70" t="s">
        <v>568</v>
      </c>
      <c r="L470" s="41" t="s">
        <v>34</v>
      </c>
      <c r="M470" s="41"/>
      <c r="N470" s="10" t="s">
        <v>1476</v>
      </c>
      <c r="O470" s="8"/>
      <c r="P470" s="1"/>
    </row>
    <row r="471" spans="1:16" ht="28.5" customHeight="1">
      <c r="A471" s="10">
        <v>1</v>
      </c>
      <c r="B471" s="33" t="s">
        <v>582</v>
      </c>
      <c r="C471" s="41" t="s">
        <v>93</v>
      </c>
      <c r="D471" s="41" t="s">
        <v>1477</v>
      </c>
      <c r="E471" s="41" t="s">
        <v>1478</v>
      </c>
      <c r="F471" s="41">
        <v>51991080331</v>
      </c>
      <c r="G471" s="41" t="s">
        <v>283</v>
      </c>
      <c r="H471" s="8" t="s">
        <v>1479</v>
      </c>
      <c r="I471" s="70"/>
      <c r="J471" s="70"/>
      <c r="K471" s="70" t="s">
        <v>97</v>
      </c>
      <c r="L471" s="41" t="s">
        <v>55</v>
      </c>
      <c r="M471" s="41"/>
      <c r="N471" s="10" t="s">
        <v>1480</v>
      </c>
      <c r="O471" s="8"/>
      <c r="P471" s="1"/>
    </row>
    <row r="472" spans="1:16" ht="28.5" customHeight="1">
      <c r="A472" s="10">
        <v>1</v>
      </c>
      <c r="B472" s="33" t="s">
        <v>582</v>
      </c>
      <c r="C472" s="41" t="s">
        <v>28</v>
      </c>
      <c r="D472" s="41" t="s">
        <v>1481</v>
      </c>
      <c r="E472" s="41" t="s">
        <v>136</v>
      </c>
      <c r="F472" s="41" t="s">
        <v>1482</v>
      </c>
      <c r="G472" s="41" t="s">
        <v>66</v>
      </c>
      <c r="H472" s="8" t="s">
        <v>67</v>
      </c>
      <c r="I472" s="70" t="s">
        <v>1483</v>
      </c>
      <c r="J472" s="70"/>
      <c r="K472" s="70" t="s">
        <v>97</v>
      </c>
      <c r="L472" s="41" t="s">
        <v>49</v>
      </c>
      <c r="M472" s="41" t="s">
        <v>56</v>
      </c>
      <c r="N472" s="10" t="s">
        <v>1484</v>
      </c>
      <c r="O472" s="8"/>
      <c r="P472" s="1"/>
    </row>
    <row r="473" spans="1:16" ht="28.5" customHeight="1">
      <c r="A473" s="10">
        <v>1</v>
      </c>
      <c r="B473" s="33" t="s">
        <v>582</v>
      </c>
      <c r="C473" s="41" t="s">
        <v>28</v>
      </c>
      <c r="D473" s="41" t="s">
        <v>1485</v>
      </c>
      <c r="E473" s="41" t="s">
        <v>315</v>
      </c>
      <c r="F473" s="41" t="s">
        <v>1486</v>
      </c>
      <c r="G473" s="41" t="s">
        <v>507</v>
      </c>
      <c r="H473" s="8" t="s">
        <v>67</v>
      </c>
      <c r="I473" s="70"/>
      <c r="J473" s="70"/>
      <c r="K473" s="70" t="s">
        <v>101</v>
      </c>
      <c r="L473" s="41" t="s">
        <v>34</v>
      </c>
      <c r="M473" s="41" t="s">
        <v>128</v>
      </c>
      <c r="N473" s="10" t="s">
        <v>1487</v>
      </c>
      <c r="O473" s="8"/>
      <c r="P473" s="1"/>
    </row>
    <row r="474" spans="1:16" ht="28.5" customHeight="1">
      <c r="A474" s="10">
        <v>1</v>
      </c>
      <c r="B474" s="33" t="s">
        <v>1075</v>
      </c>
      <c r="C474" s="41" t="s">
        <v>93</v>
      </c>
      <c r="D474" s="41" t="s">
        <v>1488</v>
      </c>
      <c r="E474" s="41" t="s">
        <v>1489</v>
      </c>
      <c r="F474" s="41">
        <v>51994245528</v>
      </c>
      <c r="G474" s="41" t="s">
        <v>66</v>
      </c>
      <c r="H474" s="8" t="s">
        <v>67</v>
      </c>
      <c r="I474" s="70"/>
      <c r="J474" s="70"/>
      <c r="K474" s="70" t="s">
        <v>250</v>
      </c>
      <c r="L474" s="41" t="s">
        <v>55</v>
      </c>
      <c r="M474" s="41"/>
      <c r="N474" s="10" t="s">
        <v>1490</v>
      </c>
      <c r="O474" s="8"/>
      <c r="P474" s="1"/>
    </row>
    <row r="475" spans="1:16" ht="28.5" customHeight="1">
      <c r="A475" s="10">
        <v>1</v>
      </c>
      <c r="B475" s="33" t="s">
        <v>1075</v>
      </c>
      <c r="C475" s="41" t="s">
        <v>28</v>
      </c>
      <c r="D475" s="41" t="s">
        <v>1491</v>
      </c>
      <c r="E475" s="41" t="s">
        <v>446</v>
      </c>
      <c r="F475" s="41" t="s">
        <v>1492</v>
      </c>
      <c r="G475" s="41" t="s">
        <v>507</v>
      </c>
      <c r="H475" s="8" t="s">
        <v>67</v>
      </c>
      <c r="I475" s="70" t="s">
        <v>1483</v>
      </c>
      <c r="J475" s="70"/>
      <c r="K475" s="70" t="s">
        <v>97</v>
      </c>
      <c r="L475" s="41" t="s">
        <v>49</v>
      </c>
      <c r="M475" s="41" t="s">
        <v>35</v>
      </c>
      <c r="N475" s="10" t="s">
        <v>848</v>
      </c>
      <c r="O475" s="8"/>
      <c r="P475" s="1"/>
    </row>
    <row r="476" spans="1:16" ht="28.5" customHeight="1">
      <c r="A476" s="10">
        <v>1</v>
      </c>
      <c r="B476" s="33" t="s">
        <v>1075</v>
      </c>
      <c r="C476" s="41" t="s">
        <v>93</v>
      </c>
      <c r="D476" s="41" t="s">
        <v>1493</v>
      </c>
      <c r="E476" s="41" t="s">
        <v>108</v>
      </c>
      <c r="F476" s="41">
        <v>51992878332</v>
      </c>
      <c r="G476" s="41" t="s">
        <v>66</v>
      </c>
      <c r="H476" s="8" t="s">
        <v>67</v>
      </c>
      <c r="I476" s="70"/>
      <c r="J476" s="70"/>
      <c r="K476" s="70" t="s">
        <v>184</v>
      </c>
      <c r="L476" s="41" t="s">
        <v>55</v>
      </c>
      <c r="M476" s="41"/>
      <c r="N476" s="10" t="s">
        <v>1494</v>
      </c>
      <c r="O476" s="8"/>
      <c r="P476" s="1"/>
    </row>
    <row r="477" spans="1:16" ht="28.5" customHeight="1">
      <c r="A477" s="10">
        <v>1</v>
      </c>
      <c r="B477" s="33" t="s">
        <v>1075</v>
      </c>
      <c r="C477" s="41" t="s">
        <v>93</v>
      </c>
      <c r="D477" s="41" t="s">
        <v>1495</v>
      </c>
      <c r="E477" s="41" t="s">
        <v>363</v>
      </c>
      <c r="F477" s="41" t="s">
        <v>1496</v>
      </c>
      <c r="G477" s="41" t="s">
        <v>66</v>
      </c>
      <c r="H477" s="8" t="s">
        <v>67</v>
      </c>
      <c r="I477" s="70"/>
      <c r="J477" s="70"/>
      <c r="K477" s="70" t="s">
        <v>250</v>
      </c>
      <c r="L477" s="41" t="s">
        <v>55</v>
      </c>
      <c r="M477" s="41"/>
      <c r="N477" s="10" t="s">
        <v>1497</v>
      </c>
      <c r="O477" s="8"/>
      <c r="P477" s="1"/>
    </row>
    <row r="478" spans="1:16" ht="28.5" customHeight="1">
      <c r="A478" s="10">
        <v>1</v>
      </c>
      <c r="B478" s="33" t="s">
        <v>1075</v>
      </c>
      <c r="C478" s="41" t="s">
        <v>93</v>
      </c>
      <c r="D478" s="41" t="s">
        <v>1498</v>
      </c>
      <c r="E478" s="41" t="s">
        <v>1102</v>
      </c>
      <c r="F478" s="41" t="s">
        <v>1499</v>
      </c>
      <c r="G478" s="41" t="s">
        <v>79</v>
      </c>
      <c r="H478" s="8" t="s">
        <v>47</v>
      </c>
      <c r="I478" s="70"/>
      <c r="J478" s="70"/>
      <c r="K478" s="70" t="s">
        <v>97</v>
      </c>
      <c r="L478" s="41" t="s">
        <v>49</v>
      </c>
      <c r="M478" s="41"/>
      <c r="N478" s="10" t="s">
        <v>1500</v>
      </c>
      <c r="O478" s="8"/>
      <c r="P478" s="1"/>
    </row>
    <row r="479" spans="1:16" ht="28.5" customHeight="1">
      <c r="A479" s="10">
        <v>1</v>
      </c>
      <c r="B479" s="33" t="s">
        <v>1075</v>
      </c>
      <c r="C479" s="41" t="s">
        <v>28</v>
      </c>
      <c r="D479" s="41" t="s">
        <v>1501</v>
      </c>
      <c r="E479" s="41" t="s">
        <v>1502</v>
      </c>
      <c r="F479" s="41">
        <v>51981629773</v>
      </c>
      <c r="G479" s="41" t="s">
        <v>91</v>
      </c>
      <c r="H479" s="8" t="s">
        <v>67</v>
      </c>
      <c r="I479" s="70"/>
      <c r="J479" s="70"/>
      <c r="K479" s="70" t="s">
        <v>142</v>
      </c>
      <c r="L479" s="41" t="s">
        <v>55</v>
      </c>
      <c r="M479" s="41" t="s">
        <v>35</v>
      </c>
      <c r="N479" s="10" t="s">
        <v>120</v>
      </c>
      <c r="O479" s="8"/>
      <c r="P479" s="1"/>
    </row>
    <row r="480" spans="1:16" ht="28.5" customHeight="1">
      <c r="A480" s="10">
        <v>1</v>
      </c>
      <c r="B480" s="33" t="s">
        <v>1075</v>
      </c>
      <c r="C480" s="41" t="s">
        <v>28</v>
      </c>
      <c r="D480" s="41" t="s">
        <v>1503</v>
      </c>
      <c r="E480" s="41" t="s">
        <v>39</v>
      </c>
      <c r="F480" s="41" t="s">
        <v>1504</v>
      </c>
      <c r="G480" s="41" t="s">
        <v>1091</v>
      </c>
      <c r="H480" s="8" t="s">
        <v>33</v>
      </c>
      <c r="I480" s="70"/>
      <c r="J480" s="70"/>
      <c r="K480" s="70" t="s">
        <v>555</v>
      </c>
      <c r="L480" s="41" t="s">
        <v>34</v>
      </c>
      <c r="M480" s="41" t="s">
        <v>128</v>
      </c>
      <c r="N480" s="10" t="s">
        <v>1505</v>
      </c>
      <c r="O480" s="8"/>
      <c r="P480" s="1"/>
    </row>
    <row r="481" spans="1:16" ht="28.5" customHeight="1">
      <c r="A481" s="10">
        <v>1</v>
      </c>
      <c r="B481" s="33" t="s">
        <v>1075</v>
      </c>
      <c r="C481" s="41" t="s">
        <v>93</v>
      </c>
      <c r="D481" s="41" t="s">
        <v>1506</v>
      </c>
      <c r="E481" s="41" t="s">
        <v>454</v>
      </c>
      <c r="F481" s="41" t="s">
        <v>1507</v>
      </c>
      <c r="G481" s="41" t="s">
        <v>66</v>
      </c>
      <c r="H481" s="8" t="s">
        <v>67</v>
      </c>
      <c r="I481" s="70"/>
      <c r="J481" s="70"/>
      <c r="K481" s="70" t="s">
        <v>250</v>
      </c>
      <c r="L481" s="41" t="s">
        <v>49</v>
      </c>
      <c r="M481" s="41"/>
      <c r="N481" s="10" t="s">
        <v>1508</v>
      </c>
      <c r="O481" s="8"/>
      <c r="P481" s="1"/>
    </row>
    <row r="482" spans="1:16" ht="28.5" customHeight="1">
      <c r="A482" s="10">
        <v>1</v>
      </c>
      <c r="B482" s="33" t="s">
        <v>1075</v>
      </c>
      <c r="C482" s="41" t="s">
        <v>28</v>
      </c>
      <c r="D482" s="41" t="s">
        <v>1509</v>
      </c>
      <c r="E482" s="41" t="s">
        <v>776</v>
      </c>
      <c r="F482" s="41">
        <v>51980881068</v>
      </c>
      <c r="G482" s="41" t="s">
        <v>53</v>
      </c>
      <c r="H482" s="8" t="s">
        <v>33</v>
      </c>
      <c r="I482" s="70"/>
      <c r="J482" s="70"/>
      <c r="K482" s="70" t="s">
        <v>142</v>
      </c>
      <c r="L482" s="41" t="s">
        <v>55</v>
      </c>
      <c r="M482" s="41" t="s">
        <v>61</v>
      </c>
      <c r="N482" s="10" t="s">
        <v>211</v>
      </c>
      <c r="O482" s="8"/>
      <c r="P482" s="1"/>
    </row>
    <row r="483" spans="1:16" ht="28.5" customHeight="1">
      <c r="A483" s="10">
        <v>1</v>
      </c>
      <c r="B483" s="33" t="s">
        <v>1075</v>
      </c>
      <c r="C483" s="41" t="s">
        <v>28</v>
      </c>
      <c r="D483" s="41" t="s">
        <v>1510</v>
      </c>
      <c r="E483" s="41" t="s">
        <v>1511</v>
      </c>
      <c r="F483" s="41" t="s">
        <v>1512</v>
      </c>
      <c r="G483" s="41" t="s">
        <v>1091</v>
      </c>
      <c r="H483" s="8" t="s">
        <v>33</v>
      </c>
      <c r="I483" s="70"/>
      <c r="J483" s="70"/>
      <c r="K483" s="70" t="s">
        <v>97</v>
      </c>
      <c r="L483" s="41" t="s">
        <v>34</v>
      </c>
      <c r="M483" s="41" t="s">
        <v>111</v>
      </c>
      <c r="N483" s="10" t="s">
        <v>1513</v>
      </c>
      <c r="O483" s="8"/>
      <c r="P483" s="1"/>
    </row>
    <row r="484" spans="1:16" ht="28.5" customHeight="1">
      <c r="A484" s="10">
        <v>1</v>
      </c>
      <c r="B484" s="33" t="s">
        <v>1075</v>
      </c>
      <c r="C484" s="41" t="s">
        <v>28</v>
      </c>
      <c r="D484" s="41" t="s">
        <v>1514</v>
      </c>
      <c r="E484" s="41" t="s">
        <v>136</v>
      </c>
      <c r="F484" s="41" t="s">
        <v>1515</v>
      </c>
      <c r="G484" s="41" t="s">
        <v>66</v>
      </c>
      <c r="H484" s="8" t="s">
        <v>67</v>
      </c>
      <c r="I484" s="70"/>
      <c r="J484" s="70"/>
      <c r="K484" s="70" t="s">
        <v>184</v>
      </c>
      <c r="L484" s="41" t="s">
        <v>55</v>
      </c>
      <c r="M484" s="41" t="s">
        <v>56</v>
      </c>
      <c r="N484" s="10" t="s">
        <v>1516</v>
      </c>
      <c r="O484" s="8"/>
      <c r="P484" s="1"/>
    </row>
    <row r="485" spans="1:16" ht="28.5" customHeight="1">
      <c r="A485" s="10">
        <v>1</v>
      </c>
      <c r="B485" s="33" t="s">
        <v>1075</v>
      </c>
      <c r="C485" s="41" t="s">
        <v>93</v>
      </c>
      <c r="D485" s="41" t="s">
        <v>1517</v>
      </c>
      <c r="E485" s="41" t="s">
        <v>1518</v>
      </c>
      <c r="F485" s="41" t="s">
        <v>1519</v>
      </c>
      <c r="G485" s="41" t="s">
        <v>66</v>
      </c>
      <c r="H485" s="8" t="s">
        <v>67</v>
      </c>
      <c r="I485" s="70"/>
      <c r="J485" s="70"/>
      <c r="K485" s="70" t="s">
        <v>97</v>
      </c>
      <c r="L485" s="41" t="s">
        <v>34</v>
      </c>
      <c r="M485" s="41"/>
      <c r="N485" s="10" t="s">
        <v>1520</v>
      </c>
      <c r="O485" s="8"/>
      <c r="P485" s="1"/>
    </row>
    <row r="486" spans="1:16" ht="28.5" customHeight="1">
      <c r="A486" s="10">
        <v>1</v>
      </c>
      <c r="B486" s="33" t="s">
        <v>1075</v>
      </c>
      <c r="C486" s="41" t="s">
        <v>93</v>
      </c>
      <c r="D486" s="41" t="s">
        <v>1521</v>
      </c>
      <c r="E486" s="41" t="s">
        <v>161</v>
      </c>
      <c r="F486" s="41" t="s">
        <v>1522</v>
      </c>
      <c r="G486" s="41" t="s">
        <v>66</v>
      </c>
      <c r="H486" s="8" t="s">
        <v>67</v>
      </c>
      <c r="I486" s="70"/>
      <c r="J486" s="70"/>
      <c r="K486" s="70" t="s">
        <v>97</v>
      </c>
      <c r="L486" s="41" t="s">
        <v>49</v>
      </c>
      <c r="M486" s="41"/>
      <c r="N486" s="10" t="s">
        <v>1523</v>
      </c>
      <c r="O486" s="8"/>
      <c r="P486" s="1"/>
    </row>
    <row r="487" spans="1:16" ht="28.5" customHeight="1">
      <c r="A487" s="10">
        <v>1</v>
      </c>
      <c r="B487" s="33" t="s">
        <v>1075</v>
      </c>
      <c r="C487" s="41" t="s">
        <v>28</v>
      </c>
      <c r="D487" s="41" t="s">
        <v>1524</v>
      </c>
      <c r="E487" s="41" t="s">
        <v>1525</v>
      </c>
      <c r="F487" s="41" t="s">
        <v>1526</v>
      </c>
      <c r="G487" s="41" t="s">
        <v>310</v>
      </c>
      <c r="H487" s="8" t="s">
        <v>47</v>
      </c>
      <c r="I487" s="70"/>
      <c r="J487" s="70"/>
      <c r="K487" s="70" t="s">
        <v>97</v>
      </c>
      <c r="L487" s="41" t="s">
        <v>34</v>
      </c>
      <c r="M487" s="41" t="s">
        <v>128</v>
      </c>
      <c r="N487" s="10" t="s">
        <v>1527</v>
      </c>
      <c r="O487" s="8"/>
      <c r="P487" s="1"/>
    </row>
    <row r="488" spans="1:16" ht="28.5" customHeight="1">
      <c r="A488" s="10">
        <v>1</v>
      </c>
      <c r="B488" s="33" t="s">
        <v>1075</v>
      </c>
      <c r="C488" s="41" t="s">
        <v>28</v>
      </c>
      <c r="D488" s="41" t="s">
        <v>1528</v>
      </c>
      <c r="E488" s="41" t="s">
        <v>226</v>
      </c>
      <c r="F488" s="41" t="s">
        <v>1529</v>
      </c>
      <c r="G488" s="41" t="s">
        <v>91</v>
      </c>
      <c r="H488" s="8" t="s">
        <v>67</v>
      </c>
      <c r="I488" s="70" t="s">
        <v>1483</v>
      </c>
      <c r="J488" s="70"/>
      <c r="K488" s="70" t="s">
        <v>97</v>
      </c>
      <c r="L488" s="41" t="s">
        <v>49</v>
      </c>
      <c r="M488" s="41" t="s">
        <v>61</v>
      </c>
      <c r="N488" s="10" t="s">
        <v>1530</v>
      </c>
      <c r="O488" s="8"/>
      <c r="P488" s="1"/>
    </row>
    <row r="489" spans="1:16" ht="28.5" customHeight="1">
      <c r="A489" s="10">
        <v>1</v>
      </c>
      <c r="B489" s="33" t="s">
        <v>1075</v>
      </c>
      <c r="C489" s="41" t="s">
        <v>28</v>
      </c>
      <c r="D489" s="41" t="s">
        <v>1531</v>
      </c>
      <c r="E489" s="41" t="s">
        <v>1532</v>
      </c>
      <c r="F489" s="41" t="s">
        <v>1533</v>
      </c>
      <c r="G489" s="41" t="s">
        <v>395</v>
      </c>
      <c r="H489" s="8" t="s">
        <v>33</v>
      </c>
      <c r="I489" s="70" t="s">
        <v>588</v>
      </c>
      <c r="J489" s="70"/>
      <c r="K489" s="70" t="s">
        <v>154</v>
      </c>
      <c r="L489" s="41" t="s">
        <v>34</v>
      </c>
      <c r="M489" s="41" t="s">
        <v>128</v>
      </c>
      <c r="N489" s="10" t="s">
        <v>1534</v>
      </c>
      <c r="O489" s="8"/>
      <c r="P489" s="1"/>
    </row>
    <row r="490" spans="1:16" ht="28.5" customHeight="1">
      <c r="A490" s="10">
        <v>1</v>
      </c>
      <c r="B490" s="33" t="s">
        <v>1075</v>
      </c>
      <c r="C490" s="41" t="s">
        <v>28</v>
      </c>
      <c r="D490" s="41" t="s">
        <v>1535</v>
      </c>
      <c r="E490" s="41" t="s">
        <v>615</v>
      </c>
      <c r="F490" s="41" t="s">
        <v>1536</v>
      </c>
      <c r="G490" s="41" t="s">
        <v>550</v>
      </c>
      <c r="H490" s="8" t="s">
        <v>67</v>
      </c>
      <c r="I490" s="70" t="s">
        <v>1483</v>
      </c>
      <c r="J490" s="70"/>
      <c r="K490" s="70" t="s">
        <v>97</v>
      </c>
      <c r="L490" s="41" t="s">
        <v>34</v>
      </c>
      <c r="M490" s="41" t="s">
        <v>56</v>
      </c>
      <c r="N490" s="10" t="s">
        <v>1537</v>
      </c>
      <c r="O490" s="8"/>
      <c r="P490" s="1"/>
    </row>
    <row r="491" spans="1:16" ht="28.5" customHeight="1">
      <c r="A491" s="10">
        <v>1</v>
      </c>
      <c r="B491" s="33" t="s">
        <v>1075</v>
      </c>
      <c r="C491" s="41" t="s">
        <v>28</v>
      </c>
      <c r="D491" s="41" t="s">
        <v>1538</v>
      </c>
      <c r="E491" s="41" t="s">
        <v>615</v>
      </c>
      <c r="F491" s="41">
        <v>51985682491</v>
      </c>
      <c r="G491" s="41" t="s">
        <v>66</v>
      </c>
      <c r="H491" s="8" t="s">
        <v>67</v>
      </c>
      <c r="I491" s="70"/>
      <c r="J491" s="70"/>
      <c r="K491" s="70" t="s">
        <v>97</v>
      </c>
      <c r="L491" s="41" t="s">
        <v>55</v>
      </c>
      <c r="M491" s="41" t="s">
        <v>56</v>
      </c>
      <c r="N491" s="10" t="s">
        <v>1537</v>
      </c>
      <c r="O491" s="8"/>
      <c r="P491" s="1"/>
    </row>
    <row r="492" spans="1:16" ht="28.5" customHeight="1">
      <c r="A492" s="10">
        <v>1</v>
      </c>
      <c r="B492" s="33" t="s">
        <v>1075</v>
      </c>
      <c r="C492" s="41" t="s">
        <v>28</v>
      </c>
      <c r="D492" s="41" t="s">
        <v>1426</v>
      </c>
      <c r="E492" s="41" t="s">
        <v>71</v>
      </c>
      <c r="F492" s="41">
        <v>51980881068</v>
      </c>
      <c r="G492" s="41" t="s">
        <v>53</v>
      </c>
      <c r="H492" s="8" t="s">
        <v>1539</v>
      </c>
      <c r="I492" s="70" t="s">
        <v>588</v>
      </c>
      <c r="J492" s="70"/>
      <c r="K492" s="70" t="s">
        <v>97</v>
      </c>
      <c r="L492" s="41" t="s">
        <v>55</v>
      </c>
      <c r="M492" s="41" t="s">
        <v>61</v>
      </c>
      <c r="N492" s="10" t="s">
        <v>211</v>
      </c>
      <c r="O492" s="8"/>
      <c r="P492" s="1"/>
    </row>
    <row r="493" spans="1:16" ht="28.5" customHeight="1">
      <c r="A493" s="10">
        <v>1</v>
      </c>
      <c r="B493" s="33" t="s">
        <v>1075</v>
      </c>
      <c r="C493" s="41" t="s">
        <v>93</v>
      </c>
      <c r="D493" s="41" t="s">
        <v>1473</v>
      </c>
      <c r="E493" s="41" t="s">
        <v>1474</v>
      </c>
      <c r="F493" s="41" t="s">
        <v>1475</v>
      </c>
      <c r="G493" s="41" t="s">
        <v>559</v>
      </c>
      <c r="H493" s="8" t="s">
        <v>33</v>
      </c>
      <c r="I493" s="70"/>
      <c r="J493" s="70"/>
      <c r="K493" s="70" t="s">
        <v>568</v>
      </c>
      <c r="L493" s="41" t="s">
        <v>34</v>
      </c>
      <c r="M493" s="41"/>
      <c r="N493" s="10" t="s">
        <v>1540</v>
      </c>
      <c r="O493" s="8"/>
      <c r="P493" s="1"/>
    </row>
    <row r="494" spans="1:16" ht="28.5" customHeight="1">
      <c r="A494" s="10">
        <v>1</v>
      </c>
      <c r="B494" s="33" t="s">
        <v>1075</v>
      </c>
      <c r="C494" s="41" t="s">
        <v>28</v>
      </c>
      <c r="D494" s="41" t="s">
        <v>1541</v>
      </c>
      <c r="E494" s="41" t="s">
        <v>1542</v>
      </c>
      <c r="F494" s="41" t="s">
        <v>1543</v>
      </c>
      <c r="G494" s="41" t="s">
        <v>85</v>
      </c>
      <c r="H494" s="8" t="s">
        <v>33</v>
      </c>
      <c r="I494" s="70" t="s">
        <v>1232</v>
      </c>
      <c r="J494" s="70"/>
      <c r="K494" s="70" t="s">
        <v>250</v>
      </c>
      <c r="L494" s="41" t="s">
        <v>49</v>
      </c>
      <c r="M494" s="41" t="s">
        <v>61</v>
      </c>
      <c r="N494" s="10" t="s">
        <v>1544</v>
      </c>
      <c r="O494" s="8"/>
      <c r="P494" s="1"/>
    </row>
    <row r="495" spans="1:16" ht="28.5" customHeight="1">
      <c r="A495" s="10">
        <v>1</v>
      </c>
      <c r="B495" s="33" t="s">
        <v>1075</v>
      </c>
      <c r="C495" s="41" t="s">
        <v>93</v>
      </c>
      <c r="D495" s="41" t="s">
        <v>1545</v>
      </c>
      <c r="E495" s="41" t="s">
        <v>446</v>
      </c>
      <c r="F495" s="41" t="s">
        <v>1546</v>
      </c>
      <c r="G495" s="41" t="s">
        <v>66</v>
      </c>
      <c r="H495" s="8" t="s">
        <v>67</v>
      </c>
      <c r="I495" s="70"/>
      <c r="J495" s="70"/>
      <c r="K495" s="70" t="s">
        <v>97</v>
      </c>
      <c r="L495" s="41" t="s">
        <v>49</v>
      </c>
      <c r="M495" s="41"/>
      <c r="N495" s="10" t="s">
        <v>1547</v>
      </c>
      <c r="O495" s="8"/>
      <c r="P495" s="1"/>
    </row>
    <row r="496" spans="1:16" ht="28.5" customHeight="1">
      <c r="A496" s="10">
        <v>1</v>
      </c>
      <c r="B496" s="33" t="s">
        <v>1176</v>
      </c>
      <c r="C496" s="41" t="s">
        <v>28</v>
      </c>
      <c r="D496" s="41" t="s">
        <v>1548</v>
      </c>
      <c r="E496" s="41" t="s">
        <v>39</v>
      </c>
      <c r="F496" s="41">
        <v>51995679592</v>
      </c>
      <c r="G496" s="41" t="s">
        <v>41</v>
      </c>
      <c r="H496" s="8" t="s">
        <v>33</v>
      </c>
      <c r="I496" s="70"/>
      <c r="J496" s="70"/>
      <c r="K496" s="70" t="s">
        <v>568</v>
      </c>
      <c r="L496" s="41" t="s">
        <v>55</v>
      </c>
      <c r="M496" s="41" t="s">
        <v>56</v>
      </c>
      <c r="N496" s="10" t="s">
        <v>1549</v>
      </c>
      <c r="O496" s="8"/>
      <c r="P496" s="1"/>
    </row>
    <row r="497" spans="1:16" ht="28.5" customHeight="1">
      <c r="A497" s="10">
        <v>1</v>
      </c>
      <c r="B497" s="33" t="s">
        <v>1176</v>
      </c>
      <c r="C497" s="41" t="s">
        <v>28</v>
      </c>
      <c r="D497" s="41" t="s">
        <v>1550</v>
      </c>
      <c r="E497" s="41" t="s">
        <v>39</v>
      </c>
      <c r="F497" s="41" t="s">
        <v>1551</v>
      </c>
      <c r="G497" s="41" t="s">
        <v>41</v>
      </c>
      <c r="H497" s="8" t="s">
        <v>215</v>
      </c>
      <c r="I497" s="70"/>
      <c r="J497" s="70"/>
      <c r="K497" s="70" t="s">
        <v>101</v>
      </c>
      <c r="L497" s="41" t="s">
        <v>34</v>
      </c>
      <c r="M497" s="41" t="s">
        <v>128</v>
      </c>
      <c r="N497" s="10" t="s">
        <v>1552</v>
      </c>
      <c r="O497" s="8"/>
      <c r="P497" s="1"/>
    </row>
    <row r="498" spans="1:16" ht="28.5" customHeight="1">
      <c r="A498" s="10">
        <v>1</v>
      </c>
      <c r="B498" s="33" t="s">
        <v>1176</v>
      </c>
      <c r="C498" s="41" t="s">
        <v>28</v>
      </c>
      <c r="D498" s="41" t="s">
        <v>1553</v>
      </c>
      <c r="E498" s="41" t="s">
        <v>1554</v>
      </c>
      <c r="F498" s="41" t="s">
        <v>1555</v>
      </c>
      <c r="G498" s="41" t="s">
        <v>283</v>
      </c>
      <c r="H498" s="8" t="s">
        <v>47</v>
      </c>
      <c r="I498" s="70" t="s">
        <v>1556</v>
      </c>
      <c r="J498" s="70"/>
      <c r="K498" s="70" t="s">
        <v>142</v>
      </c>
      <c r="L498" s="41" t="s">
        <v>49</v>
      </c>
      <c r="M498" s="41" t="s">
        <v>80</v>
      </c>
      <c r="N498" s="10" t="s">
        <v>1557</v>
      </c>
      <c r="O498" s="8"/>
      <c r="P498" s="1"/>
    </row>
    <row r="499" spans="1:16" ht="28.5" customHeight="1">
      <c r="A499" s="10">
        <v>1</v>
      </c>
      <c r="B499" s="33" t="s">
        <v>1176</v>
      </c>
      <c r="C499" s="41" t="s">
        <v>28</v>
      </c>
      <c r="D499" s="41" t="s">
        <v>1558</v>
      </c>
      <c r="E499" s="41" t="s">
        <v>1559</v>
      </c>
      <c r="F499" s="41" t="s">
        <v>1560</v>
      </c>
      <c r="G499" s="41" t="s">
        <v>32</v>
      </c>
      <c r="H499" s="8" t="s">
        <v>33</v>
      </c>
      <c r="I499" s="70" t="s">
        <v>1232</v>
      </c>
      <c r="J499" s="70"/>
      <c r="K499" s="70" t="s">
        <v>154</v>
      </c>
      <c r="L499" s="41" t="s">
        <v>49</v>
      </c>
      <c r="M499" s="41" t="s">
        <v>61</v>
      </c>
      <c r="N499" s="10" t="s">
        <v>1561</v>
      </c>
      <c r="O499" s="8"/>
      <c r="P499" s="1"/>
    </row>
    <row r="500" spans="1:16" ht="28.5" customHeight="1">
      <c r="A500" s="10">
        <v>1</v>
      </c>
      <c r="B500" s="33" t="s">
        <v>1176</v>
      </c>
      <c r="C500" s="41" t="s">
        <v>93</v>
      </c>
      <c r="D500" s="41" t="s">
        <v>1562</v>
      </c>
      <c r="E500" s="41" t="s">
        <v>1563</v>
      </c>
      <c r="F500" s="41" t="s">
        <v>1564</v>
      </c>
      <c r="G500" s="41" t="s">
        <v>66</v>
      </c>
      <c r="H500" s="8" t="s">
        <v>67</v>
      </c>
      <c r="I500" s="70"/>
      <c r="J500" s="70"/>
      <c r="K500" s="70" t="s">
        <v>179</v>
      </c>
      <c r="L500" s="41" t="s">
        <v>49</v>
      </c>
      <c r="M500" s="41"/>
      <c r="N500" s="10" t="s">
        <v>1565</v>
      </c>
      <c r="O500" s="8"/>
      <c r="P500" s="1"/>
    </row>
    <row r="501" spans="1:16" ht="28.5" customHeight="1">
      <c r="A501" s="10">
        <v>1</v>
      </c>
      <c r="B501" s="33" t="s">
        <v>1176</v>
      </c>
      <c r="C501" s="41" t="s">
        <v>28</v>
      </c>
      <c r="D501" s="41" t="s">
        <v>1566</v>
      </c>
      <c r="E501" s="41" t="s">
        <v>1567</v>
      </c>
      <c r="F501" s="41">
        <v>51994013072</v>
      </c>
      <c r="G501" s="41" t="s">
        <v>147</v>
      </c>
      <c r="H501" s="8" t="s">
        <v>33</v>
      </c>
      <c r="I501" s="70" t="s">
        <v>588</v>
      </c>
      <c r="J501" s="70"/>
      <c r="K501" s="70" t="s">
        <v>142</v>
      </c>
      <c r="L501" s="41" t="s">
        <v>55</v>
      </c>
      <c r="M501" s="41" t="s">
        <v>80</v>
      </c>
      <c r="N501" s="10" t="s">
        <v>120</v>
      </c>
      <c r="O501" s="8"/>
      <c r="P501" s="1"/>
    </row>
    <row r="502" spans="1:16" ht="28.5" customHeight="1">
      <c r="A502" s="10">
        <v>1</v>
      </c>
      <c r="B502" s="33" t="s">
        <v>1176</v>
      </c>
      <c r="C502" s="41" t="s">
        <v>398</v>
      </c>
      <c r="D502" s="123" t="s">
        <v>1568</v>
      </c>
      <c r="E502" s="123" t="s">
        <v>290</v>
      </c>
      <c r="F502" s="123" t="s">
        <v>1569</v>
      </c>
      <c r="G502" s="123" t="s">
        <v>1570</v>
      </c>
      <c r="H502" s="8"/>
      <c r="I502" s="70"/>
      <c r="J502" s="70"/>
      <c r="K502" s="70"/>
      <c r="L502" s="8" t="s">
        <v>398</v>
      </c>
      <c r="M502" s="41"/>
      <c r="N502" s="10"/>
      <c r="O502" s="8"/>
      <c r="P502" s="1"/>
    </row>
    <row r="503" spans="1:16" ht="28.5" customHeight="1">
      <c r="A503" s="10">
        <v>1</v>
      </c>
      <c r="B503" s="33" t="s">
        <v>1176</v>
      </c>
      <c r="C503" s="41" t="s">
        <v>398</v>
      </c>
      <c r="D503" s="123" t="s">
        <v>1571</v>
      </c>
      <c r="E503" s="123" t="s">
        <v>290</v>
      </c>
      <c r="F503" s="123" t="s">
        <v>1572</v>
      </c>
      <c r="G503" s="123" t="s">
        <v>1570</v>
      </c>
      <c r="H503" s="8"/>
      <c r="I503" s="70"/>
      <c r="J503" s="70"/>
      <c r="K503" s="70"/>
      <c r="L503" s="8" t="s">
        <v>398</v>
      </c>
      <c r="M503" s="41"/>
      <c r="N503" s="10"/>
      <c r="O503" s="8"/>
      <c r="P503" s="1"/>
    </row>
    <row r="504" spans="1:16" ht="28.5" customHeight="1">
      <c r="A504" s="10">
        <v>1</v>
      </c>
      <c r="B504" s="33" t="s">
        <v>1176</v>
      </c>
      <c r="C504" s="41" t="s">
        <v>398</v>
      </c>
      <c r="D504" s="123" t="s">
        <v>1573</v>
      </c>
      <c r="E504" s="123" t="s">
        <v>1574</v>
      </c>
      <c r="F504" s="123" t="s">
        <v>1575</v>
      </c>
      <c r="G504" s="123" t="s">
        <v>1570</v>
      </c>
      <c r="H504" s="8"/>
      <c r="I504" s="70"/>
      <c r="J504" s="70"/>
      <c r="K504" s="70"/>
      <c r="L504" s="8" t="s">
        <v>398</v>
      </c>
      <c r="M504" s="41"/>
      <c r="N504" s="10"/>
      <c r="O504" s="8"/>
      <c r="P504" s="1"/>
    </row>
    <row r="505" spans="1:16" ht="28.5" customHeight="1">
      <c r="A505" s="10">
        <v>1</v>
      </c>
      <c r="B505" s="33" t="s">
        <v>1176</v>
      </c>
      <c r="C505" s="41" t="s">
        <v>398</v>
      </c>
      <c r="D505" s="123" t="s">
        <v>1576</v>
      </c>
      <c r="E505" s="123" t="s">
        <v>1577</v>
      </c>
      <c r="F505" s="123" t="s">
        <v>1578</v>
      </c>
      <c r="G505" s="123" t="s">
        <v>66</v>
      </c>
      <c r="H505" s="8"/>
      <c r="I505" s="70"/>
      <c r="J505" s="70"/>
      <c r="K505" s="70"/>
      <c r="L505" s="8" t="s">
        <v>398</v>
      </c>
      <c r="M505" s="41"/>
      <c r="N505" s="10"/>
      <c r="O505" s="8"/>
      <c r="P505" s="1"/>
    </row>
    <row r="506" spans="1:16" ht="28.5" customHeight="1">
      <c r="A506" s="10">
        <v>1</v>
      </c>
      <c r="B506" s="33" t="s">
        <v>1176</v>
      </c>
      <c r="C506" s="41" t="s">
        <v>398</v>
      </c>
      <c r="D506" s="123" t="s">
        <v>1579</v>
      </c>
      <c r="E506" s="123" t="s">
        <v>1580</v>
      </c>
      <c r="F506" s="123" t="s">
        <v>1581</v>
      </c>
      <c r="G506" s="123" t="s">
        <v>1582</v>
      </c>
      <c r="H506" s="8"/>
      <c r="I506" s="70"/>
      <c r="J506" s="70"/>
      <c r="K506" s="70"/>
      <c r="L506" s="8" t="s">
        <v>398</v>
      </c>
      <c r="M506" s="41"/>
      <c r="N506" s="10"/>
      <c r="O506" s="8"/>
      <c r="P506" s="1"/>
    </row>
    <row r="507" spans="1:16" ht="28.5" customHeight="1">
      <c r="A507" s="10">
        <v>1</v>
      </c>
      <c r="B507" s="33" t="s">
        <v>1176</v>
      </c>
      <c r="C507" s="41" t="s">
        <v>398</v>
      </c>
      <c r="D507" s="123" t="s">
        <v>1583</v>
      </c>
      <c r="E507" s="123" t="s">
        <v>1584</v>
      </c>
      <c r="F507" s="123" t="s">
        <v>1585</v>
      </c>
      <c r="G507" s="123" t="s">
        <v>1582</v>
      </c>
      <c r="H507" s="8"/>
      <c r="I507" s="70"/>
      <c r="J507" s="70"/>
      <c r="K507" s="70"/>
      <c r="L507" s="8" t="s">
        <v>398</v>
      </c>
      <c r="M507" s="41"/>
      <c r="N507" s="10"/>
      <c r="O507" s="8"/>
      <c r="P507" s="1"/>
    </row>
    <row r="508" spans="1:16" ht="28.5" customHeight="1">
      <c r="A508" s="10">
        <v>1</v>
      </c>
      <c r="B508" s="33" t="s">
        <v>1176</v>
      </c>
      <c r="C508" s="41" t="s">
        <v>398</v>
      </c>
      <c r="D508" s="123" t="s">
        <v>1586</v>
      </c>
      <c r="E508" s="123" t="s">
        <v>407</v>
      </c>
      <c r="F508" s="123" t="s">
        <v>1587</v>
      </c>
      <c r="G508" s="123" t="s">
        <v>66</v>
      </c>
      <c r="H508" s="8"/>
      <c r="I508" s="70"/>
      <c r="J508" s="70"/>
      <c r="K508" s="70"/>
      <c r="L508" s="8" t="s">
        <v>398</v>
      </c>
      <c r="M508" s="41"/>
      <c r="N508" s="10"/>
      <c r="O508" s="8"/>
      <c r="P508" s="1"/>
    </row>
    <row r="509" spans="1:16" ht="28.5" customHeight="1">
      <c r="A509" s="10">
        <v>1</v>
      </c>
      <c r="B509" s="33" t="s">
        <v>1176</v>
      </c>
      <c r="C509" s="41" t="s">
        <v>398</v>
      </c>
      <c r="D509" s="123" t="s">
        <v>1588</v>
      </c>
      <c r="E509" s="123" t="s">
        <v>253</v>
      </c>
      <c r="F509" s="123" t="s">
        <v>1589</v>
      </c>
      <c r="G509" s="123" t="s">
        <v>1570</v>
      </c>
      <c r="H509" s="8"/>
      <c r="I509" s="70"/>
      <c r="J509" s="70"/>
      <c r="K509" s="70"/>
      <c r="L509" s="8" t="s">
        <v>398</v>
      </c>
      <c r="M509" s="41"/>
      <c r="N509" s="10"/>
      <c r="O509" s="8"/>
      <c r="P509" s="1"/>
    </row>
    <row r="510" spans="1:16" ht="28.5" customHeight="1">
      <c r="A510" s="10">
        <v>1</v>
      </c>
      <c r="B510" s="33" t="s">
        <v>1176</v>
      </c>
      <c r="C510" s="41" t="s">
        <v>398</v>
      </c>
      <c r="D510" s="123" t="s">
        <v>1590</v>
      </c>
      <c r="E510" s="123" t="s">
        <v>1591</v>
      </c>
      <c r="F510" s="123" t="s">
        <v>1592</v>
      </c>
      <c r="G510" s="123" t="s">
        <v>1593</v>
      </c>
      <c r="H510" s="8"/>
      <c r="I510" s="70"/>
      <c r="J510" s="70"/>
      <c r="K510" s="70"/>
      <c r="L510" s="8" t="s">
        <v>398</v>
      </c>
      <c r="M510" s="41"/>
      <c r="N510" s="10"/>
      <c r="O510" s="8"/>
      <c r="P510" s="1"/>
    </row>
    <row r="511" spans="1:16" ht="28.5" customHeight="1">
      <c r="A511" s="10">
        <v>1</v>
      </c>
      <c r="B511" s="33" t="s">
        <v>1176</v>
      </c>
      <c r="C511" s="41" t="s">
        <v>398</v>
      </c>
      <c r="D511" s="123" t="s">
        <v>1594</v>
      </c>
      <c r="E511" s="123" t="s">
        <v>1595</v>
      </c>
      <c r="F511" s="123" t="s">
        <v>1596</v>
      </c>
      <c r="G511" s="123" t="s">
        <v>66</v>
      </c>
      <c r="H511" s="8"/>
      <c r="I511" s="70"/>
      <c r="J511" s="70"/>
      <c r="K511" s="70"/>
      <c r="L511" s="8" t="s">
        <v>398</v>
      </c>
      <c r="M511" s="41"/>
      <c r="N511" s="10"/>
      <c r="O511" s="8"/>
      <c r="P511" s="1"/>
    </row>
    <row r="512" spans="1:16" ht="28.5" customHeight="1">
      <c r="A512" s="10">
        <v>1</v>
      </c>
      <c r="B512" s="33" t="s">
        <v>1176</v>
      </c>
      <c r="C512" s="41" t="s">
        <v>398</v>
      </c>
      <c r="D512" s="123" t="s">
        <v>1597</v>
      </c>
      <c r="E512" s="123" t="s">
        <v>315</v>
      </c>
      <c r="F512" s="123" t="s">
        <v>1598</v>
      </c>
      <c r="G512" s="123" t="s">
        <v>66</v>
      </c>
      <c r="H512" s="8"/>
      <c r="I512" s="70"/>
      <c r="J512" s="70"/>
      <c r="K512" s="70"/>
      <c r="L512" s="8" t="s">
        <v>398</v>
      </c>
      <c r="M512" s="41"/>
      <c r="N512" s="10"/>
      <c r="O512" s="8"/>
      <c r="P512" s="1"/>
    </row>
    <row r="513" spans="1:16" ht="28.5" customHeight="1">
      <c r="A513" s="10">
        <v>1</v>
      </c>
      <c r="B513" s="33" t="s">
        <v>1176</v>
      </c>
      <c r="C513" s="41" t="s">
        <v>398</v>
      </c>
      <c r="D513" s="123" t="s">
        <v>1599</v>
      </c>
      <c r="E513" s="123" t="s">
        <v>169</v>
      </c>
      <c r="F513" s="123" t="s">
        <v>1600</v>
      </c>
      <c r="G513" s="123" t="s">
        <v>1570</v>
      </c>
      <c r="H513" s="8"/>
      <c r="I513" s="70"/>
      <c r="J513" s="70"/>
      <c r="K513" s="70"/>
      <c r="L513" s="8" t="s">
        <v>398</v>
      </c>
      <c r="M513" s="41"/>
      <c r="N513" s="10"/>
      <c r="O513" s="8"/>
      <c r="P513" s="1"/>
    </row>
    <row r="514" spans="1:16" ht="28.5" customHeight="1">
      <c r="A514" s="10">
        <v>1</v>
      </c>
      <c r="B514" s="33" t="s">
        <v>1176</v>
      </c>
      <c r="C514" s="41" t="s">
        <v>398</v>
      </c>
      <c r="D514" s="123" t="s">
        <v>1601</v>
      </c>
      <c r="E514" s="123" t="s">
        <v>893</v>
      </c>
      <c r="F514" s="123" t="s">
        <v>1602</v>
      </c>
      <c r="G514" s="123" t="s">
        <v>1603</v>
      </c>
      <c r="H514" s="8"/>
      <c r="I514" s="70"/>
      <c r="J514" s="70"/>
      <c r="K514" s="70"/>
      <c r="L514" s="8" t="s">
        <v>398</v>
      </c>
      <c r="M514" s="41"/>
      <c r="N514" s="10"/>
      <c r="O514" s="8"/>
      <c r="P514" s="1"/>
    </row>
    <row r="515" spans="1:16" ht="28.5" customHeight="1">
      <c r="A515" s="10">
        <v>1</v>
      </c>
      <c r="B515" s="33" t="s">
        <v>1176</v>
      </c>
      <c r="C515" s="41" t="s">
        <v>398</v>
      </c>
      <c r="D515" s="123" t="s">
        <v>1604</v>
      </c>
      <c r="E515" s="123" t="s">
        <v>1605</v>
      </c>
      <c r="F515" s="123" t="s">
        <v>1606</v>
      </c>
      <c r="G515" s="123" t="s">
        <v>1582</v>
      </c>
      <c r="H515" s="8"/>
      <c r="I515" s="70"/>
      <c r="J515" s="70"/>
      <c r="K515" s="70"/>
      <c r="L515" s="8" t="s">
        <v>398</v>
      </c>
      <c r="M515" s="41"/>
      <c r="N515" s="10"/>
      <c r="O515" s="8"/>
      <c r="P515" s="1"/>
    </row>
    <row r="516" spans="1:16" ht="28.5" customHeight="1">
      <c r="A516" s="10">
        <v>1</v>
      </c>
      <c r="B516" s="33" t="s">
        <v>1176</v>
      </c>
      <c r="C516" s="41" t="s">
        <v>398</v>
      </c>
      <c r="D516" s="123" t="s">
        <v>1607</v>
      </c>
      <c r="E516" s="123" t="s">
        <v>619</v>
      </c>
      <c r="F516" s="123" t="s">
        <v>1608</v>
      </c>
      <c r="G516" s="123" t="s">
        <v>66</v>
      </c>
      <c r="H516" s="8"/>
      <c r="I516" s="70"/>
      <c r="J516" s="70"/>
      <c r="K516" s="70"/>
      <c r="L516" s="8" t="s">
        <v>398</v>
      </c>
      <c r="M516" s="41"/>
      <c r="N516" s="10"/>
      <c r="O516" s="8"/>
      <c r="P516" s="1"/>
    </row>
    <row r="517" spans="1:16" ht="28.5" customHeight="1">
      <c r="A517" s="10">
        <v>1</v>
      </c>
      <c r="B517" s="33" t="s">
        <v>1176</v>
      </c>
      <c r="C517" s="41" t="s">
        <v>398</v>
      </c>
      <c r="D517" s="123" t="s">
        <v>1609</v>
      </c>
      <c r="E517" s="123" t="s">
        <v>1443</v>
      </c>
      <c r="F517" s="123" t="s">
        <v>1610</v>
      </c>
      <c r="G517" s="123" t="s">
        <v>32</v>
      </c>
      <c r="H517" s="8"/>
      <c r="I517" s="70"/>
      <c r="J517" s="70"/>
      <c r="K517" s="70"/>
      <c r="L517" s="8" t="s">
        <v>398</v>
      </c>
      <c r="M517" s="41"/>
      <c r="N517" s="10"/>
      <c r="O517" s="8"/>
      <c r="P517" s="1"/>
    </row>
    <row r="518" spans="1:16" ht="28.5" customHeight="1">
      <c r="A518" s="10">
        <v>1</v>
      </c>
      <c r="B518" s="33" t="s">
        <v>1176</v>
      </c>
      <c r="C518" s="41" t="s">
        <v>398</v>
      </c>
      <c r="D518" s="123" t="s">
        <v>1611</v>
      </c>
      <c r="E518" s="123" t="s">
        <v>1612</v>
      </c>
      <c r="F518" s="123" t="s">
        <v>1613</v>
      </c>
      <c r="G518" s="123" t="s">
        <v>66</v>
      </c>
      <c r="H518" s="8"/>
      <c r="I518" s="70"/>
      <c r="J518" s="70"/>
      <c r="K518" s="70"/>
      <c r="L518" s="8" t="s">
        <v>398</v>
      </c>
      <c r="M518" s="41"/>
      <c r="N518" s="10"/>
      <c r="O518" s="8"/>
      <c r="P518" s="1"/>
    </row>
    <row r="519" spans="1:16" ht="28.5" customHeight="1">
      <c r="A519" s="10">
        <v>1</v>
      </c>
      <c r="B519" s="33" t="s">
        <v>1176</v>
      </c>
      <c r="C519" s="41" t="s">
        <v>398</v>
      </c>
      <c r="D519" s="123" t="s">
        <v>1614</v>
      </c>
      <c r="E519" s="123" t="s">
        <v>260</v>
      </c>
      <c r="F519" s="123" t="s">
        <v>1615</v>
      </c>
      <c r="G519" s="123" t="s">
        <v>32</v>
      </c>
      <c r="H519" s="8"/>
      <c r="I519" s="70"/>
      <c r="J519" s="70"/>
      <c r="K519" s="70"/>
      <c r="L519" s="8" t="s">
        <v>398</v>
      </c>
      <c r="M519" s="41"/>
      <c r="N519" s="10"/>
      <c r="O519" s="8"/>
      <c r="P519" s="1"/>
    </row>
    <row r="520" spans="1:16" ht="28.5" customHeight="1">
      <c r="A520" s="10">
        <v>1</v>
      </c>
      <c r="B520" s="33" t="s">
        <v>1176</v>
      </c>
      <c r="C520" s="41" t="s">
        <v>398</v>
      </c>
      <c r="D520" s="123" t="s">
        <v>1616</v>
      </c>
      <c r="E520" s="123" t="s">
        <v>1617</v>
      </c>
      <c r="F520" s="123" t="s">
        <v>1618</v>
      </c>
      <c r="G520" s="123" t="s">
        <v>66</v>
      </c>
      <c r="H520" s="8"/>
      <c r="I520" s="70"/>
      <c r="J520" s="70"/>
      <c r="K520" s="70"/>
      <c r="L520" s="8" t="s">
        <v>398</v>
      </c>
      <c r="M520" s="41"/>
      <c r="N520" s="10"/>
      <c r="O520" s="8"/>
      <c r="P520" s="1"/>
    </row>
    <row r="521" spans="1:16" ht="28.5" customHeight="1">
      <c r="A521" s="10">
        <v>1</v>
      </c>
      <c r="B521" s="33" t="s">
        <v>1176</v>
      </c>
      <c r="C521" s="41" t="s">
        <v>398</v>
      </c>
      <c r="D521" s="123" t="s">
        <v>1619</v>
      </c>
      <c r="E521" s="123" t="s">
        <v>1620</v>
      </c>
      <c r="F521" s="123" t="s">
        <v>1621</v>
      </c>
      <c r="G521" s="123" t="s">
        <v>41</v>
      </c>
      <c r="H521" s="8"/>
      <c r="I521" s="70"/>
      <c r="J521" s="70"/>
      <c r="K521" s="70"/>
      <c r="L521" s="8" t="s">
        <v>398</v>
      </c>
      <c r="M521" s="41"/>
      <c r="N521" s="10"/>
      <c r="O521" s="8"/>
      <c r="P521" s="1"/>
    </row>
    <row r="522" spans="1:16" ht="28.5" customHeight="1">
      <c r="A522" s="10">
        <v>1</v>
      </c>
      <c r="B522" s="33" t="s">
        <v>1176</v>
      </c>
      <c r="C522" s="41" t="s">
        <v>398</v>
      </c>
      <c r="D522" s="123" t="s">
        <v>1622</v>
      </c>
      <c r="E522" s="123" t="s">
        <v>1623</v>
      </c>
      <c r="F522" s="123" t="s">
        <v>1624</v>
      </c>
      <c r="G522" s="123" t="s">
        <v>1570</v>
      </c>
      <c r="H522" s="8"/>
      <c r="I522" s="70"/>
      <c r="J522" s="70"/>
      <c r="K522" s="70"/>
      <c r="L522" s="8" t="s">
        <v>398</v>
      </c>
      <c r="M522" s="41"/>
      <c r="N522" s="10"/>
      <c r="O522" s="8"/>
      <c r="P522" s="1"/>
    </row>
    <row r="523" spans="1:16" ht="28.5" customHeight="1">
      <c r="A523" s="10">
        <v>1</v>
      </c>
      <c r="B523" s="33" t="s">
        <v>1176</v>
      </c>
      <c r="C523" s="41" t="s">
        <v>398</v>
      </c>
      <c r="D523" s="123" t="s">
        <v>1625</v>
      </c>
      <c r="E523" s="123" t="s">
        <v>1626</v>
      </c>
      <c r="F523" s="123" t="s">
        <v>1627</v>
      </c>
      <c r="G523" s="123" t="s">
        <v>66</v>
      </c>
      <c r="H523" s="8"/>
      <c r="I523" s="70"/>
      <c r="J523" s="70"/>
      <c r="K523" s="70"/>
      <c r="L523" s="8" t="s">
        <v>398</v>
      </c>
      <c r="M523" s="41"/>
      <c r="N523" s="10"/>
      <c r="O523" s="8"/>
      <c r="P523" s="1"/>
    </row>
    <row r="524" spans="1:16" ht="28.5" customHeight="1">
      <c r="A524" s="10">
        <v>1</v>
      </c>
      <c r="B524" s="33" t="s">
        <v>1176</v>
      </c>
      <c r="C524" s="41" t="s">
        <v>398</v>
      </c>
      <c r="D524" s="123" t="s">
        <v>1628</v>
      </c>
      <c r="E524" s="123" t="s">
        <v>39</v>
      </c>
      <c r="F524" s="123" t="s">
        <v>1629</v>
      </c>
      <c r="G524" s="123" t="s">
        <v>41</v>
      </c>
      <c r="H524" s="8"/>
      <c r="I524" s="70"/>
      <c r="J524" s="70"/>
      <c r="K524" s="70"/>
      <c r="L524" s="8" t="s">
        <v>398</v>
      </c>
      <c r="M524" s="41"/>
      <c r="N524" s="10"/>
      <c r="O524" s="8"/>
      <c r="P524" s="1"/>
    </row>
    <row r="525" spans="1:16" ht="28.5" customHeight="1">
      <c r="A525" s="10">
        <v>1</v>
      </c>
      <c r="B525" s="33" t="s">
        <v>1176</v>
      </c>
      <c r="C525" s="41" t="s">
        <v>398</v>
      </c>
      <c r="D525" s="123" t="s">
        <v>1630</v>
      </c>
      <c r="E525" s="123" t="s">
        <v>136</v>
      </c>
      <c r="F525" s="123" t="s">
        <v>1631</v>
      </c>
      <c r="G525" s="123" t="s">
        <v>66</v>
      </c>
      <c r="H525" s="8"/>
      <c r="I525" s="70"/>
      <c r="J525" s="70"/>
      <c r="K525" s="70"/>
      <c r="L525" s="8" t="s">
        <v>398</v>
      </c>
      <c r="M525" s="41"/>
      <c r="N525" s="10"/>
      <c r="O525" s="8"/>
      <c r="P525" s="1"/>
    </row>
    <row r="526" spans="1:16" ht="28.5" customHeight="1">
      <c r="A526" s="10">
        <v>1</v>
      </c>
      <c r="B526" s="33" t="s">
        <v>1176</v>
      </c>
      <c r="C526" s="41" t="s">
        <v>398</v>
      </c>
      <c r="D526" s="123" t="s">
        <v>1632</v>
      </c>
      <c r="E526" s="123" t="s">
        <v>1250</v>
      </c>
      <c r="F526" s="123" t="s">
        <v>1633</v>
      </c>
      <c r="G526" s="123" t="s">
        <v>41</v>
      </c>
      <c r="H526" s="8"/>
      <c r="I526" s="70"/>
      <c r="J526" s="70"/>
      <c r="K526" s="70"/>
      <c r="L526" s="8" t="s">
        <v>398</v>
      </c>
      <c r="M526" s="41"/>
      <c r="N526" s="10"/>
      <c r="O526" s="8"/>
      <c r="P526" s="1"/>
    </row>
    <row r="527" spans="1:16" ht="28.5" customHeight="1">
      <c r="A527" s="10">
        <v>1</v>
      </c>
      <c r="B527" s="33" t="s">
        <v>1176</v>
      </c>
      <c r="C527" s="41" t="s">
        <v>398</v>
      </c>
      <c r="D527" s="123" t="s">
        <v>1634</v>
      </c>
      <c r="E527" s="123" t="s">
        <v>226</v>
      </c>
      <c r="F527" s="123" t="s">
        <v>1635</v>
      </c>
      <c r="G527" s="123" t="s">
        <v>1570</v>
      </c>
      <c r="H527" s="8"/>
      <c r="I527" s="70"/>
      <c r="J527" s="70"/>
      <c r="K527" s="70"/>
      <c r="L527" s="8" t="s">
        <v>398</v>
      </c>
      <c r="M527" s="41"/>
      <c r="N527" s="10"/>
      <c r="O527" s="8"/>
      <c r="P527" s="1"/>
    </row>
    <row r="528" spans="1:16" ht="28.5" customHeight="1">
      <c r="A528" s="10">
        <v>1</v>
      </c>
      <c r="B528" s="33" t="s">
        <v>1176</v>
      </c>
      <c r="C528" s="41" t="s">
        <v>398</v>
      </c>
      <c r="D528" s="123" t="s">
        <v>1636</v>
      </c>
      <c r="E528" s="123" t="s">
        <v>1637</v>
      </c>
      <c r="F528" s="123" t="s">
        <v>1638</v>
      </c>
      <c r="G528" s="123" t="s">
        <v>66</v>
      </c>
      <c r="H528" s="8"/>
      <c r="I528" s="70"/>
      <c r="J528" s="70"/>
      <c r="K528" s="70"/>
      <c r="L528" s="8" t="s">
        <v>398</v>
      </c>
      <c r="M528" s="41"/>
      <c r="N528" s="10"/>
      <c r="O528" s="8"/>
      <c r="P528" s="1"/>
    </row>
    <row r="529" spans="1:16" ht="28.5" customHeight="1">
      <c r="A529" s="10">
        <v>1</v>
      </c>
      <c r="B529" s="33" t="s">
        <v>1176</v>
      </c>
      <c r="C529" s="41" t="s">
        <v>398</v>
      </c>
      <c r="D529" s="123" t="s">
        <v>1639</v>
      </c>
      <c r="E529" s="123" t="s">
        <v>1640</v>
      </c>
      <c r="F529" s="123" t="s">
        <v>1641</v>
      </c>
      <c r="G529" s="123" t="s">
        <v>1582</v>
      </c>
      <c r="H529" s="8"/>
      <c r="I529" s="70"/>
      <c r="J529" s="70"/>
      <c r="K529" s="70"/>
      <c r="L529" s="8" t="s">
        <v>398</v>
      </c>
      <c r="M529" s="41"/>
      <c r="N529" s="10"/>
      <c r="O529" s="8"/>
      <c r="P529" s="1"/>
    </row>
    <row r="530" spans="1:16" ht="28.5" customHeight="1">
      <c r="A530" s="10">
        <v>1</v>
      </c>
      <c r="B530" s="33" t="s">
        <v>1176</v>
      </c>
      <c r="C530" s="41" t="s">
        <v>398</v>
      </c>
      <c r="D530" s="123" t="s">
        <v>1642</v>
      </c>
      <c r="E530" s="123" t="s">
        <v>161</v>
      </c>
      <c r="F530" s="123" t="s">
        <v>1643</v>
      </c>
      <c r="G530" s="123" t="s">
        <v>66</v>
      </c>
      <c r="H530" s="8"/>
      <c r="I530" s="70"/>
      <c r="J530" s="70"/>
      <c r="K530" s="70"/>
      <c r="L530" s="8" t="s">
        <v>398</v>
      </c>
      <c r="M530" s="41"/>
      <c r="N530" s="10"/>
      <c r="O530" s="8"/>
      <c r="P530" s="1"/>
    </row>
    <row r="531" spans="1:16" ht="28.5" customHeight="1">
      <c r="A531" s="10">
        <v>1</v>
      </c>
      <c r="B531" s="33" t="s">
        <v>1176</v>
      </c>
      <c r="C531" s="41" t="s">
        <v>398</v>
      </c>
      <c r="D531" s="123" t="s">
        <v>1644</v>
      </c>
      <c r="E531" s="123" t="s">
        <v>1645</v>
      </c>
      <c r="F531" s="123" t="s">
        <v>1646</v>
      </c>
      <c r="G531" s="123" t="s">
        <v>415</v>
      </c>
      <c r="H531" s="8"/>
      <c r="I531" s="70"/>
      <c r="J531" s="70"/>
      <c r="K531" s="70"/>
      <c r="L531" s="8" t="s">
        <v>398</v>
      </c>
      <c r="M531" s="41"/>
      <c r="N531" s="10"/>
      <c r="O531" s="8"/>
      <c r="P531" s="1"/>
    </row>
    <row r="532" spans="1:16" ht="28.5" customHeight="1">
      <c r="A532" s="10">
        <v>1</v>
      </c>
      <c r="B532" s="33" t="s">
        <v>1176</v>
      </c>
      <c r="C532" s="41" t="s">
        <v>398</v>
      </c>
      <c r="D532" s="123" t="s">
        <v>1647</v>
      </c>
      <c r="E532" s="123" t="s">
        <v>1648</v>
      </c>
      <c r="F532" s="123" t="s">
        <v>1649</v>
      </c>
      <c r="G532" s="123" t="s">
        <v>1570</v>
      </c>
      <c r="H532" s="8"/>
      <c r="I532" s="70"/>
      <c r="J532" s="70"/>
      <c r="K532" s="70"/>
      <c r="L532" s="8" t="s">
        <v>398</v>
      </c>
      <c r="M532" s="41"/>
      <c r="N532" s="10"/>
      <c r="O532" s="8"/>
      <c r="P532" s="1"/>
    </row>
    <row r="533" spans="1:16" ht="28.5" customHeight="1">
      <c r="A533" s="10">
        <v>1</v>
      </c>
      <c r="B533" s="33" t="s">
        <v>1176</v>
      </c>
      <c r="C533" s="41" t="s">
        <v>398</v>
      </c>
      <c r="D533" s="123" t="s">
        <v>1650</v>
      </c>
      <c r="E533" s="123" t="s">
        <v>1242</v>
      </c>
      <c r="F533" s="123" t="s">
        <v>1651</v>
      </c>
      <c r="G533" s="123" t="s">
        <v>66</v>
      </c>
      <c r="H533" s="8"/>
      <c r="I533" s="70"/>
      <c r="J533" s="70"/>
      <c r="K533" s="70"/>
      <c r="L533" s="8" t="s">
        <v>398</v>
      </c>
      <c r="M533" s="41"/>
      <c r="N533" s="10"/>
      <c r="O533" s="8"/>
      <c r="P533" s="1"/>
    </row>
    <row r="534" spans="1:16" ht="28.5" customHeight="1">
      <c r="A534" s="10">
        <v>1</v>
      </c>
      <c r="B534" s="33" t="s">
        <v>1176</v>
      </c>
      <c r="C534" s="41" t="s">
        <v>398</v>
      </c>
      <c r="D534" s="123" t="s">
        <v>1652</v>
      </c>
      <c r="E534" s="123" t="s">
        <v>841</v>
      </c>
      <c r="F534" s="123" t="s">
        <v>1653</v>
      </c>
      <c r="G534" s="123" t="s">
        <v>1570</v>
      </c>
      <c r="H534" s="8"/>
      <c r="I534" s="70"/>
      <c r="J534" s="70"/>
      <c r="K534" s="70"/>
      <c r="L534" s="8" t="s">
        <v>398</v>
      </c>
      <c r="M534" s="41"/>
      <c r="N534" s="10"/>
      <c r="O534" s="8"/>
      <c r="P534" s="1"/>
    </row>
    <row r="535" spans="1:16" ht="28.5" customHeight="1">
      <c r="A535" s="10">
        <v>1</v>
      </c>
      <c r="B535" s="33" t="s">
        <v>1176</v>
      </c>
      <c r="C535" s="41" t="s">
        <v>398</v>
      </c>
      <c r="D535" s="123" t="s">
        <v>1654</v>
      </c>
      <c r="E535" s="123" t="s">
        <v>226</v>
      </c>
      <c r="F535" s="123" t="s">
        <v>1655</v>
      </c>
      <c r="G535" s="123" t="s">
        <v>1570</v>
      </c>
      <c r="H535" s="8"/>
      <c r="I535" s="70"/>
      <c r="J535" s="70"/>
      <c r="K535" s="70"/>
      <c r="L535" s="8" t="s">
        <v>398</v>
      </c>
      <c r="M535" s="41"/>
      <c r="N535" s="10"/>
      <c r="O535" s="8"/>
      <c r="P535" s="1"/>
    </row>
    <row r="536" spans="1:16" ht="28.5" customHeight="1">
      <c r="A536" s="10">
        <v>1</v>
      </c>
      <c r="B536" s="33" t="s">
        <v>1176</v>
      </c>
      <c r="C536" s="41" t="s">
        <v>398</v>
      </c>
      <c r="D536" s="123" t="s">
        <v>1656</v>
      </c>
      <c r="E536" s="123" t="s">
        <v>145</v>
      </c>
      <c r="F536" s="123" t="s">
        <v>1657</v>
      </c>
      <c r="G536" s="123" t="s">
        <v>1582</v>
      </c>
      <c r="H536" s="8"/>
      <c r="I536" s="70"/>
      <c r="J536" s="70"/>
      <c r="K536" s="70"/>
      <c r="L536" s="8" t="s">
        <v>398</v>
      </c>
      <c r="M536" s="41"/>
      <c r="N536" s="10"/>
      <c r="O536" s="8"/>
      <c r="P536" s="1"/>
    </row>
    <row r="537" spans="1:16" ht="28.5" customHeight="1">
      <c r="A537" s="10">
        <v>1</v>
      </c>
      <c r="B537" s="33" t="s">
        <v>1176</v>
      </c>
      <c r="C537" s="41" t="s">
        <v>398</v>
      </c>
      <c r="D537" s="123" t="s">
        <v>1658</v>
      </c>
      <c r="E537" s="123" t="s">
        <v>213</v>
      </c>
      <c r="F537" s="123" t="s">
        <v>1659</v>
      </c>
      <c r="G537" s="123" t="s">
        <v>32</v>
      </c>
      <c r="H537" s="8"/>
      <c r="I537" s="70"/>
      <c r="J537" s="70"/>
      <c r="K537" s="70"/>
      <c r="L537" s="8" t="s">
        <v>398</v>
      </c>
      <c r="M537" s="41"/>
      <c r="N537" s="10"/>
      <c r="O537" s="8"/>
      <c r="P537" s="1"/>
    </row>
    <row r="538" spans="1:16" ht="28.5" customHeight="1">
      <c r="A538" s="10">
        <v>1</v>
      </c>
      <c r="B538" s="33" t="s">
        <v>1176</v>
      </c>
      <c r="C538" s="41" t="s">
        <v>398</v>
      </c>
      <c r="D538" s="123" t="s">
        <v>1660</v>
      </c>
      <c r="E538" s="123" t="s">
        <v>1661</v>
      </c>
      <c r="F538" s="123" t="s">
        <v>1662</v>
      </c>
      <c r="G538" s="123" t="s">
        <v>66</v>
      </c>
      <c r="H538" s="8"/>
      <c r="I538" s="70"/>
      <c r="J538" s="70"/>
      <c r="K538" s="70"/>
      <c r="L538" s="8" t="s">
        <v>398</v>
      </c>
      <c r="M538" s="41"/>
      <c r="N538" s="10"/>
      <c r="O538" s="8"/>
      <c r="P538" s="1"/>
    </row>
    <row r="539" spans="1:16" ht="28.5" customHeight="1">
      <c r="A539" s="10">
        <v>1</v>
      </c>
      <c r="B539" s="33" t="s">
        <v>1176</v>
      </c>
      <c r="C539" s="41" t="s">
        <v>398</v>
      </c>
      <c r="D539" s="123" t="s">
        <v>1663</v>
      </c>
      <c r="E539" s="123" t="s">
        <v>841</v>
      </c>
      <c r="F539" s="123" t="s">
        <v>1664</v>
      </c>
      <c r="G539" s="123" t="s">
        <v>1570</v>
      </c>
      <c r="H539" s="8"/>
      <c r="I539" s="70"/>
      <c r="J539" s="70"/>
      <c r="K539" s="70"/>
      <c r="L539" s="8" t="s">
        <v>398</v>
      </c>
      <c r="M539" s="41"/>
      <c r="N539" s="10"/>
      <c r="O539" s="8"/>
      <c r="P539" s="1"/>
    </row>
    <row r="540" spans="1:16" ht="28.5" customHeight="1">
      <c r="A540" s="10">
        <v>1</v>
      </c>
      <c r="B540" s="33" t="s">
        <v>1176</v>
      </c>
      <c r="C540" s="41" t="s">
        <v>398</v>
      </c>
      <c r="D540" s="123" t="s">
        <v>1665</v>
      </c>
      <c r="E540" s="123" t="s">
        <v>298</v>
      </c>
      <c r="F540" s="123" t="s">
        <v>1666</v>
      </c>
      <c r="G540" s="123" t="s">
        <v>1570</v>
      </c>
      <c r="H540" s="8"/>
      <c r="I540" s="70"/>
      <c r="J540" s="70"/>
      <c r="K540" s="70"/>
      <c r="L540" s="8" t="s">
        <v>398</v>
      </c>
      <c r="M540" s="41"/>
      <c r="N540" s="10"/>
      <c r="O540" s="8"/>
      <c r="P540" s="1"/>
    </row>
    <row r="541" spans="1:16" ht="28.5" customHeight="1">
      <c r="A541" s="10">
        <v>1</v>
      </c>
      <c r="B541" s="33" t="s">
        <v>1176</v>
      </c>
      <c r="C541" s="41" t="s">
        <v>398</v>
      </c>
      <c r="D541" s="123" t="s">
        <v>1667</v>
      </c>
      <c r="E541" s="123" t="s">
        <v>1134</v>
      </c>
      <c r="F541" s="123" t="s">
        <v>1668</v>
      </c>
      <c r="G541" s="123" t="s">
        <v>41</v>
      </c>
      <c r="H541" s="8"/>
      <c r="I541" s="70"/>
      <c r="J541" s="70"/>
      <c r="K541" s="70"/>
      <c r="L541" s="8" t="s">
        <v>398</v>
      </c>
      <c r="M541" s="41"/>
      <c r="N541" s="10"/>
      <c r="O541" s="8"/>
      <c r="P541" s="1"/>
    </row>
    <row r="542" spans="1:16" ht="28.5" customHeight="1">
      <c r="A542" s="10">
        <v>1</v>
      </c>
      <c r="B542" s="33" t="s">
        <v>1176</v>
      </c>
      <c r="C542" s="41" t="s">
        <v>398</v>
      </c>
      <c r="D542" s="123" t="s">
        <v>1669</v>
      </c>
      <c r="E542" s="123" t="s">
        <v>1013</v>
      </c>
      <c r="F542" s="123" t="s">
        <v>1670</v>
      </c>
      <c r="G542" s="123" t="s">
        <v>66</v>
      </c>
      <c r="H542" s="8"/>
      <c r="I542" s="70"/>
      <c r="J542" s="70"/>
      <c r="K542" s="70"/>
      <c r="L542" s="8" t="s">
        <v>398</v>
      </c>
      <c r="M542" s="41"/>
      <c r="N542" s="10"/>
      <c r="O542" s="8"/>
      <c r="P542" s="1"/>
    </row>
    <row r="543" spans="1:16" ht="28.5" customHeight="1">
      <c r="A543" s="10">
        <v>1</v>
      </c>
      <c r="B543" s="33" t="s">
        <v>1176</v>
      </c>
      <c r="C543" s="41" t="s">
        <v>398</v>
      </c>
      <c r="D543" s="123" t="s">
        <v>1671</v>
      </c>
      <c r="E543" s="123" t="s">
        <v>1672</v>
      </c>
      <c r="F543" s="123" t="s">
        <v>1673</v>
      </c>
      <c r="G543" s="123" t="s">
        <v>66</v>
      </c>
      <c r="H543" s="8"/>
      <c r="I543" s="70"/>
      <c r="J543" s="70"/>
      <c r="K543" s="70"/>
      <c r="L543" s="8" t="s">
        <v>398</v>
      </c>
      <c r="M543" s="41"/>
      <c r="N543" s="10"/>
      <c r="O543" s="8"/>
      <c r="P543" s="1"/>
    </row>
    <row r="544" spans="1:16" ht="28.5" customHeight="1">
      <c r="A544" s="10">
        <v>1</v>
      </c>
      <c r="B544" s="33" t="s">
        <v>1176</v>
      </c>
      <c r="C544" s="41" t="s">
        <v>398</v>
      </c>
      <c r="D544" s="123" t="s">
        <v>1674</v>
      </c>
      <c r="E544" s="123" t="s">
        <v>290</v>
      </c>
      <c r="F544" s="123" t="s">
        <v>1675</v>
      </c>
      <c r="G544" s="123" t="s">
        <v>1570</v>
      </c>
      <c r="H544" s="8"/>
      <c r="I544" s="70"/>
      <c r="J544" s="70"/>
      <c r="K544" s="70"/>
      <c r="L544" s="8" t="s">
        <v>398</v>
      </c>
      <c r="M544" s="41"/>
      <c r="N544" s="10"/>
      <c r="O544" s="8"/>
      <c r="P544" s="1"/>
    </row>
    <row r="545" spans="1:16" ht="28.5" customHeight="1">
      <c r="A545" s="10">
        <v>1</v>
      </c>
      <c r="B545" s="33" t="s">
        <v>1176</v>
      </c>
      <c r="C545" s="41" t="s">
        <v>398</v>
      </c>
      <c r="D545" s="123" t="s">
        <v>1676</v>
      </c>
      <c r="E545" s="123" t="s">
        <v>1677</v>
      </c>
      <c r="F545" s="123" t="s">
        <v>1678</v>
      </c>
      <c r="G545" s="123" t="s">
        <v>66</v>
      </c>
      <c r="H545" s="8"/>
      <c r="I545" s="70"/>
      <c r="J545" s="70"/>
      <c r="K545" s="70"/>
      <c r="L545" s="8" t="s">
        <v>398</v>
      </c>
      <c r="M545" s="41"/>
      <c r="N545" s="10"/>
      <c r="O545" s="8"/>
      <c r="P545" s="1"/>
    </row>
    <row r="546" spans="1:16" ht="28.5" customHeight="1">
      <c r="A546" s="10">
        <v>1</v>
      </c>
      <c r="B546" s="33" t="s">
        <v>1176</v>
      </c>
      <c r="C546" s="41" t="s">
        <v>398</v>
      </c>
      <c r="D546" s="123" t="s">
        <v>1679</v>
      </c>
      <c r="E546" s="123" t="s">
        <v>1661</v>
      </c>
      <c r="F546" s="123" t="s">
        <v>1680</v>
      </c>
      <c r="G546" s="123" t="s">
        <v>66</v>
      </c>
      <c r="H546" s="8"/>
      <c r="I546" s="70"/>
      <c r="J546" s="70"/>
      <c r="K546" s="70"/>
      <c r="L546" s="8" t="s">
        <v>398</v>
      </c>
      <c r="M546" s="41"/>
      <c r="N546" s="10"/>
      <c r="O546" s="8"/>
      <c r="P546" s="1"/>
    </row>
    <row r="547" spans="1:16" ht="28.5" customHeight="1">
      <c r="A547" s="10">
        <v>1</v>
      </c>
      <c r="B547" s="33" t="s">
        <v>1176</v>
      </c>
      <c r="C547" s="41" t="s">
        <v>398</v>
      </c>
      <c r="D547" s="123" t="s">
        <v>1681</v>
      </c>
      <c r="E547" s="123" t="s">
        <v>186</v>
      </c>
      <c r="F547" s="123" t="s">
        <v>1682</v>
      </c>
      <c r="G547" s="123" t="s">
        <v>66</v>
      </c>
      <c r="H547" s="8"/>
      <c r="I547" s="70"/>
      <c r="J547" s="70"/>
      <c r="K547" s="70"/>
      <c r="L547" s="8" t="s">
        <v>398</v>
      </c>
      <c r="M547" s="41"/>
      <c r="N547" s="10"/>
      <c r="O547" s="8"/>
      <c r="P547" s="1"/>
    </row>
    <row r="548" spans="1:16" ht="28.5" customHeight="1">
      <c r="A548" s="10">
        <v>1</v>
      </c>
      <c r="B548" s="33" t="s">
        <v>1176</v>
      </c>
      <c r="C548" s="41" t="s">
        <v>398</v>
      </c>
      <c r="D548" s="123" t="s">
        <v>1683</v>
      </c>
      <c r="E548" s="123" t="s">
        <v>1559</v>
      </c>
      <c r="F548" s="123" t="s">
        <v>1684</v>
      </c>
      <c r="G548" s="123" t="s">
        <v>32</v>
      </c>
      <c r="H548" s="8"/>
      <c r="I548" s="70"/>
      <c r="J548" s="70"/>
      <c r="K548" s="70"/>
      <c r="L548" s="8" t="s">
        <v>398</v>
      </c>
      <c r="M548" s="41"/>
      <c r="N548" s="10"/>
      <c r="O548" s="8"/>
      <c r="P548" s="1"/>
    </row>
    <row r="549" spans="1:16" ht="28.5" customHeight="1">
      <c r="A549" s="10">
        <v>1</v>
      </c>
      <c r="B549" s="33" t="s">
        <v>1176</v>
      </c>
      <c r="C549" s="41" t="s">
        <v>398</v>
      </c>
      <c r="D549" s="123" t="s">
        <v>1685</v>
      </c>
      <c r="E549" s="123" t="s">
        <v>1637</v>
      </c>
      <c r="F549" s="123" t="s">
        <v>1686</v>
      </c>
      <c r="G549" s="123" t="s">
        <v>66</v>
      </c>
      <c r="H549" s="8"/>
      <c r="I549" s="70"/>
      <c r="J549" s="70"/>
      <c r="K549" s="70"/>
      <c r="L549" s="8" t="s">
        <v>398</v>
      </c>
      <c r="M549" s="41"/>
      <c r="N549" s="10"/>
      <c r="O549" s="8"/>
      <c r="P549" s="1"/>
    </row>
    <row r="550" spans="1:16" ht="28.5" customHeight="1">
      <c r="A550" s="10">
        <v>1</v>
      </c>
      <c r="B550" s="33" t="s">
        <v>1176</v>
      </c>
      <c r="C550" s="41" t="s">
        <v>398</v>
      </c>
      <c r="D550" s="123" t="s">
        <v>1687</v>
      </c>
      <c r="E550" s="123" t="s">
        <v>315</v>
      </c>
      <c r="F550" s="123" t="s">
        <v>1688</v>
      </c>
      <c r="G550" s="123" t="s">
        <v>66</v>
      </c>
      <c r="H550" s="8"/>
      <c r="I550" s="70"/>
      <c r="J550" s="70"/>
      <c r="K550" s="70"/>
      <c r="L550" s="8" t="s">
        <v>398</v>
      </c>
      <c r="M550" s="41"/>
      <c r="N550" s="10"/>
      <c r="O550" s="8"/>
      <c r="P550" s="1"/>
    </row>
    <row r="551" spans="1:16" ht="28.5" customHeight="1">
      <c r="A551" s="10">
        <v>1</v>
      </c>
      <c r="B551" s="33" t="s">
        <v>1176</v>
      </c>
      <c r="C551" s="41" t="s">
        <v>398</v>
      </c>
      <c r="D551" s="123" t="s">
        <v>1689</v>
      </c>
      <c r="E551" s="123" t="s">
        <v>1443</v>
      </c>
      <c r="F551" s="123" t="s">
        <v>1690</v>
      </c>
      <c r="G551" s="123" t="s">
        <v>32</v>
      </c>
      <c r="H551" s="8"/>
      <c r="I551" s="70"/>
      <c r="J551" s="70"/>
      <c r="K551" s="70"/>
      <c r="L551" s="8" t="s">
        <v>398</v>
      </c>
      <c r="M551" s="41"/>
      <c r="N551" s="10"/>
      <c r="O551" s="8"/>
      <c r="P551" s="1"/>
    </row>
    <row r="552" spans="1:16" ht="28.5" customHeight="1">
      <c r="A552" s="10">
        <v>1</v>
      </c>
      <c r="B552" s="33" t="s">
        <v>1176</v>
      </c>
      <c r="C552" s="41" t="s">
        <v>398</v>
      </c>
      <c r="D552" s="123" t="s">
        <v>1691</v>
      </c>
      <c r="E552" s="123" t="s">
        <v>1692</v>
      </c>
      <c r="F552" s="123" t="s">
        <v>1693</v>
      </c>
      <c r="G552" s="123" t="s">
        <v>1582</v>
      </c>
      <c r="H552" s="8"/>
      <c r="I552" s="70"/>
      <c r="J552" s="70"/>
      <c r="K552" s="70"/>
      <c r="L552" s="8" t="s">
        <v>398</v>
      </c>
      <c r="M552" s="41"/>
      <c r="N552" s="10"/>
      <c r="O552" s="8"/>
      <c r="P552" s="1"/>
    </row>
    <row r="553" spans="1:16" ht="28.5" customHeight="1">
      <c r="A553" s="10">
        <v>1</v>
      </c>
      <c r="B553" s="33" t="s">
        <v>1176</v>
      </c>
      <c r="C553" s="41" t="s">
        <v>398</v>
      </c>
      <c r="D553" s="123" t="s">
        <v>1694</v>
      </c>
      <c r="E553" s="123" t="s">
        <v>1695</v>
      </c>
      <c r="F553" s="123" t="s">
        <v>1696</v>
      </c>
      <c r="G553" s="123" t="s">
        <v>41</v>
      </c>
      <c r="H553" s="8"/>
      <c r="I553" s="70"/>
      <c r="J553" s="70"/>
      <c r="K553" s="70"/>
      <c r="L553" s="8" t="s">
        <v>398</v>
      </c>
      <c r="M553" s="41"/>
      <c r="N553" s="10"/>
      <c r="O553" s="8"/>
      <c r="P553" s="1"/>
    </row>
    <row r="554" spans="1:16" ht="28.5" customHeight="1">
      <c r="A554" s="10">
        <v>1</v>
      </c>
      <c r="B554" s="33" t="s">
        <v>1176</v>
      </c>
      <c r="C554" s="41" t="s">
        <v>398</v>
      </c>
      <c r="D554" s="123" t="s">
        <v>1697</v>
      </c>
      <c r="E554" s="123" t="s">
        <v>1698</v>
      </c>
      <c r="F554" s="123" t="s">
        <v>1699</v>
      </c>
      <c r="G554" s="123" t="s">
        <v>1582</v>
      </c>
      <c r="H554" s="8"/>
      <c r="I554" s="70"/>
      <c r="J554" s="70"/>
      <c r="K554" s="70"/>
      <c r="L554" s="8" t="s">
        <v>398</v>
      </c>
      <c r="M554" s="41"/>
      <c r="N554" s="10"/>
      <c r="O554" s="8"/>
      <c r="P554" s="1"/>
    </row>
    <row r="555" spans="1:16" ht="28.5" customHeight="1">
      <c r="A555" s="10">
        <v>1</v>
      </c>
      <c r="B555" s="33" t="s">
        <v>1176</v>
      </c>
      <c r="C555" s="41" t="s">
        <v>398</v>
      </c>
      <c r="D555" s="123" t="s">
        <v>1700</v>
      </c>
      <c r="E555" s="123" t="s">
        <v>1661</v>
      </c>
      <c r="F555" s="123" t="s">
        <v>1701</v>
      </c>
      <c r="G555" s="123" t="s">
        <v>66</v>
      </c>
      <c r="H555" s="8"/>
      <c r="I555" s="70"/>
      <c r="J555" s="70"/>
      <c r="K555" s="70"/>
      <c r="L555" s="8" t="s">
        <v>398</v>
      </c>
      <c r="M555" s="41"/>
      <c r="N555" s="10"/>
      <c r="O555" s="8"/>
      <c r="P555" s="1"/>
    </row>
    <row r="556" spans="1:16" ht="28.5" customHeight="1">
      <c r="A556" s="10">
        <v>1</v>
      </c>
      <c r="B556" s="33" t="s">
        <v>1176</v>
      </c>
      <c r="C556" s="41" t="s">
        <v>398</v>
      </c>
      <c r="D556" s="123" t="s">
        <v>1702</v>
      </c>
      <c r="E556" s="123" t="s">
        <v>363</v>
      </c>
      <c r="F556" s="123" t="s">
        <v>1703</v>
      </c>
      <c r="G556" s="123" t="s">
        <v>66</v>
      </c>
      <c r="H556" s="8"/>
      <c r="I556" s="70"/>
      <c r="J556" s="70"/>
      <c r="K556" s="70"/>
      <c r="L556" s="8" t="s">
        <v>398</v>
      </c>
      <c r="M556" s="41"/>
      <c r="N556" s="10"/>
      <c r="O556" s="8"/>
      <c r="P556" s="1"/>
    </row>
    <row r="557" spans="1:16" ht="28.5" customHeight="1">
      <c r="A557" s="10">
        <v>1</v>
      </c>
      <c r="B557" s="33" t="s">
        <v>1176</v>
      </c>
      <c r="C557" s="41" t="s">
        <v>398</v>
      </c>
      <c r="D557" s="123" t="s">
        <v>1704</v>
      </c>
      <c r="E557" s="123" t="s">
        <v>298</v>
      </c>
      <c r="F557" s="123" t="s">
        <v>1705</v>
      </c>
      <c r="G557" s="123" t="s">
        <v>1570</v>
      </c>
      <c r="H557" s="8"/>
      <c r="I557" s="70"/>
      <c r="J557" s="70"/>
      <c r="K557" s="70"/>
      <c r="L557" s="8" t="s">
        <v>398</v>
      </c>
      <c r="M557" s="41"/>
      <c r="N557" s="10"/>
      <c r="O557" s="8"/>
      <c r="P557" s="1"/>
    </row>
    <row r="558" spans="1:16" ht="28.5" customHeight="1">
      <c r="A558" s="10">
        <v>1</v>
      </c>
      <c r="B558" s="33" t="s">
        <v>1176</v>
      </c>
      <c r="C558" s="41" t="s">
        <v>398</v>
      </c>
      <c r="D558" s="123" t="s">
        <v>1706</v>
      </c>
      <c r="E558" s="123" t="s">
        <v>1707</v>
      </c>
      <c r="F558" s="123" t="s">
        <v>1708</v>
      </c>
      <c r="G558" s="123" t="s">
        <v>1570</v>
      </c>
      <c r="H558" s="8"/>
      <c r="I558" s="70"/>
      <c r="J558" s="70"/>
      <c r="K558" s="70"/>
      <c r="L558" s="8" t="s">
        <v>398</v>
      </c>
      <c r="M558" s="41"/>
      <c r="N558" s="10"/>
      <c r="O558" s="8"/>
      <c r="P558" s="1"/>
    </row>
    <row r="559" spans="1:16" ht="28.5" customHeight="1">
      <c r="A559" s="10">
        <v>1</v>
      </c>
      <c r="B559" s="33" t="s">
        <v>1176</v>
      </c>
      <c r="C559" s="41" t="s">
        <v>398</v>
      </c>
      <c r="D559" s="123" t="s">
        <v>1709</v>
      </c>
      <c r="E559" s="123" t="s">
        <v>1710</v>
      </c>
      <c r="F559" s="123" t="s">
        <v>1711</v>
      </c>
      <c r="G559" s="123" t="s">
        <v>1603</v>
      </c>
      <c r="H559" s="8"/>
      <c r="I559" s="70"/>
      <c r="J559" s="70"/>
      <c r="K559" s="70"/>
      <c r="L559" s="8" t="s">
        <v>398</v>
      </c>
      <c r="M559" s="41"/>
      <c r="N559" s="10"/>
      <c r="O559" s="8"/>
      <c r="P559" s="1"/>
    </row>
    <row r="560" spans="1:16" ht="28.5" customHeight="1">
      <c r="A560" s="10">
        <v>1</v>
      </c>
      <c r="B560" s="33" t="s">
        <v>1176</v>
      </c>
      <c r="C560" s="41" t="s">
        <v>398</v>
      </c>
      <c r="D560" s="123" t="s">
        <v>1712</v>
      </c>
      <c r="E560" s="123" t="s">
        <v>89</v>
      </c>
      <c r="F560" s="123" t="s">
        <v>1713</v>
      </c>
      <c r="G560" s="123" t="s">
        <v>1570</v>
      </c>
      <c r="H560" s="8"/>
      <c r="I560" s="70"/>
      <c r="J560" s="70"/>
      <c r="K560" s="70"/>
      <c r="L560" s="8" t="s">
        <v>398</v>
      </c>
      <c r="M560" s="41"/>
      <c r="N560" s="10"/>
      <c r="O560" s="8"/>
      <c r="P560" s="1"/>
    </row>
    <row r="561" spans="1:16" ht="28.5" customHeight="1">
      <c r="A561" s="10">
        <v>1</v>
      </c>
      <c r="B561" s="33" t="s">
        <v>1176</v>
      </c>
      <c r="C561" s="41" t="s">
        <v>398</v>
      </c>
      <c r="D561" s="123" t="s">
        <v>1714</v>
      </c>
      <c r="E561" s="123" t="s">
        <v>340</v>
      </c>
      <c r="F561" s="123" t="s">
        <v>1715</v>
      </c>
      <c r="G561" s="123" t="s">
        <v>66</v>
      </c>
      <c r="H561" s="8"/>
      <c r="I561" s="70"/>
      <c r="J561" s="70"/>
      <c r="K561" s="70"/>
      <c r="L561" s="8" t="s">
        <v>398</v>
      </c>
      <c r="M561" s="41"/>
      <c r="N561" s="10"/>
      <c r="O561" s="8"/>
      <c r="P561" s="1"/>
    </row>
    <row r="562" spans="1:16" ht="28.5" customHeight="1">
      <c r="A562" s="10">
        <v>1</v>
      </c>
      <c r="B562" s="33" t="s">
        <v>1176</v>
      </c>
      <c r="C562" s="41" t="s">
        <v>398</v>
      </c>
      <c r="D562" s="123" t="s">
        <v>1716</v>
      </c>
      <c r="E562" s="123" t="s">
        <v>39</v>
      </c>
      <c r="F562" s="123" t="s">
        <v>1717</v>
      </c>
      <c r="G562" s="123" t="s">
        <v>41</v>
      </c>
      <c r="H562" s="8"/>
      <c r="I562" s="70"/>
      <c r="J562" s="70"/>
      <c r="K562" s="70"/>
      <c r="L562" s="8" t="s">
        <v>398</v>
      </c>
      <c r="M562" s="41"/>
      <c r="N562" s="10"/>
      <c r="O562" s="8"/>
      <c r="P562" s="1"/>
    </row>
    <row r="563" spans="1:16" ht="28.5" customHeight="1">
      <c r="A563" s="10">
        <v>1</v>
      </c>
      <c r="B563" s="33" t="s">
        <v>1176</v>
      </c>
      <c r="C563" s="41" t="s">
        <v>398</v>
      </c>
      <c r="D563" s="123" t="s">
        <v>1718</v>
      </c>
      <c r="E563" s="123" t="s">
        <v>315</v>
      </c>
      <c r="F563" s="123" t="s">
        <v>1719</v>
      </c>
      <c r="G563" s="123" t="s">
        <v>66</v>
      </c>
      <c r="H563" s="8"/>
      <c r="I563" s="70"/>
      <c r="J563" s="70"/>
      <c r="K563" s="70"/>
      <c r="L563" s="8" t="s">
        <v>398</v>
      </c>
      <c r="M563" s="41"/>
      <c r="N563" s="10"/>
      <c r="O563" s="8"/>
      <c r="P563" s="1"/>
    </row>
    <row r="564" spans="1:16" ht="28.5" customHeight="1">
      <c r="A564" s="10">
        <v>1</v>
      </c>
      <c r="B564" s="33" t="s">
        <v>1176</v>
      </c>
      <c r="C564" s="41" t="s">
        <v>398</v>
      </c>
      <c r="D564" s="123" t="s">
        <v>1720</v>
      </c>
      <c r="E564" s="123" t="s">
        <v>1595</v>
      </c>
      <c r="F564" s="123" t="s">
        <v>1721</v>
      </c>
      <c r="G564" s="123" t="s">
        <v>66</v>
      </c>
      <c r="H564" s="8"/>
      <c r="I564" s="70"/>
      <c r="J564" s="70"/>
      <c r="K564" s="70"/>
      <c r="L564" s="8" t="s">
        <v>398</v>
      </c>
      <c r="M564" s="41"/>
      <c r="N564" s="10"/>
      <c r="O564" s="8"/>
      <c r="P564" s="1"/>
    </row>
    <row r="565" spans="1:16" ht="28.5" customHeight="1">
      <c r="A565" s="10">
        <v>1</v>
      </c>
      <c r="B565" s="33" t="s">
        <v>1176</v>
      </c>
      <c r="C565" s="41" t="s">
        <v>398</v>
      </c>
      <c r="D565" s="123" t="s">
        <v>1722</v>
      </c>
      <c r="E565" s="123" t="s">
        <v>39</v>
      </c>
      <c r="F565" s="123" t="s">
        <v>1723</v>
      </c>
      <c r="G565" s="123" t="s">
        <v>41</v>
      </c>
      <c r="H565" s="8"/>
      <c r="I565" s="70"/>
      <c r="J565" s="70"/>
      <c r="K565" s="70"/>
      <c r="L565" s="8" t="s">
        <v>398</v>
      </c>
      <c r="M565" s="41"/>
      <c r="N565" s="10"/>
      <c r="O565" s="8"/>
      <c r="P565" s="1"/>
    </row>
    <row r="566" spans="1:16" ht="28.5" customHeight="1">
      <c r="A566" s="10">
        <v>1</v>
      </c>
      <c r="B566" s="33" t="s">
        <v>1176</v>
      </c>
      <c r="C566" s="41" t="s">
        <v>398</v>
      </c>
      <c r="D566" s="123" t="s">
        <v>1724</v>
      </c>
      <c r="E566" s="123" t="s">
        <v>1725</v>
      </c>
      <c r="F566" s="123" t="s">
        <v>1726</v>
      </c>
      <c r="G566" s="123" t="s">
        <v>66</v>
      </c>
      <c r="H566" s="8"/>
      <c r="I566" s="70"/>
      <c r="J566" s="70"/>
      <c r="K566" s="70"/>
      <c r="L566" s="8" t="s">
        <v>398</v>
      </c>
      <c r="M566" s="41"/>
      <c r="N566" s="10"/>
      <c r="O566" s="8"/>
      <c r="P566" s="1"/>
    </row>
    <row r="567" spans="1:16" ht="28.5" customHeight="1">
      <c r="A567" s="10">
        <v>1</v>
      </c>
      <c r="B567" s="33" t="s">
        <v>1176</v>
      </c>
      <c r="C567" s="41" t="s">
        <v>398</v>
      </c>
      <c r="D567" s="123" t="s">
        <v>1727</v>
      </c>
      <c r="E567" s="123" t="s">
        <v>495</v>
      </c>
      <c r="F567" s="123" t="s">
        <v>1728</v>
      </c>
      <c r="G567" s="123" t="s">
        <v>1603</v>
      </c>
      <c r="H567" s="8"/>
      <c r="I567" s="70"/>
      <c r="J567" s="70"/>
      <c r="K567" s="70"/>
      <c r="L567" s="8" t="s">
        <v>398</v>
      </c>
      <c r="M567" s="41"/>
      <c r="N567" s="10"/>
      <c r="O567" s="8"/>
      <c r="P567" s="1"/>
    </row>
    <row r="568" spans="1:16" ht="28.5" customHeight="1">
      <c r="A568" s="10">
        <v>1</v>
      </c>
      <c r="B568" s="33" t="s">
        <v>1176</v>
      </c>
      <c r="C568" s="41" t="s">
        <v>398</v>
      </c>
      <c r="D568" s="123" t="s">
        <v>1729</v>
      </c>
      <c r="E568" s="123" t="s">
        <v>1595</v>
      </c>
      <c r="F568" s="123" t="s">
        <v>1730</v>
      </c>
      <c r="G568" s="123" t="s">
        <v>66</v>
      </c>
      <c r="H568" s="8"/>
      <c r="I568" s="70"/>
      <c r="J568" s="70"/>
      <c r="K568" s="70"/>
      <c r="L568" s="8" t="s">
        <v>398</v>
      </c>
      <c r="M568" s="41"/>
      <c r="N568" s="10"/>
      <c r="O568" s="8"/>
      <c r="P568" s="1"/>
    </row>
    <row r="569" spans="1:16" ht="28.5" customHeight="1">
      <c r="A569" s="10">
        <v>1</v>
      </c>
      <c r="B569" s="33" t="s">
        <v>1176</v>
      </c>
      <c r="C569" s="41" t="s">
        <v>398</v>
      </c>
      <c r="D569" s="123" t="s">
        <v>1731</v>
      </c>
      <c r="E569" s="123" t="s">
        <v>1732</v>
      </c>
      <c r="F569" s="123" t="s">
        <v>1733</v>
      </c>
      <c r="G569" s="123" t="s">
        <v>1603</v>
      </c>
      <c r="H569" s="8"/>
      <c r="I569" s="70"/>
      <c r="J569" s="70"/>
      <c r="K569" s="70"/>
      <c r="L569" s="8" t="s">
        <v>398</v>
      </c>
      <c r="M569" s="41"/>
      <c r="N569" s="10"/>
      <c r="O569" s="8"/>
      <c r="P569" s="1"/>
    </row>
    <row r="570" spans="1:16" ht="28.5" customHeight="1">
      <c r="A570" s="10">
        <v>1</v>
      </c>
      <c r="B570" s="33" t="s">
        <v>1176</v>
      </c>
      <c r="C570" s="41" t="s">
        <v>398</v>
      </c>
      <c r="D570" s="123" t="s">
        <v>1734</v>
      </c>
      <c r="E570" s="123" t="s">
        <v>1595</v>
      </c>
      <c r="F570" s="123" t="s">
        <v>1735</v>
      </c>
      <c r="G570" s="123" t="s">
        <v>66</v>
      </c>
      <c r="H570" s="8"/>
      <c r="I570" s="70"/>
      <c r="J570" s="70"/>
      <c r="K570" s="70"/>
      <c r="L570" s="8" t="s">
        <v>398</v>
      </c>
      <c r="M570" s="41"/>
      <c r="N570" s="10"/>
      <c r="O570" s="8"/>
      <c r="P570" s="1"/>
    </row>
    <row r="571" spans="1:16" ht="28.5" customHeight="1">
      <c r="A571" s="10">
        <v>1</v>
      </c>
      <c r="B571" s="33" t="s">
        <v>1176</v>
      </c>
      <c r="C571" s="41" t="s">
        <v>398</v>
      </c>
      <c r="D571" s="123" t="s">
        <v>1736</v>
      </c>
      <c r="E571" s="123" t="s">
        <v>39</v>
      </c>
      <c r="F571" s="123" t="s">
        <v>1737</v>
      </c>
      <c r="G571" s="123" t="s">
        <v>41</v>
      </c>
      <c r="H571" s="8"/>
      <c r="I571" s="70"/>
      <c r="J571" s="70"/>
      <c r="K571" s="70"/>
      <c r="L571" s="8" t="s">
        <v>398</v>
      </c>
      <c r="M571" s="41"/>
      <c r="N571" s="10"/>
      <c r="O571" s="8"/>
      <c r="P571" s="1"/>
    </row>
    <row r="572" spans="1:16" ht="28.5" customHeight="1">
      <c r="A572" s="10">
        <v>1</v>
      </c>
      <c r="B572" s="33" t="s">
        <v>1176</v>
      </c>
      <c r="C572" s="41" t="s">
        <v>398</v>
      </c>
      <c r="D572" s="123" t="s">
        <v>1738</v>
      </c>
      <c r="E572" s="123" t="s">
        <v>363</v>
      </c>
      <c r="F572" s="123" t="s">
        <v>1739</v>
      </c>
      <c r="G572" s="123" t="s">
        <v>66</v>
      </c>
      <c r="H572" s="8"/>
      <c r="I572" s="70"/>
      <c r="J572" s="70"/>
      <c r="K572" s="70"/>
      <c r="L572" s="8" t="s">
        <v>398</v>
      </c>
      <c r="M572" s="41"/>
      <c r="N572" s="10"/>
      <c r="O572" s="8"/>
      <c r="P572" s="1"/>
    </row>
    <row r="573" spans="1:16" ht="28.5" customHeight="1">
      <c r="A573" s="10">
        <v>1</v>
      </c>
      <c r="B573" s="33" t="s">
        <v>1176</v>
      </c>
      <c r="C573" s="41" t="s">
        <v>398</v>
      </c>
      <c r="D573" s="123" t="s">
        <v>1740</v>
      </c>
      <c r="E573" s="123" t="s">
        <v>1741</v>
      </c>
      <c r="F573" s="123" t="s">
        <v>1742</v>
      </c>
      <c r="G573" s="123" t="s">
        <v>1570</v>
      </c>
      <c r="H573" s="8"/>
      <c r="I573" s="70"/>
      <c r="J573" s="70"/>
      <c r="K573" s="70"/>
      <c r="L573" s="8" t="s">
        <v>398</v>
      </c>
      <c r="M573" s="41"/>
      <c r="N573" s="10"/>
      <c r="O573" s="8"/>
      <c r="P573" s="1"/>
    </row>
    <row r="574" spans="1:16" ht="28.5" customHeight="1">
      <c r="A574" s="10">
        <v>1</v>
      </c>
      <c r="B574" s="33" t="s">
        <v>1176</v>
      </c>
      <c r="C574" s="41" t="s">
        <v>398</v>
      </c>
      <c r="D574" s="123" t="s">
        <v>1743</v>
      </c>
      <c r="E574" s="123" t="s">
        <v>1744</v>
      </c>
      <c r="F574" s="123" t="s">
        <v>1745</v>
      </c>
      <c r="G574" s="123" t="s">
        <v>1746</v>
      </c>
      <c r="H574" s="8"/>
      <c r="I574" s="70"/>
      <c r="J574" s="70"/>
      <c r="K574" s="70"/>
      <c r="L574" s="8" t="s">
        <v>398</v>
      </c>
      <c r="M574" s="41"/>
      <c r="N574" s="10"/>
      <c r="O574" s="8"/>
      <c r="P574" s="1"/>
    </row>
    <row r="575" spans="1:16" ht="28.5" customHeight="1">
      <c r="A575" s="10">
        <v>1</v>
      </c>
      <c r="B575" s="33" t="s">
        <v>1176</v>
      </c>
      <c r="C575" s="41" t="s">
        <v>398</v>
      </c>
      <c r="D575" s="123" t="s">
        <v>1747</v>
      </c>
      <c r="E575" s="123" t="s">
        <v>1637</v>
      </c>
      <c r="F575" s="123" t="s">
        <v>1748</v>
      </c>
      <c r="G575" s="123" t="s">
        <v>66</v>
      </c>
      <c r="H575" s="8"/>
      <c r="I575" s="70"/>
      <c r="J575" s="70"/>
      <c r="K575" s="70"/>
      <c r="L575" s="8" t="s">
        <v>398</v>
      </c>
      <c r="M575" s="41"/>
      <c r="N575" s="10"/>
      <c r="O575" s="8"/>
      <c r="P575" s="1"/>
    </row>
    <row r="576" spans="1:16" ht="28.5" customHeight="1">
      <c r="A576" s="10">
        <v>1</v>
      </c>
      <c r="B576" s="33" t="s">
        <v>1176</v>
      </c>
      <c r="C576" s="41" t="s">
        <v>398</v>
      </c>
      <c r="D576" s="123" t="s">
        <v>1749</v>
      </c>
      <c r="E576" s="123" t="s">
        <v>1637</v>
      </c>
      <c r="F576" s="123" t="s">
        <v>1750</v>
      </c>
      <c r="G576" s="123" t="s">
        <v>66</v>
      </c>
      <c r="H576" s="8"/>
      <c r="I576" s="70"/>
      <c r="J576" s="70"/>
      <c r="K576" s="70"/>
      <c r="L576" s="8" t="s">
        <v>398</v>
      </c>
      <c r="M576" s="41"/>
      <c r="N576" s="10"/>
      <c r="O576" s="8"/>
      <c r="P576" s="1"/>
    </row>
    <row r="577" spans="1:16" ht="28.5" customHeight="1">
      <c r="A577" s="10">
        <v>1</v>
      </c>
      <c r="B577" s="33" t="s">
        <v>1176</v>
      </c>
      <c r="C577" s="41" t="s">
        <v>398</v>
      </c>
      <c r="D577" s="123" t="s">
        <v>1751</v>
      </c>
      <c r="E577" s="123" t="s">
        <v>1752</v>
      </c>
      <c r="F577" s="123" t="s">
        <v>1753</v>
      </c>
      <c r="G577" s="123" t="s">
        <v>1582</v>
      </c>
      <c r="H577" s="8"/>
      <c r="I577" s="70"/>
      <c r="J577" s="70"/>
      <c r="K577" s="70"/>
      <c r="L577" s="8" t="s">
        <v>398</v>
      </c>
      <c r="M577" s="41"/>
      <c r="N577" s="10"/>
      <c r="O577" s="8"/>
      <c r="P577" s="1"/>
    </row>
    <row r="578" spans="1:16" ht="28.5" customHeight="1">
      <c r="A578" s="10">
        <v>1</v>
      </c>
      <c r="B578" s="33" t="s">
        <v>1176</v>
      </c>
      <c r="C578" s="41" t="s">
        <v>398</v>
      </c>
      <c r="D578" s="123" t="s">
        <v>1754</v>
      </c>
      <c r="E578" s="123" t="s">
        <v>1755</v>
      </c>
      <c r="F578" s="123" t="s">
        <v>1756</v>
      </c>
      <c r="G578" s="123" t="s">
        <v>66</v>
      </c>
      <c r="H578" s="8"/>
      <c r="I578" s="70"/>
      <c r="J578" s="70"/>
      <c r="K578" s="70"/>
      <c r="L578" s="8" t="s">
        <v>398</v>
      </c>
      <c r="M578" s="41"/>
      <c r="N578" s="10"/>
      <c r="O578" s="8"/>
      <c r="P578" s="1"/>
    </row>
    <row r="579" spans="1:16" ht="28.5" customHeight="1">
      <c r="A579" s="10">
        <v>1</v>
      </c>
      <c r="B579" s="33" t="s">
        <v>1176</v>
      </c>
      <c r="C579" s="41" t="s">
        <v>398</v>
      </c>
      <c r="D579" s="123" t="s">
        <v>1757</v>
      </c>
      <c r="E579" s="123" t="s">
        <v>407</v>
      </c>
      <c r="F579" s="123" t="s">
        <v>1758</v>
      </c>
      <c r="G579" s="123" t="s">
        <v>66</v>
      </c>
      <c r="H579" s="8"/>
      <c r="I579" s="70"/>
      <c r="J579" s="70"/>
      <c r="K579" s="70"/>
      <c r="L579" s="8" t="s">
        <v>398</v>
      </c>
      <c r="M579" s="41"/>
      <c r="N579" s="10"/>
      <c r="O579" s="8"/>
      <c r="P579" s="1"/>
    </row>
    <row r="580" spans="1:16" ht="28.5" customHeight="1">
      <c r="A580" s="10">
        <v>1</v>
      </c>
      <c r="B580" s="33" t="s">
        <v>1176</v>
      </c>
      <c r="C580" s="41" t="s">
        <v>398</v>
      </c>
      <c r="D580" s="123" t="s">
        <v>1759</v>
      </c>
      <c r="E580" s="123" t="s">
        <v>1692</v>
      </c>
      <c r="F580" s="123" t="s">
        <v>1760</v>
      </c>
      <c r="G580" s="123" t="s">
        <v>1582</v>
      </c>
      <c r="H580" s="8"/>
      <c r="I580" s="70"/>
      <c r="J580" s="70"/>
      <c r="K580" s="70"/>
      <c r="L580" s="8" t="s">
        <v>398</v>
      </c>
      <c r="M580" s="41"/>
      <c r="N580" s="10"/>
      <c r="O580" s="8"/>
      <c r="P580" s="1"/>
    </row>
    <row r="581" spans="1:16" ht="28.5" customHeight="1">
      <c r="A581" s="10">
        <v>1</v>
      </c>
      <c r="B581" s="33" t="s">
        <v>1176</v>
      </c>
      <c r="C581" s="41" t="s">
        <v>398</v>
      </c>
      <c r="D581" s="123" t="s">
        <v>1761</v>
      </c>
      <c r="E581" s="123" t="s">
        <v>1580</v>
      </c>
      <c r="F581" s="123" t="s">
        <v>1762</v>
      </c>
      <c r="G581" s="123" t="s">
        <v>1582</v>
      </c>
      <c r="H581" s="8"/>
      <c r="I581" s="70"/>
      <c r="J581" s="70"/>
      <c r="K581" s="70"/>
      <c r="L581" s="8" t="s">
        <v>398</v>
      </c>
      <c r="M581" s="41"/>
      <c r="N581" s="10"/>
      <c r="O581" s="8"/>
      <c r="P581" s="1"/>
    </row>
    <row r="582" spans="1:16" ht="28.5" customHeight="1">
      <c r="A582" s="10">
        <v>1</v>
      </c>
      <c r="B582" s="33" t="s">
        <v>1176</v>
      </c>
      <c r="C582" s="41" t="s">
        <v>398</v>
      </c>
      <c r="D582" s="123" t="s">
        <v>1763</v>
      </c>
      <c r="E582" s="123" t="s">
        <v>1661</v>
      </c>
      <c r="F582" s="123" t="s">
        <v>1764</v>
      </c>
      <c r="G582" s="123" t="s">
        <v>66</v>
      </c>
      <c r="H582" s="8"/>
      <c r="I582" s="70"/>
      <c r="J582" s="70"/>
      <c r="K582" s="70"/>
      <c r="L582" s="8" t="s">
        <v>398</v>
      </c>
      <c r="M582" s="41"/>
      <c r="N582" s="10"/>
      <c r="O582" s="8"/>
      <c r="P582" s="1"/>
    </row>
    <row r="583" spans="1:16" ht="28.5" customHeight="1">
      <c r="A583" s="10">
        <v>1</v>
      </c>
      <c r="B583" s="33" t="s">
        <v>1176</v>
      </c>
      <c r="C583" s="41" t="s">
        <v>398</v>
      </c>
      <c r="D583" s="123" t="s">
        <v>1765</v>
      </c>
      <c r="E583" s="123" t="s">
        <v>315</v>
      </c>
      <c r="F583" s="123" t="s">
        <v>1766</v>
      </c>
      <c r="G583" s="123" t="s">
        <v>66</v>
      </c>
      <c r="H583" s="8"/>
      <c r="I583" s="70"/>
      <c r="J583" s="70"/>
      <c r="K583" s="70"/>
      <c r="L583" s="8" t="s">
        <v>398</v>
      </c>
      <c r="M583" s="41"/>
      <c r="N583" s="10"/>
      <c r="O583" s="8"/>
      <c r="P583" s="1"/>
    </row>
    <row r="584" spans="1:16" ht="28.5" customHeight="1">
      <c r="A584" s="10">
        <v>1</v>
      </c>
      <c r="B584" s="33" t="s">
        <v>1176</v>
      </c>
      <c r="C584" s="41" t="s">
        <v>398</v>
      </c>
      <c r="D584" s="123" t="s">
        <v>1767</v>
      </c>
      <c r="E584" s="123" t="s">
        <v>186</v>
      </c>
      <c r="F584" s="123" t="s">
        <v>1768</v>
      </c>
      <c r="G584" s="123" t="s">
        <v>66</v>
      </c>
      <c r="H584" s="8"/>
      <c r="I584" s="70"/>
      <c r="J584" s="70"/>
      <c r="K584" s="70"/>
      <c r="L584" s="8" t="s">
        <v>398</v>
      </c>
      <c r="M584" s="41"/>
      <c r="N584" s="10"/>
      <c r="O584" s="8"/>
      <c r="P584" s="1"/>
    </row>
    <row r="585" spans="1:16" ht="28.5" customHeight="1">
      <c r="A585" s="10">
        <v>1</v>
      </c>
      <c r="B585" s="33" t="s">
        <v>1176</v>
      </c>
      <c r="C585" s="41" t="s">
        <v>398</v>
      </c>
      <c r="D585" s="123" t="s">
        <v>1769</v>
      </c>
      <c r="E585" s="123" t="s">
        <v>1770</v>
      </c>
      <c r="F585" s="123" t="s">
        <v>1771</v>
      </c>
      <c r="G585" s="123" t="s">
        <v>66</v>
      </c>
      <c r="H585" s="8"/>
      <c r="I585" s="70"/>
      <c r="J585" s="70"/>
      <c r="K585" s="70"/>
      <c r="L585" s="8" t="s">
        <v>398</v>
      </c>
      <c r="M585" s="41"/>
      <c r="N585" s="10"/>
      <c r="O585" s="8"/>
      <c r="P585" s="1"/>
    </row>
    <row r="586" spans="1:16" ht="28.5" customHeight="1">
      <c r="A586" s="10">
        <v>1</v>
      </c>
      <c r="B586" s="33" t="s">
        <v>1176</v>
      </c>
      <c r="C586" s="41" t="s">
        <v>398</v>
      </c>
      <c r="D586" s="123" t="s">
        <v>1772</v>
      </c>
      <c r="E586" s="123" t="s">
        <v>1661</v>
      </c>
      <c r="F586" s="123" t="s">
        <v>1773</v>
      </c>
      <c r="G586" s="123" t="s">
        <v>66</v>
      </c>
      <c r="H586" s="8"/>
      <c r="I586" s="70"/>
      <c r="J586" s="70"/>
      <c r="K586" s="70"/>
      <c r="L586" s="8" t="s">
        <v>398</v>
      </c>
      <c r="M586" s="41"/>
      <c r="N586" s="10"/>
      <c r="O586" s="8"/>
      <c r="P586" s="1"/>
    </row>
    <row r="587" spans="1:16" ht="28.5" customHeight="1">
      <c r="A587" s="10">
        <v>1</v>
      </c>
      <c r="B587" s="33" t="s">
        <v>1176</v>
      </c>
      <c r="C587" s="41" t="s">
        <v>398</v>
      </c>
      <c r="D587" s="123" t="s">
        <v>1774</v>
      </c>
      <c r="E587" s="123" t="s">
        <v>1775</v>
      </c>
      <c r="F587" s="123" t="s">
        <v>1776</v>
      </c>
      <c r="G587" s="123" t="s">
        <v>1582</v>
      </c>
      <c r="H587" s="8"/>
      <c r="I587" s="70"/>
      <c r="J587" s="70"/>
      <c r="K587" s="70"/>
      <c r="L587" s="8" t="s">
        <v>398</v>
      </c>
      <c r="M587" s="41"/>
      <c r="N587" s="10"/>
      <c r="O587" s="8"/>
      <c r="P587" s="1"/>
    </row>
    <row r="588" spans="1:16" ht="28.5" customHeight="1">
      <c r="A588" s="10">
        <v>1</v>
      </c>
      <c r="B588" s="33" t="s">
        <v>1176</v>
      </c>
      <c r="C588" s="41" t="s">
        <v>398</v>
      </c>
      <c r="D588" s="123" t="s">
        <v>1777</v>
      </c>
      <c r="E588" s="123" t="s">
        <v>363</v>
      </c>
      <c r="F588" s="123" t="s">
        <v>1778</v>
      </c>
      <c r="G588" s="123" t="s">
        <v>66</v>
      </c>
      <c r="H588" s="8"/>
      <c r="I588" s="70"/>
      <c r="J588" s="70"/>
      <c r="K588" s="70"/>
      <c r="L588" s="8" t="s">
        <v>398</v>
      </c>
      <c r="M588" s="41"/>
      <c r="N588" s="10"/>
      <c r="O588" s="8"/>
      <c r="P588" s="1"/>
    </row>
    <row r="589" spans="1:16" ht="28.5" customHeight="1">
      <c r="A589" s="10">
        <v>1</v>
      </c>
      <c r="B589" s="33" t="s">
        <v>1176</v>
      </c>
      <c r="C589" s="41" t="s">
        <v>398</v>
      </c>
      <c r="D589" s="123" t="s">
        <v>1779</v>
      </c>
      <c r="E589" s="123" t="s">
        <v>145</v>
      </c>
      <c r="F589" s="123" t="s">
        <v>1780</v>
      </c>
      <c r="G589" s="123" t="s">
        <v>1593</v>
      </c>
      <c r="H589" s="8"/>
      <c r="I589" s="70"/>
      <c r="J589" s="70"/>
      <c r="K589" s="70"/>
      <c r="L589" s="8" t="s">
        <v>398</v>
      </c>
      <c r="M589" s="41"/>
      <c r="N589" s="10"/>
      <c r="O589" s="8"/>
      <c r="P589" s="1"/>
    </row>
    <row r="590" spans="1:16" ht="28.5" customHeight="1">
      <c r="A590" s="10">
        <v>1</v>
      </c>
      <c r="B590" s="33" t="s">
        <v>1176</v>
      </c>
      <c r="C590" s="41" t="s">
        <v>398</v>
      </c>
      <c r="D590" s="123" t="s">
        <v>1781</v>
      </c>
      <c r="E590" s="123" t="s">
        <v>1782</v>
      </c>
      <c r="F590" s="123" t="s">
        <v>1783</v>
      </c>
      <c r="G590" s="123" t="s">
        <v>1570</v>
      </c>
      <c r="H590" s="8"/>
      <c r="I590" s="70"/>
      <c r="J590" s="70"/>
      <c r="K590" s="70"/>
      <c r="L590" s="8" t="s">
        <v>398</v>
      </c>
      <c r="M590" s="41"/>
      <c r="N590" s="10"/>
      <c r="O590" s="8"/>
      <c r="P590" s="1"/>
    </row>
    <row r="591" spans="1:16" ht="28.5" customHeight="1">
      <c r="A591" s="10">
        <v>1</v>
      </c>
      <c r="B591" s="33" t="s">
        <v>1176</v>
      </c>
      <c r="C591" s="41" t="s">
        <v>398</v>
      </c>
      <c r="D591" s="123" t="s">
        <v>1784</v>
      </c>
      <c r="E591" s="123" t="s">
        <v>407</v>
      </c>
      <c r="F591" s="123" t="s">
        <v>1785</v>
      </c>
      <c r="G591" s="123" t="s">
        <v>66</v>
      </c>
      <c r="H591" s="8"/>
      <c r="I591" s="70"/>
      <c r="J591" s="70"/>
      <c r="K591" s="70"/>
      <c r="L591" s="8" t="s">
        <v>398</v>
      </c>
      <c r="M591" s="41"/>
      <c r="N591" s="10"/>
      <c r="O591" s="8"/>
      <c r="P591" s="1"/>
    </row>
    <row r="592" spans="1:16" ht="28.5" customHeight="1">
      <c r="A592" s="10">
        <v>1</v>
      </c>
      <c r="B592" s="33" t="s">
        <v>1176</v>
      </c>
      <c r="C592" s="41" t="s">
        <v>398</v>
      </c>
      <c r="D592" s="123" t="s">
        <v>1786</v>
      </c>
      <c r="E592" s="123" t="s">
        <v>446</v>
      </c>
      <c r="F592" s="123" t="s">
        <v>1787</v>
      </c>
      <c r="G592" s="123" t="s">
        <v>66</v>
      </c>
      <c r="H592" s="8"/>
      <c r="I592" s="70"/>
      <c r="J592" s="70"/>
      <c r="K592" s="70"/>
      <c r="L592" s="8" t="s">
        <v>398</v>
      </c>
      <c r="M592" s="41"/>
      <c r="N592" s="10"/>
      <c r="O592" s="8"/>
      <c r="P592" s="1"/>
    </row>
    <row r="593" spans="1:16" ht="28.5" customHeight="1">
      <c r="A593" s="10">
        <v>1</v>
      </c>
      <c r="B593" s="33" t="s">
        <v>1176</v>
      </c>
      <c r="C593" s="41" t="s">
        <v>398</v>
      </c>
      <c r="D593" s="123" t="s">
        <v>1788</v>
      </c>
      <c r="E593" s="123" t="s">
        <v>759</v>
      </c>
      <c r="F593" s="123" t="s">
        <v>1789</v>
      </c>
      <c r="G593" s="123" t="s">
        <v>280</v>
      </c>
      <c r="H593" s="8"/>
      <c r="I593" s="70"/>
      <c r="J593" s="70"/>
      <c r="K593" s="70"/>
      <c r="L593" s="8" t="s">
        <v>398</v>
      </c>
      <c r="M593" s="41"/>
      <c r="N593" s="10"/>
      <c r="O593" s="8"/>
      <c r="P593" s="1"/>
    </row>
    <row r="594" spans="1:16" ht="28.5" customHeight="1">
      <c r="A594" s="10">
        <v>1</v>
      </c>
      <c r="B594" s="33" t="s">
        <v>1176</v>
      </c>
      <c r="C594" s="41" t="s">
        <v>398</v>
      </c>
      <c r="D594" s="123" t="s">
        <v>1790</v>
      </c>
      <c r="E594" s="123" t="s">
        <v>1791</v>
      </c>
      <c r="F594" s="123" t="s">
        <v>1792</v>
      </c>
      <c r="G594" s="123" t="s">
        <v>1746</v>
      </c>
      <c r="H594" s="8"/>
      <c r="I594" s="70"/>
      <c r="J594" s="70"/>
      <c r="K594" s="70"/>
      <c r="L594" s="8" t="s">
        <v>398</v>
      </c>
      <c r="M594" s="41"/>
      <c r="N594" s="10"/>
      <c r="O594" s="8"/>
      <c r="P594" s="1"/>
    </row>
    <row r="595" spans="1:16" ht="28.5" customHeight="1">
      <c r="A595" s="10">
        <v>1</v>
      </c>
      <c r="B595" s="33" t="s">
        <v>1176</v>
      </c>
      <c r="C595" s="41" t="s">
        <v>398</v>
      </c>
      <c r="D595" s="123" t="s">
        <v>1793</v>
      </c>
      <c r="E595" s="123" t="s">
        <v>39</v>
      </c>
      <c r="F595" s="123"/>
      <c r="G595" s="123" t="s">
        <v>41</v>
      </c>
      <c r="H595" s="8"/>
      <c r="I595" s="70"/>
      <c r="J595" s="70"/>
      <c r="K595" s="70"/>
      <c r="L595" s="8" t="s">
        <v>398</v>
      </c>
      <c r="M595" s="41"/>
      <c r="N595" s="10"/>
      <c r="O595" s="8"/>
      <c r="P595" s="1"/>
    </row>
    <row r="596" spans="1:16" ht="28.5" customHeight="1">
      <c r="A596" s="10">
        <v>1</v>
      </c>
      <c r="B596" s="33" t="s">
        <v>1176</v>
      </c>
      <c r="C596" s="41" t="s">
        <v>398</v>
      </c>
      <c r="D596" s="123" t="s">
        <v>1794</v>
      </c>
      <c r="E596" s="123" t="s">
        <v>1182</v>
      </c>
      <c r="F596" s="123" t="s">
        <v>1795</v>
      </c>
      <c r="G596" s="123" t="s">
        <v>1746</v>
      </c>
      <c r="H596" s="8"/>
      <c r="I596" s="70"/>
      <c r="J596" s="70"/>
      <c r="K596" s="70"/>
      <c r="L596" s="8" t="s">
        <v>398</v>
      </c>
      <c r="M596" s="41"/>
      <c r="N596" s="10"/>
      <c r="O596" s="8"/>
      <c r="P596" s="1"/>
    </row>
    <row r="597" spans="1:16" ht="28.5" customHeight="1">
      <c r="A597" s="10">
        <v>1</v>
      </c>
      <c r="B597" s="33" t="s">
        <v>1176</v>
      </c>
      <c r="C597" s="41" t="s">
        <v>398</v>
      </c>
      <c r="D597" s="123" t="s">
        <v>1796</v>
      </c>
      <c r="E597" s="123" t="s">
        <v>1250</v>
      </c>
      <c r="F597" s="123" t="s">
        <v>1797</v>
      </c>
      <c r="G597" s="123" t="s">
        <v>41</v>
      </c>
      <c r="H597" s="8"/>
      <c r="I597" s="70"/>
      <c r="J597" s="70"/>
      <c r="K597" s="70"/>
      <c r="L597" s="8" t="s">
        <v>398</v>
      </c>
      <c r="M597" s="41"/>
      <c r="N597" s="10"/>
      <c r="O597" s="8"/>
      <c r="P597" s="1"/>
    </row>
    <row r="598" spans="1:16" ht="28.5" customHeight="1">
      <c r="A598" s="10">
        <v>1</v>
      </c>
      <c r="B598" s="33" t="s">
        <v>1176</v>
      </c>
      <c r="C598" s="41" t="s">
        <v>398</v>
      </c>
      <c r="D598" s="123" t="s">
        <v>1798</v>
      </c>
      <c r="E598" s="123" t="s">
        <v>404</v>
      </c>
      <c r="F598" s="123" t="s">
        <v>1799</v>
      </c>
      <c r="G598" s="123" t="s">
        <v>1800</v>
      </c>
      <c r="H598" s="8"/>
      <c r="I598" s="70"/>
      <c r="J598" s="70"/>
      <c r="K598" s="70"/>
      <c r="L598" s="8" t="s">
        <v>398</v>
      </c>
      <c r="M598" s="41"/>
      <c r="N598" s="10"/>
      <c r="O598" s="8"/>
      <c r="P598" s="1"/>
    </row>
    <row r="599" spans="1:16" ht="28.5" customHeight="1">
      <c r="A599" s="10">
        <v>1</v>
      </c>
      <c r="B599" s="33" t="s">
        <v>1176</v>
      </c>
      <c r="C599" s="41" t="s">
        <v>398</v>
      </c>
      <c r="D599" s="123" t="s">
        <v>1801</v>
      </c>
      <c r="E599" s="123" t="s">
        <v>1802</v>
      </c>
      <c r="F599" s="123" t="s">
        <v>1803</v>
      </c>
      <c r="G599" s="123" t="s">
        <v>1603</v>
      </c>
      <c r="H599" s="8"/>
      <c r="I599" s="70"/>
      <c r="J599" s="70"/>
      <c r="K599" s="70"/>
      <c r="L599" s="8" t="s">
        <v>398</v>
      </c>
      <c r="M599" s="41"/>
      <c r="N599" s="10"/>
      <c r="O599" s="8"/>
      <c r="P599" s="1"/>
    </row>
    <row r="600" spans="1:16" ht="28.5" customHeight="1">
      <c r="A600" s="10">
        <v>1</v>
      </c>
      <c r="B600" s="33" t="s">
        <v>1176</v>
      </c>
      <c r="C600" s="41" t="s">
        <v>398</v>
      </c>
      <c r="D600" s="123" t="s">
        <v>1804</v>
      </c>
      <c r="E600" s="123" t="s">
        <v>1805</v>
      </c>
      <c r="F600" s="123" t="s">
        <v>1806</v>
      </c>
      <c r="G600" s="123" t="s">
        <v>1746</v>
      </c>
      <c r="H600" s="8"/>
      <c r="I600" s="70"/>
      <c r="J600" s="70"/>
      <c r="K600" s="70"/>
      <c r="L600" s="8" t="s">
        <v>398</v>
      </c>
      <c r="M600" s="41"/>
      <c r="N600" s="10"/>
      <c r="O600" s="8"/>
      <c r="P600" s="1"/>
    </row>
    <row r="601" spans="1:16" ht="28.5" customHeight="1">
      <c r="A601" s="10">
        <v>1</v>
      </c>
      <c r="B601" s="33" t="s">
        <v>1176</v>
      </c>
      <c r="C601" s="41" t="s">
        <v>398</v>
      </c>
      <c r="D601" s="123" t="s">
        <v>1807</v>
      </c>
      <c r="E601" s="123" t="s">
        <v>1808</v>
      </c>
      <c r="F601" s="123" t="s">
        <v>1809</v>
      </c>
      <c r="G601" s="123" t="s">
        <v>1810</v>
      </c>
      <c r="H601" s="8"/>
      <c r="I601" s="70"/>
      <c r="J601" s="70"/>
      <c r="K601" s="70"/>
      <c r="L601" s="8" t="s">
        <v>398</v>
      </c>
      <c r="M601" s="41"/>
      <c r="N601" s="10"/>
      <c r="O601" s="8"/>
      <c r="P601" s="1"/>
    </row>
    <row r="602" spans="1:16" ht="28.5" customHeight="1">
      <c r="A602" s="10">
        <v>1</v>
      </c>
      <c r="B602" s="33" t="s">
        <v>1176</v>
      </c>
      <c r="C602" s="41" t="s">
        <v>398</v>
      </c>
      <c r="D602" s="123" t="s">
        <v>1811</v>
      </c>
      <c r="E602" s="123" t="s">
        <v>39</v>
      </c>
      <c r="F602" s="123" t="s">
        <v>1812</v>
      </c>
      <c r="G602" s="123" t="s">
        <v>41</v>
      </c>
      <c r="H602" s="8"/>
      <c r="I602" s="70"/>
      <c r="J602" s="70"/>
      <c r="K602" s="70"/>
      <c r="L602" s="8" t="s">
        <v>398</v>
      </c>
      <c r="M602" s="41"/>
      <c r="N602" s="10"/>
      <c r="O602" s="8"/>
      <c r="P602" s="1"/>
    </row>
    <row r="603" spans="1:16" ht="28.5" customHeight="1">
      <c r="A603" s="10">
        <v>1</v>
      </c>
      <c r="B603" s="33" t="s">
        <v>1176</v>
      </c>
      <c r="C603" s="41" t="s">
        <v>398</v>
      </c>
      <c r="D603" s="123" t="s">
        <v>1813</v>
      </c>
      <c r="E603" s="123" t="s">
        <v>1250</v>
      </c>
      <c r="F603" s="123" t="s">
        <v>1814</v>
      </c>
      <c r="G603" s="123" t="s">
        <v>41</v>
      </c>
      <c r="H603" s="8"/>
      <c r="I603" s="70"/>
      <c r="J603" s="70"/>
      <c r="K603" s="70"/>
      <c r="L603" s="8" t="s">
        <v>398</v>
      </c>
      <c r="M603" s="41"/>
      <c r="N603" s="10"/>
      <c r="O603" s="8"/>
      <c r="P603" s="1"/>
    </row>
    <row r="604" spans="1:16" ht="28.5" customHeight="1">
      <c r="A604" s="10">
        <v>1</v>
      </c>
      <c r="B604" s="33" t="s">
        <v>1176</v>
      </c>
      <c r="C604" s="41" t="s">
        <v>398</v>
      </c>
      <c r="D604" s="123" t="s">
        <v>1815</v>
      </c>
      <c r="E604" s="123" t="s">
        <v>1816</v>
      </c>
      <c r="F604" s="123" t="s">
        <v>1817</v>
      </c>
      <c r="G604" s="123" t="s">
        <v>415</v>
      </c>
      <c r="H604" s="8"/>
      <c r="I604" s="70"/>
      <c r="J604" s="70"/>
      <c r="K604" s="70"/>
      <c r="L604" s="8" t="s">
        <v>398</v>
      </c>
      <c r="M604" s="41"/>
      <c r="N604" s="10"/>
      <c r="O604" s="8"/>
      <c r="P604" s="1"/>
    </row>
    <row r="605" spans="1:16" ht="28.5" customHeight="1">
      <c r="A605" s="10">
        <v>1</v>
      </c>
      <c r="B605" s="33" t="s">
        <v>1176</v>
      </c>
      <c r="C605" s="41" t="s">
        <v>398</v>
      </c>
      <c r="D605" s="123" t="s">
        <v>1818</v>
      </c>
      <c r="E605" s="123" t="s">
        <v>1819</v>
      </c>
      <c r="F605" s="123" t="s">
        <v>1820</v>
      </c>
      <c r="G605" s="123" t="s">
        <v>1570</v>
      </c>
      <c r="H605" s="8"/>
      <c r="I605" s="70"/>
      <c r="J605" s="70"/>
      <c r="K605" s="70"/>
      <c r="L605" s="8" t="s">
        <v>398</v>
      </c>
      <c r="M605" s="41"/>
      <c r="N605" s="10"/>
      <c r="O605" s="8"/>
      <c r="P605" s="1"/>
    </row>
    <row r="606" spans="1:16" ht="28.5" customHeight="1">
      <c r="A606" s="10">
        <v>1</v>
      </c>
      <c r="B606" s="33" t="s">
        <v>1176</v>
      </c>
      <c r="C606" s="41" t="s">
        <v>398</v>
      </c>
      <c r="D606" s="123" t="s">
        <v>1821</v>
      </c>
      <c r="E606" s="123" t="s">
        <v>1822</v>
      </c>
      <c r="F606" s="123" t="s">
        <v>1823</v>
      </c>
      <c r="G606" s="123" t="s">
        <v>1582</v>
      </c>
      <c r="H606" s="8"/>
      <c r="I606" s="70"/>
      <c r="J606" s="70"/>
      <c r="K606" s="70"/>
      <c r="L606" s="8" t="s">
        <v>398</v>
      </c>
      <c r="M606" s="41"/>
      <c r="N606" s="10"/>
      <c r="O606" s="8"/>
      <c r="P606" s="1"/>
    </row>
    <row r="607" spans="1:16" ht="28.5" customHeight="1">
      <c r="A607" s="10">
        <v>1</v>
      </c>
      <c r="B607" s="33" t="s">
        <v>1176</v>
      </c>
      <c r="C607" s="41" t="s">
        <v>398</v>
      </c>
      <c r="D607" s="123" t="s">
        <v>1824</v>
      </c>
      <c r="E607" s="123" t="s">
        <v>619</v>
      </c>
      <c r="F607" s="123" t="s">
        <v>1825</v>
      </c>
      <c r="G607" s="123" t="s">
        <v>66</v>
      </c>
      <c r="H607" s="8"/>
      <c r="I607" s="70"/>
      <c r="J607" s="70"/>
      <c r="K607" s="70"/>
      <c r="L607" s="8" t="s">
        <v>398</v>
      </c>
      <c r="M607" s="41"/>
      <c r="N607" s="10"/>
      <c r="O607" s="8"/>
      <c r="P607" s="1"/>
    </row>
    <row r="608" spans="1:16" ht="28.5" customHeight="1">
      <c r="A608" s="10">
        <v>1</v>
      </c>
      <c r="B608" s="33" t="s">
        <v>1176</v>
      </c>
      <c r="C608" s="41" t="s">
        <v>398</v>
      </c>
      <c r="D608" s="123" t="s">
        <v>1826</v>
      </c>
      <c r="E608" s="123" t="s">
        <v>1577</v>
      </c>
      <c r="F608" s="123" t="s">
        <v>1827</v>
      </c>
      <c r="G608" s="123" t="s">
        <v>66</v>
      </c>
      <c r="H608" s="8"/>
      <c r="I608" s="70"/>
      <c r="J608" s="70"/>
      <c r="K608" s="70"/>
      <c r="L608" s="8" t="s">
        <v>398</v>
      </c>
      <c r="M608" s="41"/>
      <c r="N608" s="10"/>
      <c r="O608" s="8"/>
      <c r="P608" s="1"/>
    </row>
    <row r="609" spans="1:16" ht="28.5" customHeight="1">
      <c r="A609" s="10">
        <v>1</v>
      </c>
      <c r="B609" s="33" t="s">
        <v>1176</v>
      </c>
      <c r="C609" s="41" t="s">
        <v>398</v>
      </c>
      <c r="D609" s="123" t="s">
        <v>1828</v>
      </c>
      <c r="E609" s="123" t="s">
        <v>1637</v>
      </c>
      <c r="F609" s="123" t="s">
        <v>1829</v>
      </c>
      <c r="G609" s="123" t="s">
        <v>66</v>
      </c>
      <c r="H609" s="8"/>
      <c r="I609" s="70"/>
      <c r="J609" s="70"/>
      <c r="K609" s="70"/>
      <c r="L609" s="8" t="s">
        <v>398</v>
      </c>
      <c r="M609" s="41"/>
      <c r="N609" s="10"/>
      <c r="O609" s="8"/>
      <c r="P609" s="1"/>
    </row>
    <row r="610" spans="1:16" ht="28.5" customHeight="1">
      <c r="A610" s="10">
        <v>1</v>
      </c>
      <c r="B610" s="33" t="s">
        <v>1176</v>
      </c>
      <c r="C610" s="41" t="s">
        <v>398</v>
      </c>
      <c r="D610" s="123" t="s">
        <v>1830</v>
      </c>
      <c r="E610" s="123" t="s">
        <v>296</v>
      </c>
      <c r="F610" s="123" t="s">
        <v>1831</v>
      </c>
      <c r="G610" s="123" t="s">
        <v>66</v>
      </c>
      <c r="H610" s="8"/>
      <c r="I610" s="70"/>
      <c r="J610" s="70"/>
      <c r="K610" s="70"/>
      <c r="L610" s="8" t="s">
        <v>398</v>
      </c>
      <c r="M610" s="41"/>
      <c r="N610" s="10"/>
      <c r="O610" s="8"/>
      <c r="P610" s="1"/>
    </row>
    <row r="611" spans="1:16" ht="28.5" customHeight="1">
      <c r="A611" s="10">
        <v>1</v>
      </c>
      <c r="B611" s="33" t="s">
        <v>1176</v>
      </c>
      <c r="C611" s="41" t="s">
        <v>398</v>
      </c>
      <c r="D611" s="123" t="s">
        <v>1832</v>
      </c>
      <c r="E611" s="123" t="s">
        <v>363</v>
      </c>
      <c r="F611" s="123" t="s">
        <v>1833</v>
      </c>
      <c r="G611" s="123" t="s">
        <v>66</v>
      </c>
      <c r="H611" s="8"/>
      <c r="I611" s="70"/>
      <c r="J611" s="70"/>
      <c r="K611" s="70"/>
      <c r="L611" s="8" t="s">
        <v>398</v>
      </c>
      <c r="M611" s="41"/>
      <c r="N611" s="10"/>
      <c r="O611" s="8"/>
      <c r="P611" s="1"/>
    </row>
    <row r="612" spans="1:16" ht="28.5" customHeight="1">
      <c r="A612" s="10">
        <v>1</v>
      </c>
      <c r="B612" s="33" t="s">
        <v>1176</v>
      </c>
      <c r="C612" s="41" t="s">
        <v>398</v>
      </c>
      <c r="D612" s="123" t="s">
        <v>1834</v>
      </c>
      <c r="E612" s="123" t="s">
        <v>1835</v>
      </c>
      <c r="F612" s="123" t="s">
        <v>1836</v>
      </c>
      <c r="G612" s="123" t="s">
        <v>1570</v>
      </c>
      <c r="H612" s="8"/>
      <c r="I612" s="70"/>
      <c r="J612" s="70"/>
      <c r="K612" s="70"/>
      <c r="L612" s="8" t="s">
        <v>398</v>
      </c>
      <c r="M612" s="41"/>
      <c r="N612" s="10"/>
      <c r="O612" s="8"/>
      <c r="P612" s="1"/>
    </row>
    <row r="613" spans="1:16" ht="28.5" customHeight="1">
      <c r="A613" s="10">
        <v>1</v>
      </c>
      <c r="B613" s="33" t="s">
        <v>1176</v>
      </c>
      <c r="C613" s="41" t="s">
        <v>398</v>
      </c>
      <c r="D613" s="123" t="s">
        <v>1837</v>
      </c>
      <c r="E613" s="123" t="s">
        <v>1838</v>
      </c>
      <c r="F613" s="123" t="s">
        <v>1839</v>
      </c>
      <c r="G613" s="123" t="s">
        <v>1570</v>
      </c>
      <c r="H613" s="8"/>
      <c r="I613" s="70"/>
      <c r="J613" s="70"/>
      <c r="K613" s="70"/>
      <c r="L613" s="8" t="s">
        <v>398</v>
      </c>
      <c r="M613" s="41"/>
      <c r="N613" s="10"/>
      <c r="O613" s="8"/>
      <c r="P613" s="1"/>
    </row>
    <row r="614" spans="1:16" ht="28.5" customHeight="1">
      <c r="A614" s="10">
        <v>1</v>
      </c>
      <c r="B614" s="33" t="s">
        <v>1176</v>
      </c>
      <c r="C614" s="41" t="s">
        <v>398</v>
      </c>
      <c r="D614" s="123" t="s">
        <v>1840</v>
      </c>
      <c r="E614" s="123" t="s">
        <v>39</v>
      </c>
      <c r="F614" s="123" t="s">
        <v>1841</v>
      </c>
      <c r="G614" s="123" t="s">
        <v>41</v>
      </c>
      <c r="H614" s="8"/>
      <c r="I614" s="70"/>
      <c r="J614" s="70"/>
      <c r="K614" s="70"/>
      <c r="L614" s="8" t="s">
        <v>398</v>
      </c>
      <c r="M614" s="41"/>
      <c r="N614" s="10"/>
      <c r="O614" s="8"/>
      <c r="P614" s="1"/>
    </row>
    <row r="615" spans="1:16" ht="28.5" customHeight="1">
      <c r="A615" s="10">
        <v>1</v>
      </c>
      <c r="B615" s="33" t="s">
        <v>1176</v>
      </c>
      <c r="C615" s="41" t="s">
        <v>398</v>
      </c>
      <c r="D615" s="123" t="s">
        <v>1842</v>
      </c>
      <c r="E615" s="123" t="s">
        <v>817</v>
      </c>
      <c r="F615" s="123" t="s">
        <v>1843</v>
      </c>
      <c r="G615" s="123" t="s">
        <v>41</v>
      </c>
      <c r="H615" s="8"/>
      <c r="I615" s="70"/>
      <c r="J615" s="70"/>
      <c r="K615" s="70"/>
      <c r="L615" s="8" t="s">
        <v>398</v>
      </c>
      <c r="M615" s="41"/>
      <c r="N615" s="10"/>
      <c r="O615" s="8"/>
      <c r="P615" s="1"/>
    </row>
    <row r="616" spans="1:16" ht="28.5" customHeight="1">
      <c r="A616" s="10">
        <v>1</v>
      </c>
      <c r="B616" s="33" t="s">
        <v>1176</v>
      </c>
      <c r="C616" s="41" t="s">
        <v>398</v>
      </c>
      <c r="D616" s="123" t="s">
        <v>1844</v>
      </c>
      <c r="E616" s="123" t="s">
        <v>298</v>
      </c>
      <c r="F616" s="123" t="s">
        <v>1845</v>
      </c>
      <c r="G616" s="123" t="s">
        <v>1570</v>
      </c>
      <c r="H616" s="8"/>
      <c r="I616" s="70"/>
      <c r="J616" s="70"/>
      <c r="K616" s="70"/>
      <c r="L616" s="8" t="s">
        <v>398</v>
      </c>
      <c r="M616" s="41"/>
      <c r="N616" s="10"/>
      <c r="O616" s="8"/>
      <c r="P616" s="1"/>
    </row>
    <row r="617" spans="1:16" ht="28.5" customHeight="1">
      <c r="A617" s="10">
        <v>1</v>
      </c>
      <c r="B617" s="33" t="s">
        <v>1176</v>
      </c>
      <c r="C617" s="41" t="s">
        <v>398</v>
      </c>
      <c r="D617" s="123" t="s">
        <v>1846</v>
      </c>
      <c r="E617" s="123" t="s">
        <v>446</v>
      </c>
      <c r="F617" s="123" t="s">
        <v>1847</v>
      </c>
      <c r="G617" s="123" t="s">
        <v>66</v>
      </c>
      <c r="H617" s="8"/>
      <c r="I617" s="70"/>
      <c r="J617" s="70"/>
      <c r="K617" s="70"/>
      <c r="L617" s="8" t="s">
        <v>398</v>
      </c>
      <c r="M617" s="41"/>
      <c r="N617" s="10"/>
      <c r="O617" s="8"/>
      <c r="P617" s="1"/>
    </row>
    <row r="618" spans="1:16" ht="28.5" customHeight="1">
      <c r="A618" s="10">
        <v>1</v>
      </c>
      <c r="B618" s="33" t="s">
        <v>1176</v>
      </c>
      <c r="C618" s="41" t="s">
        <v>398</v>
      </c>
      <c r="D618" s="123" t="s">
        <v>1848</v>
      </c>
      <c r="E618" s="123" t="s">
        <v>1849</v>
      </c>
      <c r="F618" s="123" t="s">
        <v>1850</v>
      </c>
      <c r="G618" s="123" t="s">
        <v>1582</v>
      </c>
      <c r="H618" s="8"/>
      <c r="I618" s="70"/>
      <c r="J618" s="70"/>
      <c r="K618" s="70"/>
      <c r="L618" s="8" t="s">
        <v>398</v>
      </c>
      <c r="M618" s="41"/>
      <c r="N618" s="10"/>
      <c r="O618" s="8"/>
      <c r="P618" s="1"/>
    </row>
    <row r="619" spans="1:16" ht="28.5" customHeight="1">
      <c r="A619" s="10">
        <v>1</v>
      </c>
      <c r="B619" s="33" t="s">
        <v>1176</v>
      </c>
      <c r="C619" s="41" t="s">
        <v>398</v>
      </c>
      <c r="D619" s="123" t="s">
        <v>1851</v>
      </c>
      <c r="E619" s="123" t="s">
        <v>226</v>
      </c>
      <c r="F619" s="123" t="s">
        <v>1852</v>
      </c>
      <c r="G619" s="123" t="s">
        <v>1570</v>
      </c>
      <c r="H619" s="8"/>
      <c r="I619" s="70"/>
      <c r="J619" s="70"/>
      <c r="K619" s="70"/>
      <c r="L619" s="8" t="s">
        <v>398</v>
      </c>
      <c r="M619" s="41"/>
      <c r="N619" s="10"/>
      <c r="O619" s="8"/>
      <c r="P619" s="1"/>
    </row>
    <row r="620" spans="1:16" ht="28.5" customHeight="1">
      <c r="A620" s="10">
        <v>1</v>
      </c>
      <c r="B620" s="33" t="s">
        <v>1176</v>
      </c>
      <c r="C620" s="41" t="s">
        <v>398</v>
      </c>
      <c r="D620" s="123" t="s">
        <v>1853</v>
      </c>
      <c r="E620" s="123" t="s">
        <v>1854</v>
      </c>
      <c r="F620" s="123" t="s">
        <v>1855</v>
      </c>
      <c r="G620" s="123" t="s">
        <v>66</v>
      </c>
      <c r="H620" s="8"/>
      <c r="I620" s="70"/>
      <c r="J620" s="70"/>
      <c r="K620" s="70"/>
      <c r="L620" s="8" t="s">
        <v>398</v>
      </c>
      <c r="M620" s="41"/>
      <c r="N620" s="10"/>
      <c r="O620" s="8"/>
      <c r="P620" s="1"/>
    </row>
    <row r="621" spans="1:16" ht="28.5" customHeight="1">
      <c r="A621" s="10">
        <v>1</v>
      </c>
      <c r="B621" s="33" t="s">
        <v>1176</v>
      </c>
      <c r="C621" s="41" t="s">
        <v>398</v>
      </c>
      <c r="D621" s="123" t="s">
        <v>1856</v>
      </c>
      <c r="E621" s="123" t="s">
        <v>1857</v>
      </c>
      <c r="F621" s="123" t="s">
        <v>1858</v>
      </c>
      <c r="G621" s="123" t="s">
        <v>1582</v>
      </c>
      <c r="H621" s="8"/>
      <c r="I621" s="70"/>
      <c r="J621" s="70"/>
      <c r="K621" s="70"/>
      <c r="L621" s="8" t="s">
        <v>398</v>
      </c>
      <c r="M621" s="41"/>
      <c r="N621" s="10"/>
      <c r="O621" s="8"/>
      <c r="P621" s="1"/>
    </row>
    <row r="622" spans="1:16" ht="28.5" customHeight="1">
      <c r="A622" s="10">
        <v>1</v>
      </c>
      <c r="B622" s="33" t="s">
        <v>1176</v>
      </c>
      <c r="C622" s="41" t="s">
        <v>398</v>
      </c>
      <c r="D622" s="123" t="s">
        <v>1859</v>
      </c>
      <c r="E622" s="123" t="s">
        <v>290</v>
      </c>
      <c r="F622" s="123" t="s">
        <v>1860</v>
      </c>
      <c r="G622" s="123" t="s">
        <v>1570</v>
      </c>
      <c r="H622" s="8"/>
      <c r="I622" s="70"/>
      <c r="J622" s="70"/>
      <c r="K622" s="70"/>
      <c r="L622" s="8" t="s">
        <v>398</v>
      </c>
      <c r="M622" s="41"/>
      <c r="N622" s="10"/>
      <c r="O622" s="8"/>
      <c r="P622" s="1"/>
    </row>
    <row r="623" spans="1:16" ht="28.5" customHeight="1">
      <c r="A623" s="10">
        <v>1</v>
      </c>
      <c r="B623" s="33" t="s">
        <v>1176</v>
      </c>
      <c r="C623" s="41" t="s">
        <v>398</v>
      </c>
      <c r="D623" s="123" t="s">
        <v>1861</v>
      </c>
      <c r="E623" s="123" t="s">
        <v>39</v>
      </c>
      <c r="F623" s="123" t="s">
        <v>1862</v>
      </c>
      <c r="G623" s="123" t="s">
        <v>41</v>
      </c>
      <c r="H623" s="8"/>
      <c r="I623" s="70"/>
      <c r="J623" s="70"/>
      <c r="K623" s="70"/>
      <c r="L623" s="8" t="s">
        <v>398</v>
      </c>
      <c r="M623" s="41"/>
      <c r="N623" s="10"/>
      <c r="O623" s="8"/>
      <c r="P623" s="1"/>
    </row>
    <row r="624" spans="1:16" ht="28.5" customHeight="1">
      <c r="A624" s="10">
        <v>1</v>
      </c>
      <c r="B624" s="33" t="s">
        <v>1176</v>
      </c>
      <c r="C624" s="41" t="s">
        <v>398</v>
      </c>
      <c r="D624" s="123" t="s">
        <v>1863</v>
      </c>
      <c r="E624" s="123" t="s">
        <v>1250</v>
      </c>
      <c r="F624" s="123" t="s">
        <v>1864</v>
      </c>
      <c r="G624" s="123" t="s">
        <v>41</v>
      </c>
      <c r="H624" s="8"/>
      <c r="I624" s="70"/>
      <c r="J624" s="70"/>
      <c r="K624" s="70"/>
      <c r="L624" s="8" t="s">
        <v>398</v>
      </c>
      <c r="M624" s="41"/>
      <c r="N624" s="10"/>
      <c r="O624" s="8"/>
      <c r="P624" s="1"/>
    </row>
    <row r="625" spans="1:16" ht="28.5" customHeight="1">
      <c r="A625" s="10">
        <v>1</v>
      </c>
      <c r="B625" s="33" t="s">
        <v>1176</v>
      </c>
      <c r="C625" s="41" t="s">
        <v>398</v>
      </c>
      <c r="D625" s="123" t="s">
        <v>1865</v>
      </c>
      <c r="E625" s="123" t="s">
        <v>1620</v>
      </c>
      <c r="F625" s="123" t="s">
        <v>1866</v>
      </c>
      <c r="G625" s="123" t="s">
        <v>41</v>
      </c>
      <c r="H625" s="8"/>
      <c r="I625" s="70"/>
      <c r="J625" s="70"/>
      <c r="K625" s="70"/>
      <c r="L625" s="8" t="s">
        <v>398</v>
      </c>
      <c r="M625" s="41"/>
      <c r="N625" s="10"/>
      <c r="O625" s="8"/>
      <c r="P625" s="1"/>
    </row>
    <row r="626" spans="1:16" ht="28.5" customHeight="1">
      <c r="A626" s="10">
        <v>1</v>
      </c>
      <c r="B626" s="33" t="s">
        <v>1176</v>
      </c>
      <c r="C626" s="41" t="s">
        <v>398</v>
      </c>
      <c r="D626" s="123" t="s">
        <v>1867</v>
      </c>
      <c r="E626" s="123" t="s">
        <v>39</v>
      </c>
      <c r="F626" s="123" t="s">
        <v>1868</v>
      </c>
      <c r="G626" s="123" t="s">
        <v>41</v>
      </c>
      <c r="H626" s="8"/>
      <c r="I626" s="70"/>
      <c r="J626" s="70"/>
      <c r="K626" s="70"/>
      <c r="L626" s="8" t="s">
        <v>398</v>
      </c>
      <c r="M626" s="41"/>
      <c r="N626" s="10"/>
      <c r="O626" s="8"/>
      <c r="P626" s="1"/>
    </row>
    <row r="627" spans="1:16" ht="28.5" customHeight="1">
      <c r="A627" s="10">
        <v>1</v>
      </c>
      <c r="B627" s="33" t="s">
        <v>1176</v>
      </c>
      <c r="C627" s="41" t="s">
        <v>398</v>
      </c>
      <c r="D627" s="123" t="s">
        <v>1869</v>
      </c>
      <c r="E627" s="123" t="s">
        <v>1870</v>
      </c>
      <c r="F627" s="123" t="s">
        <v>1871</v>
      </c>
      <c r="G627" s="123" t="s">
        <v>66</v>
      </c>
      <c r="H627" s="8"/>
      <c r="I627" s="70"/>
      <c r="J627" s="70"/>
      <c r="K627" s="70"/>
      <c r="L627" s="8" t="s">
        <v>398</v>
      </c>
      <c r="M627" s="41"/>
      <c r="N627" s="10"/>
      <c r="O627" s="8"/>
      <c r="P627" s="1"/>
    </row>
    <row r="628" spans="1:16" ht="28.5" customHeight="1">
      <c r="A628" s="10">
        <v>1</v>
      </c>
      <c r="B628" s="33" t="s">
        <v>1176</v>
      </c>
      <c r="C628" s="41" t="s">
        <v>398</v>
      </c>
      <c r="D628" s="123" t="s">
        <v>1872</v>
      </c>
      <c r="E628" s="123" t="s">
        <v>1741</v>
      </c>
      <c r="F628" s="123" t="s">
        <v>1873</v>
      </c>
      <c r="G628" s="123" t="s">
        <v>1570</v>
      </c>
      <c r="H628" s="8"/>
      <c r="I628" s="70"/>
      <c r="J628" s="70"/>
      <c r="K628" s="70"/>
      <c r="L628" s="8" t="s">
        <v>398</v>
      </c>
      <c r="M628" s="41"/>
      <c r="N628" s="10"/>
      <c r="O628" s="8"/>
      <c r="P628" s="1"/>
    </row>
    <row r="629" spans="1:16" ht="28.5" customHeight="1">
      <c r="A629" s="10">
        <v>1</v>
      </c>
      <c r="B629" s="33" t="s">
        <v>1176</v>
      </c>
      <c r="C629" s="41" t="s">
        <v>398</v>
      </c>
      <c r="D629" s="123" t="s">
        <v>1874</v>
      </c>
      <c r="E629" s="123" t="s">
        <v>812</v>
      </c>
      <c r="F629" s="123" t="s">
        <v>1875</v>
      </c>
      <c r="G629" s="123" t="s">
        <v>1570</v>
      </c>
      <c r="H629" s="8"/>
      <c r="I629" s="70"/>
      <c r="J629" s="70"/>
      <c r="K629" s="70"/>
      <c r="L629" s="8" t="s">
        <v>398</v>
      </c>
      <c r="M629" s="41"/>
      <c r="N629" s="10"/>
      <c r="O629" s="8"/>
      <c r="P629" s="1"/>
    </row>
    <row r="630" spans="1:16" ht="28.5" customHeight="1">
      <c r="A630" s="10">
        <v>1</v>
      </c>
      <c r="B630" s="33" t="s">
        <v>1176</v>
      </c>
      <c r="C630" s="41" t="s">
        <v>398</v>
      </c>
      <c r="D630" s="123" t="s">
        <v>1876</v>
      </c>
      <c r="E630" s="123" t="s">
        <v>1612</v>
      </c>
      <c r="F630" s="123" t="s">
        <v>1877</v>
      </c>
      <c r="G630" s="123" t="s">
        <v>66</v>
      </c>
      <c r="H630" s="8"/>
      <c r="I630" s="70"/>
      <c r="J630" s="70"/>
      <c r="K630" s="70"/>
      <c r="L630" s="8" t="s">
        <v>398</v>
      </c>
      <c r="M630" s="41"/>
      <c r="N630" s="10"/>
      <c r="O630" s="8"/>
      <c r="P630" s="1"/>
    </row>
    <row r="631" spans="1:16" ht="28.5" customHeight="1">
      <c r="A631" s="10">
        <v>1</v>
      </c>
      <c r="B631" s="33" t="s">
        <v>1176</v>
      </c>
      <c r="C631" s="41" t="s">
        <v>398</v>
      </c>
      <c r="D631" s="123" t="s">
        <v>1878</v>
      </c>
      <c r="E631" s="123" t="s">
        <v>1474</v>
      </c>
      <c r="F631" s="123" t="s">
        <v>1879</v>
      </c>
      <c r="G631" s="123" t="s">
        <v>1603</v>
      </c>
      <c r="H631" s="8"/>
      <c r="I631" s="70"/>
      <c r="J631" s="70"/>
      <c r="K631" s="70"/>
      <c r="L631" s="8" t="s">
        <v>398</v>
      </c>
      <c r="M631" s="41"/>
      <c r="N631" s="10"/>
      <c r="O631" s="8"/>
      <c r="P631" s="1"/>
    </row>
    <row r="632" spans="1:16" ht="28.5" customHeight="1">
      <c r="A632" s="10">
        <v>1</v>
      </c>
      <c r="B632" s="33" t="s">
        <v>1176</v>
      </c>
      <c r="C632" s="41" t="s">
        <v>398</v>
      </c>
      <c r="D632" s="123" t="s">
        <v>1880</v>
      </c>
      <c r="E632" s="123" t="s">
        <v>290</v>
      </c>
      <c r="F632" s="123" t="s">
        <v>1881</v>
      </c>
      <c r="G632" s="123" t="s">
        <v>1570</v>
      </c>
      <c r="H632" s="8"/>
      <c r="I632" s="70"/>
      <c r="J632" s="70"/>
      <c r="K632" s="70"/>
      <c r="L632" s="8" t="s">
        <v>398</v>
      </c>
      <c r="M632" s="41"/>
      <c r="N632" s="10"/>
      <c r="O632" s="8"/>
      <c r="P632" s="1"/>
    </row>
    <row r="633" spans="1:16" ht="28.5" customHeight="1">
      <c r="A633" s="10">
        <v>1</v>
      </c>
      <c r="B633" s="33" t="s">
        <v>1176</v>
      </c>
      <c r="C633" s="41" t="s">
        <v>398</v>
      </c>
      <c r="D633" s="123" t="s">
        <v>1882</v>
      </c>
      <c r="E633" s="123" t="s">
        <v>1595</v>
      </c>
      <c r="F633" s="123" t="s">
        <v>1883</v>
      </c>
      <c r="G633" s="123" t="s">
        <v>66</v>
      </c>
      <c r="H633" s="8"/>
      <c r="I633" s="70"/>
      <c r="J633" s="70"/>
      <c r="K633" s="70"/>
      <c r="L633" s="8" t="s">
        <v>398</v>
      </c>
      <c r="M633" s="41"/>
      <c r="N633" s="10"/>
      <c r="O633" s="8"/>
      <c r="P633" s="1"/>
    </row>
    <row r="634" spans="1:16" ht="28.5" customHeight="1">
      <c r="A634" s="10">
        <v>1</v>
      </c>
      <c r="B634" s="33" t="s">
        <v>1176</v>
      </c>
      <c r="C634" s="41" t="s">
        <v>398</v>
      </c>
      <c r="D634" s="123" t="s">
        <v>1884</v>
      </c>
      <c r="E634" s="123" t="s">
        <v>1885</v>
      </c>
      <c r="F634" s="123" t="s">
        <v>1886</v>
      </c>
      <c r="G634" s="123" t="s">
        <v>41</v>
      </c>
      <c r="H634" s="8"/>
      <c r="I634" s="70"/>
      <c r="J634" s="70"/>
      <c r="K634" s="70"/>
      <c r="L634" s="8" t="s">
        <v>398</v>
      </c>
      <c r="M634" s="41"/>
      <c r="N634" s="10"/>
      <c r="O634" s="8"/>
      <c r="P634" s="1"/>
    </row>
    <row r="635" spans="1:16" ht="28.5" customHeight="1">
      <c r="A635" s="10">
        <v>1</v>
      </c>
      <c r="B635" s="33" t="s">
        <v>1176</v>
      </c>
      <c r="C635" s="41" t="s">
        <v>398</v>
      </c>
      <c r="D635" s="123" t="s">
        <v>1887</v>
      </c>
      <c r="E635" s="123" t="s">
        <v>1888</v>
      </c>
      <c r="F635" s="123" t="s">
        <v>1889</v>
      </c>
      <c r="G635" s="123" t="s">
        <v>1582</v>
      </c>
      <c r="H635" s="8"/>
      <c r="I635" s="70"/>
      <c r="J635" s="70"/>
      <c r="K635" s="70"/>
      <c r="L635" s="8" t="s">
        <v>398</v>
      </c>
      <c r="M635" s="41"/>
      <c r="N635" s="10"/>
      <c r="O635" s="8"/>
      <c r="P635" s="1"/>
    </row>
    <row r="636" spans="1:16" ht="28.5" customHeight="1">
      <c r="A636" s="10">
        <v>1</v>
      </c>
      <c r="B636" s="33" t="s">
        <v>1176</v>
      </c>
      <c r="C636" s="41" t="s">
        <v>398</v>
      </c>
      <c r="D636" s="123" t="s">
        <v>1890</v>
      </c>
      <c r="E636" s="123" t="s">
        <v>1782</v>
      </c>
      <c r="F636" s="123" t="s">
        <v>1891</v>
      </c>
      <c r="G636" s="123" t="s">
        <v>1570</v>
      </c>
      <c r="H636" s="8"/>
      <c r="I636" s="70"/>
      <c r="J636" s="70"/>
      <c r="K636" s="70"/>
      <c r="L636" s="8" t="s">
        <v>398</v>
      </c>
      <c r="M636" s="41"/>
      <c r="N636" s="10"/>
      <c r="O636" s="8"/>
      <c r="P636" s="1"/>
    </row>
    <row r="637" spans="1:16" ht="28.5" customHeight="1">
      <c r="A637" s="10">
        <v>1</v>
      </c>
      <c r="B637" s="33" t="s">
        <v>1176</v>
      </c>
      <c r="C637" s="41" t="s">
        <v>398</v>
      </c>
      <c r="D637" s="123" t="s">
        <v>1892</v>
      </c>
      <c r="E637" s="123" t="s">
        <v>1443</v>
      </c>
      <c r="F637" s="123" t="s">
        <v>1893</v>
      </c>
      <c r="G637" s="123" t="s">
        <v>32</v>
      </c>
      <c r="H637" s="8"/>
      <c r="I637" s="70"/>
      <c r="J637" s="70"/>
      <c r="K637" s="70"/>
      <c r="L637" s="8" t="s">
        <v>398</v>
      </c>
      <c r="M637" s="41"/>
      <c r="N637" s="10"/>
      <c r="O637" s="8"/>
      <c r="P637" s="1"/>
    </row>
    <row r="638" spans="1:16" ht="28.5" customHeight="1">
      <c r="A638" s="10">
        <v>1</v>
      </c>
      <c r="B638" s="33" t="s">
        <v>1176</v>
      </c>
      <c r="C638" s="41" t="s">
        <v>398</v>
      </c>
      <c r="D638" s="123" t="s">
        <v>1894</v>
      </c>
      <c r="E638" s="123" t="s">
        <v>165</v>
      </c>
      <c r="F638" s="123" t="s">
        <v>1895</v>
      </c>
      <c r="G638" s="123" t="s">
        <v>66</v>
      </c>
      <c r="H638" s="8"/>
      <c r="I638" s="70"/>
      <c r="J638" s="70"/>
      <c r="K638" s="70"/>
      <c r="L638" s="8" t="s">
        <v>398</v>
      </c>
      <c r="M638" s="41"/>
      <c r="N638" s="10"/>
      <c r="O638" s="8"/>
      <c r="P638" s="1"/>
    </row>
    <row r="639" spans="1:16" ht="28.5" customHeight="1">
      <c r="A639" s="10">
        <v>1</v>
      </c>
      <c r="B639" s="33" t="s">
        <v>1176</v>
      </c>
      <c r="C639" s="41" t="s">
        <v>398</v>
      </c>
      <c r="D639" s="123" t="s">
        <v>1896</v>
      </c>
      <c r="E639" s="123" t="s">
        <v>157</v>
      </c>
      <c r="F639" s="123" t="s">
        <v>1897</v>
      </c>
      <c r="G639" s="123" t="s">
        <v>1746</v>
      </c>
      <c r="H639" s="8"/>
      <c r="I639" s="70"/>
      <c r="J639" s="70"/>
      <c r="K639" s="70"/>
      <c r="L639" s="8" t="s">
        <v>398</v>
      </c>
      <c r="M639" s="41"/>
      <c r="N639" s="10"/>
      <c r="O639" s="8"/>
      <c r="P639" s="1"/>
    </row>
    <row r="640" spans="1:16" ht="28.5" customHeight="1">
      <c r="A640" s="10">
        <v>1</v>
      </c>
      <c r="B640" s="33" t="s">
        <v>1176</v>
      </c>
      <c r="C640" s="41" t="s">
        <v>398</v>
      </c>
      <c r="D640" s="123" t="s">
        <v>1898</v>
      </c>
      <c r="E640" s="123" t="s">
        <v>1899</v>
      </c>
      <c r="F640" s="123" t="s">
        <v>1900</v>
      </c>
      <c r="G640" s="123" t="s">
        <v>1570</v>
      </c>
      <c r="H640" s="8"/>
      <c r="I640" s="70"/>
      <c r="J640" s="70"/>
      <c r="K640" s="70"/>
      <c r="L640" s="8" t="s">
        <v>398</v>
      </c>
      <c r="M640" s="41"/>
      <c r="N640" s="10"/>
      <c r="O640" s="8"/>
      <c r="P640" s="1"/>
    </row>
    <row r="641" spans="1:16" ht="28.5" customHeight="1">
      <c r="A641" s="10">
        <v>1</v>
      </c>
      <c r="B641" s="33" t="s">
        <v>1176</v>
      </c>
      <c r="C641" s="41" t="s">
        <v>398</v>
      </c>
      <c r="D641" s="123" t="s">
        <v>1901</v>
      </c>
      <c r="E641" s="123" t="s">
        <v>1902</v>
      </c>
      <c r="F641" s="123" t="s">
        <v>1903</v>
      </c>
      <c r="G641" s="123" t="s">
        <v>1603</v>
      </c>
      <c r="H641" s="8"/>
      <c r="I641" s="70"/>
      <c r="J641" s="70"/>
      <c r="K641" s="70"/>
      <c r="L641" s="8" t="s">
        <v>398</v>
      </c>
      <c r="M641" s="41"/>
      <c r="N641" s="10"/>
      <c r="O641" s="8"/>
      <c r="P641" s="1"/>
    </row>
    <row r="642" spans="1:16" ht="28.5" customHeight="1">
      <c r="A642" s="10">
        <v>1</v>
      </c>
      <c r="B642" s="33" t="s">
        <v>1176</v>
      </c>
      <c r="C642" s="41" t="s">
        <v>398</v>
      </c>
      <c r="D642" s="123" t="s">
        <v>1904</v>
      </c>
      <c r="E642" s="123" t="s">
        <v>1595</v>
      </c>
      <c r="F642" s="123" t="s">
        <v>1905</v>
      </c>
      <c r="G642" s="123" t="s">
        <v>66</v>
      </c>
      <c r="H642" s="8"/>
      <c r="I642" s="70"/>
      <c r="J642" s="70"/>
      <c r="K642" s="70"/>
      <c r="L642" s="8" t="s">
        <v>398</v>
      </c>
      <c r="M642" s="41"/>
      <c r="N642" s="10"/>
      <c r="O642" s="8"/>
      <c r="P642" s="1"/>
    </row>
    <row r="643" spans="1:16" ht="28.5" customHeight="1">
      <c r="A643" s="10">
        <v>1</v>
      </c>
      <c r="B643" s="33" t="s">
        <v>1176</v>
      </c>
      <c r="C643" s="41" t="s">
        <v>398</v>
      </c>
      <c r="D643" s="123" t="s">
        <v>1906</v>
      </c>
      <c r="E643" s="123" t="s">
        <v>1907</v>
      </c>
      <c r="F643" s="123" t="s">
        <v>1908</v>
      </c>
      <c r="G643" s="123" t="s">
        <v>1603</v>
      </c>
      <c r="H643" s="8"/>
      <c r="I643" s="70"/>
      <c r="J643" s="70"/>
      <c r="K643" s="70"/>
      <c r="L643" s="8" t="s">
        <v>398</v>
      </c>
      <c r="M643" s="41"/>
      <c r="N643" s="10"/>
      <c r="O643" s="8"/>
      <c r="P643" s="1"/>
    </row>
    <row r="644" spans="1:16" ht="28.5" customHeight="1">
      <c r="A644" s="10">
        <v>1</v>
      </c>
      <c r="B644" s="33" t="s">
        <v>1176</v>
      </c>
      <c r="C644" s="41" t="s">
        <v>398</v>
      </c>
      <c r="D644" s="123" t="s">
        <v>1909</v>
      </c>
      <c r="E644" s="123" t="s">
        <v>298</v>
      </c>
      <c r="F644" s="123" t="s">
        <v>1910</v>
      </c>
      <c r="G644" s="123" t="s">
        <v>1570</v>
      </c>
      <c r="H644" s="8"/>
      <c r="I644" s="70"/>
      <c r="J644" s="70"/>
      <c r="K644" s="70"/>
      <c r="L644" s="8" t="s">
        <v>398</v>
      </c>
      <c r="M644" s="41"/>
      <c r="N644" s="10"/>
      <c r="O644" s="8"/>
      <c r="P644" s="1"/>
    </row>
    <row r="645" spans="1:16" ht="28.5" customHeight="1">
      <c r="A645" s="10">
        <v>1</v>
      </c>
      <c r="B645" s="33" t="s">
        <v>1176</v>
      </c>
      <c r="C645" s="41" t="s">
        <v>398</v>
      </c>
      <c r="D645" s="123" t="s">
        <v>1911</v>
      </c>
      <c r="E645" s="123" t="s">
        <v>298</v>
      </c>
      <c r="F645" s="123" t="s">
        <v>1912</v>
      </c>
      <c r="G645" s="123" t="s">
        <v>1570</v>
      </c>
      <c r="H645" s="8"/>
      <c r="I645" s="70"/>
      <c r="J645" s="70"/>
      <c r="K645" s="70"/>
      <c r="L645" s="8" t="s">
        <v>398</v>
      </c>
      <c r="M645" s="41"/>
      <c r="N645" s="10"/>
      <c r="O645" s="8"/>
      <c r="P645" s="1"/>
    </row>
    <row r="646" spans="1:16" ht="28.5" customHeight="1">
      <c r="A646" s="10">
        <v>1</v>
      </c>
      <c r="B646" s="33" t="s">
        <v>1176</v>
      </c>
      <c r="C646" s="41" t="s">
        <v>398</v>
      </c>
      <c r="D646" s="123" t="s">
        <v>1913</v>
      </c>
      <c r="E646" s="123" t="s">
        <v>363</v>
      </c>
      <c r="F646" s="123" t="s">
        <v>1914</v>
      </c>
      <c r="G646" s="123" t="s">
        <v>66</v>
      </c>
      <c r="H646" s="8"/>
      <c r="I646" s="70"/>
      <c r="J646" s="70"/>
      <c r="K646" s="70"/>
      <c r="L646" s="8" t="s">
        <v>398</v>
      </c>
      <c r="M646" s="41"/>
      <c r="N646" s="10"/>
      <c r="O646" s="8"/>
      <c r="P646" s="1"/>
    </row>
    <row r="647" spans="1:16" ht="28.5" customHeight="1">
      <c r="A647" s="10">
        <v>1</v>
      </c>
      <c r="B647" s="33" t="s">
        <v>1176</v>
      </c>
      <c r="C647" s="41" t="s">
        <v>398</v>
      </c>
      <c r="D647" s="123" t="s">
        <v>1915</v>
      </c>
      <c r="E647" s="123" t="s">
        <v>1916</v>
      </c>
      <c r="F647" s="123" t="s">
        <v>1917</v>
      </c>
      <c r="G647" s="123" t="s">
        <v>1570</v>
      </c>
      <c r="H647" s="8"/>
      <c r="I647" s="70"/>
      <c r="J647" s="70"/>
      <c r="K647" s="70"/>
      <c r="L647" s="8" t="s">
        <v>398</v>
      </c>
      <c r="M647" s="41"/>
      <c r="N647" s="10"/>
      <c r="O647" s="8"/>
      <c r="P647" s="1"/>
    </row>
    <row r="648" spans="1:16" ht="28.5" customHeight="1">
      <c r="A648" s="10">
        <v>1</v>
      </c>
      <c r="B648" s="33" t="s">
        <v>1176</v>
      </c>
      <c r="C648" s="41" t="s">
        <v>398</v>
      </c>
      <c r="D648" s="123" t="s">
        <v>1918</v>
      </c>
      <c r="E648" s="123" t="s">
        <v>1919</v>
      </c>
      <c r="F648" s="123" t="s">
        <v>1920</v>
      </c>
      <c r="G648" s="123" t="s">
        <v>1582</v>
      </c>
      <c r="H648" s="8"/>
      <c r="I648" s="70"/>
      <c r="J648" s="70"/>
      <c r="K648" s="70"/>
      <c r="L648" s="8" t="s">
        <v>398</v>
      </c>
      <c r="M648" s="41"/>
      <c r="N648" s="10"/>
      <c r="O648" s="8"/>
      <c r="P648" s="1"/>
    </row>
    <row r="649" spans="1:16" ht="28.5" customHeight="1">
      <c r="A649" s="10">
        <v>1</v>
      </c>
      <c r="B649" s="33" t="s">
        <v>1176</v>
      </c>
      <c r="C649" s="41" t="s">
        <v>398</v>
      </c>
      <c r="D649" s="123" t="s">
        <v>1921</v>
      </c>
      <c r="E649" s="123" t="s">
        <v>298</v>
      </c>
      <c r="F649" s="123" t="s">
        <v>1922</v>
      </c>
      <c r="G649" s="123" t="s">
        <v>1570</v>
      </c>
      <c r="H649" s="8"/>
      <c r="I649" s="70"/>
      <c r="J649" s="70"/>
      <c r="K649" s="70"/>
      <c r="L649" s="8" t="s">
        <v>398</v>
      </c>
      <c r="M649" s="41"/>
      <c r="N649" s="10"/>
      <c r="O649" s="8"/>
      <c r="P649" s="1"/>
    </row>
    <row r="650" spans="1:16" ht="28.5" customHeight="1">
      <c r="A650" s="10">
        <v>1</v>
      </c>
      <c r="B650" s="33" t="s">
        <v>1176</v>
      </c>
      <c r="C650" s="41" t="s">
        <v>398</v>
      </c>
      <c r="D650" s="123" t="s">
        <v>1923</v>
      </c>
      <c r="E650" s="123" t="s">
        <v>817</v>
      </c>
      <c r="F650" s="123" t="s">
        <v>1924</v>
      </c>
      <c r="G650" s="123" t="s">
        <v>41</v>
      </c>
      <c r="H650" s="8"/>
      <c r="I650" s="70"/>
      <c r="J650" s="70"/>
      <c r="K650" s="70"/>
      <c r="L650" s="8" t="s">
        <v>398</v>
      </c>
      <c r="M650" s="41"/>
      <c r="N650" s="10"/>
      <c r="O650" s="8"/>
      <c r="P650" s="1"/>
    </row>
    <row r="651" spans="1:16" ht="28.5" customHeight="1">
      <c r="A651" s="10">
        <v>1</v>
      </c>
      <c r="B651" s="33" t="s">
        <v>1176</v>
      </c>
      <c r="C651" s="41" t="s">
        <v>398</v>
      </c>
      <c r="D651" s="123" t="s">
        <v>1925</v>
      </c>
      <c r="E651" s="123" t="s">
        <v>1802</v>
      </c>
      <c r="F651" s="123" t="s">
        <v>1926</v>
      </c>
      <c r="G651" s="123" t="s">
        <v>1603</v>
      </c>
      <c r="H651" s="8"/>
      <c r="I651" s="70"/>
      <c r="J651" s="70"/>
      <c r="K651" s="70"/>
      <c r="L651" s="8" t="s">
        <v>398</v>
      </c>
      <c r="M651" s="41"/>
      <c r="N651" s="10"/>
      <c r="O651" s="8"/>
      <c r="P651" s="1"/>
    </row>
    <row r="652" spans="1:16" ht="28.5" customHeight="1">
      <c r="A652" s="10">
        <v>1</v>
      </c>
      <c r="B652" s="33" t="s">
        <v>1176</v>
      </c>
      <c r="C652" s="41" t="s">
        <v>398</v>
      </c>
      <c r="D652" s="123" t="s">
        <v>1927</v>
      </c>
      <c r="E652" s="123" t="s">
        <v>1707</v>
      </c>
      <c r="F652" s="123" t="s">
        <v>1928</v>
      </c>
      <c r="G652" s="123" t="s">
        <v>1570</v>
      </c>
      <c r="H652" s="8"/>
      <c r="I652" s="70"/>
      <c r="J652" s="70"/>
      <c r="K652" s="70"/>
      <c r="L652" s="8" t="s">
        <v>398</v>
      </c>
      <c r="M652" s="41"/>
      <c r="N652" s="10"/>
      <c r="O652" s="8"/>
      <c r="P652" s="1"/>
    </row>
    <row r="653" spans="1:16" ht="28.5" customHeight="1">
      <c r="A653" s="10">
        <v>1</v>
      </c>
      <c r="B653" s="33" t="s">
        <v>1176</v>
      </c>
      <c r="C653" s="41" t="s">
        <v>398</v>
      </c>
      <c r="D653" s="123" t="s">
        <v>1929</v>
      </c>
      <c r="E653" s="123" t="s">
        <v>619</v>
      </c>
      <c r="F653" s="123" t="s">
        <v>1930</v>
      </c>
      <c r="G653" s="123" t="s">
        <v>66</v>
      </c>
      <c r="H653" s="8"/>
      <c r="I653" s="70"/>
      <c r="J653" s="70"/>
      <c r="K653" s="70"/>
      <c r="L653" s="8" t="s">
        <v>398</v>
      </c>
      <c r="M653" s="41"/>
      <c r="N653" s="10"/>
      <c r="O653" s="8"/>
      <c r="P653" s="1"/>
    </row>
    <row r="654" spans="1:16" ht="28.5" customHeight="1">
      <c r="A654" s="10">
        <v>1</v>
      </c>
      <c r="B654" s="33" t="s">
        <v>1176</v>
      </c>
      <c r="C654" s="41" t="s">
        <v>398</v>
      </c>
      <c r="D654" s="123" t="s">
        <v>1931</v>
      </c>
      <c r="E654" s="123" t="s">
        <v>1835</v>
      </c>
      <c r="F654" s="123" t="s">
        <v>1932</v>
      </c>
      <c r="G654" s="123" t="s">
        <v>1570</v>
      </c>
      <c r="H654" s="8"/>
      <c r="I654" s="70"/>
      <c r="J654" s="70"/>
      <c r="K654" s="70"/>
      <c r="L654" s="8" t="s">
        <v>398</v>
      </c>
      <c r="M654" s="41"/>
      <c r="N654" s="10"/>
      <c r="O654" s="8"/>
      <c r="P654" s="1"/>
    </row>
    <row r="655" spans="1:16" ht="28.5" customHeight="1">
      <c r="A655" s="10">
        <v>1</v>
      </c>
      <c r="B655" s="33" t="s">
        <v>1176</v>
      </c>
      <c r="C655" s="41" t="s">
        <v>398</v>
      </c>
      <c r="D655" s="123" t="s">
        <v>1933</v>
      </c>
      <c r="E655" s="123" t="s">
        <v>1916</v>
      </c>
      <c r="F655" s="123" t="s">
        <v>1934</v>
      </c>
      <c r="G655" s="123" t="s">
        <v>1570</v>
      </c>
      <c r="H655" s="8"/>
      <c r="I655" s="70"/>
      <c r="J655" s="70"/>
      <c r="K655" s="70"/>
      <c r="L655" s="8" t="s">
        <v>398</v>
      </c>
      <c r="M655" s="41"/>
      <c r="N655" s="10"/>
      <c r="O655" s="8"/>
      <c r="P655" s="1"/>
    </row>
    <row r="656" spans="1:16" ht="28.5" customHeight="1">
      <c r="A656" s="10">
        <v>1</v>
      </c>
      <c r="B656" s="33" t="s">
        <v>1176</v>
      </c>
      <c r="C656" s="41" t="s">
        <v>398</v>
      </c>
      <c r="D656" s="123" t="s">
        <v>1935</v>
      </c>
      <c r="E656" s="123" t="s">
        <v>340</v>
      </c>
      <c r="F656" s="123" t="s">
        <v>1936</v>
      </c>
      <c r="G656" s="123" t="s">
        <v>66</v>
      </c>
      <c r="H656" s="8"/>
      <c r="I656" s="70"/>
      <c r="J656" s="70"/>
      <c r="K656" s="70"/>
      <c r="L656" s="8" t="s">
        <v>398</v>
      </c>
      <c r="M656" s="41"/>
      <c r="N656" s="10"/>
      <c r="O656" s="8"/>
      <c r="P656" s="1"/>
    </row>
    <row r="657" spans="1:16" ht="28.5" customHeight="1">
      <c r="A657" s="10">
        <v>1</v>
      </c>
      <c r="B657" s="33" t="s">
        <v>1176</v>
      </c>
      <c r="C657" s="41" t="s">
        <v>398</v>
      </c>
      <c r="D657" s="123" t="s">
        <v>1937</v>
      </c>
      <c r="E657" s="123" t="s">
        <v>1250</v>
      </c>
      <c r="F657" s="123" t="s">
        <v>1938</v>
      </c>
      <c r="G657" s="123" t="s">
        <v>41</v>
      </c>
      <c r="H657" s="8"/>
      <c r="I657" s="70"/>
      <c r="J657" s="70"/>
      <c r="K657" s="70"/>
      <c r="L657" s="8" t="s">
        <v>398</v>
      </c>
      <c r="M657" s="41"/>
      <c r="N657" s="10"/>
      <c r="O657" s="8"/>
      <c r="P657" s="1"/>
    </row>
    <row r="658" spans="1:16" ht="28.5" customHeight="1">
      <c r="A658" s="10">
        <v>1</v>
      </c>
      <c r="B658" s="33" t="s">
        <v>1176</v>
      </c>
      <c r="C658" s="41" t="s">
        <v>398</v>
      </c>
      <c r="D658" s="123" t="s">
        <v>1939</v>
      </c>
      <c r="E658" s="123" t="s">
        <v>161</v>
      </c>
      <c r="F658" s="123" t="s">
        <v>1940</v>
      </c>
      <c r="G658" s="123" t="s">
        <v>66</v>
      </c>
      <c r="H658" s="8"/>
      <c r="I658" s="70"/>
      <c r="J658" s="70"/>
      <c r="K658" s="70"/>
      <c r="L658" s="8" t="s">
        <v>398</v>
      </c>
      <c r="M658" s="41"/>
      <c r="N658" s="10"/>
      <c r="O658" s="8"/>
      <c r="P658" s="1"/>
    </row>
    <row r="659" spans="1:16" ht="28.5" customHeight="1">
      <c r="A659" s="10">
        <v>1</v>
      </c>
      <c r="B659" s="33" t="s">
        <v>1176</v>
      </c>
      <c r="C659" s="41" t="s">
        <v>398</v>
      </c>
      <c r="D659" s="123" t="s">
        <v>1941</v>
      </c>
      <c r="E659" s="123" t="s">
        <v>315</v>
      </c>
      <c r="F659" s="123" t="s">
        <v>1942</v>
      </c>
      <c r="G659" s="123" t="s">
        <v>66</v>
      </c>
      <c r="H659" s="8"/>
      <c r="I659" s="70"/>
      <c r="J659" s="70"/>
      <c r="K659" s="70"/>
      <c r="L659" s="8" t="s">
        <v>398</v>
      </c>
      <c r="M659" s="41"/>
      <c r="N659" s="10"/>
      <c r="O659" s="8"/>
      <c r="P659" s="1"/>
    </row>
    <row r="660" spans="1:16" ht="28.5" customHeight="1">
      <c r="A660" s="10">
        <v>1</v>
      </c>
      <c r="B660" s="33" t="s">
        <v>1176</v>
      </c>
      <c r="C660" s="41" t="s">
        <v>398</v>
      </c>
      <c r="D660" s="123" t="s">
        <v>1943</v>
      </c>
      <c r="E660" s="123" t="s">
        <v>260</v>
      </c>
      <c r="F660" s="123" t="s">
        <v>1944</v>
      </c>
      <c r="G660" s="123" t="s">
        <v>32</v>
      </c>
      <c r="H660" s="8"/>
      <c r="I660" s="70"/>
      <c r="J660" s="70"/>
      <c r="K660" s="70"/>
      <c r="L660" s="8" t="s">
        <v>398</v>
      </c>
      <c r="M660" s="41"/>
      <c r="N660" s="10"/>
      <c r="O660" s="8"/>
      <c r="P660" s="1"/>
    </row>
    <row r="661" spans="1:16" ht="28.5" customHeight="1">
      <c r="A661" s="10">
        <v>1</v>
      </c>
      <c r="B661" s="33" t="s">
        <v>1176</v>
      </c>
      <c r="C661" s="41" t="s">
        <v>398</v>
      </c>
      <c r="D661" s="123" t="s">
        <v>1945</v>
      </c>
      <c r="E661" s="123" t="s">
        <v>619</v>
      </c>
      <c r="F661" s="123" t="s">
        <v>1946</v>
      </c>
      <c r="G661" s="123" t="s">
        <v>66</v>
      </c>
      <c r="H661" s="8"/>
      <c r="I661" s="70"/>
      <c r="J661" s="70"/>
      <c r="K661" s="70"/>
      <c r="L661" s="8" t="s">
        <v>398</v>
      </c>
      <c r="M661" s="41"/>
      <c r="N661" s="10"/>
      <c r="O661" s="8"/>
      <c r="P661" s="1"/>
    </row>
    <row r="662" spans="1:16" ht="28.5" customHeight="1">
      <c r="A662" s="10">
        <v>1</v>
      </c>
      <c r="B662" s="33" t="s">
        <v>1176</v>
      </c>
      <c r="C662" s="41" t="s">
        <v>398</v>
      </c>
      <c r="D662" s="123" t="s">
        <v>1947</v>
      </c>
      <c r="E662" s="123" t="s">
        <v>1732</v>
      </c>
      <c r="F662" s="123" t="s">
        <v>1948</v>
      </c>
      <c r="G662" s="123" t="s">
        <v>1603</v>
      </c>
      <c r="H662" s="8"/>
      <c r="I662" s="70"/>
      <c r="J662" s="70"/>
      <c r="K662" s="70"/>
      <c r="L662" s="8" t="s">
        <v>398</v>
      </c>
      <c r="M662" s="41"/>
      <c r="N662" s="10"/>
      <c r="O662" s="8"/>
      <c r="P662" s="1"/>
    </row>
    <row r="663" spans="1:16" ht="28.5" customHeight="1">
      <c r="A663" s="10">
        <v>1</v>
      </c>
      <c r="B663" s="33" t="s">
        <v>1176</v>
      </c>
      <c r="C663" s="41" t="s">
        <v>398</v>
      </c>
      <c r="D663" s="123" t="s">
        <v>1949</v>
      </c>
      <c r="E663" s="123" t="s">
        <v>1802</v>
      </c>
      <c r="F663" s="123" t="s">
        <v>1950</v>
      </c>
      <c r="G663" s="123" t="s">
        <v>41</v>
      </c>
      <c r="H663" s="8"/>
      <c r="I663" s="70"/>
      <c r="J663" s="70"/>
      <c r="K663" s="70"/>
      <c r="L663" s="8" t="s">
        <v>398</v>
      </c>
      <c r="M663" s="41"/>
      <c r="N663" s="10"/>
      <c r="O663" s="8"/>
      <c r="P663" s="1"/>
    </row>
    <row r="664" spans="1:16" ht="28.5" customHeight="1">
      <c r="A664" s="10">
        <v>1</v>
      </c>
      <c r="B664" s="33" t="s">
        <v>1176</v>
      </c>
      <c r="C664" s="41" t="s">
        <v>398</v>
      </c>
      <c r="D664" s="123" t="s">
        <v>1951</v>
      </c>
      <c r="E664" s="123" t="s">
        <v>161</v>
      </c>
      <c r="F664" s="123" t="s">
        <v>1952</v>
      </c>
      <c r="G664" s="123" t="s">
        <v>66</v>
      </c>
      <c r="H664" s="8"/>
      <c r="I664" s="70"/>
      <c r="J664" s="70"/>
      <c r="K664" s="70"/>
      <c r="L664" s="8" t="s">
        <v>398</v>
      </c>
      <c r="M664" s="41"/>
      <c r="N664" s="10"/>
      <c r="O664" s="8"/>
      <c r="P664" s="1"/>
    </row>
    <row r="665" spans="1:16" ht="28.5" customHeight="1">
      <c r="A665" s="10">
        <v>1</v>
      </c>
      <c r="B665" s="33" t="s">
        <v>1176</v>
      </c>
      <c r="C665" s="41" t="s">
        <v>398</v>
      </c>
      <c r="D665" s="123" t="s">
        <v>1953</v>
      </c>
      <c r="E665" s="123" t="s">
        <v>253</v>
      </c>
      <c r="F665" s="123" t="s">
        <v>1954</v>
      </c>
      <c r="G665" s="123" t="s">
        <v>1570</v>
      </c>
      <c r="H665" s="8"/>
      <c r="I665" s="70"/>
      <c r="J665" s="70"/>
      <c r="K665" s="70"/>
      <c r="L665" s="8" t="s">
        <v>398</v>
      </c>
      <c r="M665" s="41"/>
      <c r="N665" s="10"/>
      <c r="O665" s="8"/>
      <c r="P665" s="1"/>
    </row>
    <row r="666" spans="1:16" ht="28.5" customHeight="1">
      <c r="A666" s="10">
        <v>1</v>
      </c>
      <c r="B666" s="33" t="s">
        <v>1176</v>
      </c>
      <c r="C666" s="41" t="s">
        <v>398</v>
      </c>
      <c r="D666" s="123" t="s">
        <v>1955</v>
      </c>
      <c r="E666" s="123" t="s">
        <v>315</v>
      </c>
      <c r="F666" s="123" t="s">
        <v>1956</v>
      </c>
      <c r="G666" s="123" t="s">
        <v>66</v>
      </c>
      <c r="H666" s="8"/>
      <c r="I666" s="70"/>
      <c r="J666" s="70"/>
      <c r="K666" s="70"/>
      <c r="L666" s="8" t="s">
        <v>398</v>
      </c>
      <c r="M666" s="41"/>
      <c r="N666" s="10"/>
      <c r="O666" s="8"/>
      <c r="P666" s="1"/>
    </row>
    <row r="667" spans="1:16" ht="28.5" customHeight="1">
      <c r="A667" s="10">
        <v>1</v>
      </c>
      <c r="B667" s="33" t="s">
        <v>1176</v>
      </c>
      <c r="C667" s="41" t="s">
        <v>398</v>
      </c>
      <c r="D667" s="123" t="s">
        <v>1957</v>
      </c>
      <c r="E667" s="123" t="s">
        <v>298</v>
      </c>
      <c r="F667" s="123" t="s">
        <v>1958</v>
      </c>
      <c r="G667" s="123" t="s">
        <v>1570</v>
      </c>
      <c r="H667" s="8"/>
      <c r="I667" s="70"/>
      <c r="J667" s="70"/>
      <c r="K667" s="70"/>
      <c r="L667" s="8" t="s">
        <v>398</v>
      </c>
      <c r="M667" s="41"/>
      <c r="N667" s="10"/>
      <c r="O667" s="8"/>
      <c r="P667" s="1"/>
    </row>
    <row r="668" spans="1:16" ht="28.5" customHeight="1">
      <c r="A668" s="10">
        <v>1</v>
      </c>
      <c r="B668" s="33" t="s">
        <v>1176</v>
      </c>
      <c r="C668" s="41" t="s">
        <v>398</v>
      </c>
      <c r="D668" s="123" t="s">
        <v>1959</v>
      </c>
      <c r="E668" s="123" t="s">
        <v>1960</v>
      </c>
      <c r="F668" s="123" t="s">
        <v>1961</v>
      </c>
      <c r="G668" s="123" t="s">
        <v>1603</v>
      </c>
      <c r="H668" s="8"/>
      <c r="I668" s="70"/>
      <c r="J668" s="70"/>
      <c r="K668" s="70"/>
      <c r="L668" s="8" t="s">
        <v>398</v>
      </c>
      <c r="M668" s="41"/>
      <c r="N668" s="10"/>
      <c r="O668" s="8"/>
      <c r="P668" s="1"/>
    </row>
    <row r="669" spans="1:16" ht="28.5" customHeight="1">
      <c r="A669" s="10">
        <v>1</v>
      </c>
      <c r="B669" s="33" t="s">
        <v>1176</v>
      </c>
      <c r="C669" s="41" t="s">
        <v>398</v>
      </c>
      <c r="D669" s="123" t="s">
        <v>1962</v>
      </c>
      <c r="E669" s="123" t="s">
        <v>161</v>
      </c>
      <c r="F669" s="123" t="s">
        <v>1963</v>
      </c>
      <c r="G669" s="123" t="s">
        <v>66</v>
      </c>
      <c r="H669" s="8"/>
      <c r="I669" s="70"/>
      <c r="J669" s="70"/>
      <c r="K669" s="70"/>
      <c r="L669" s="8" t="s">
        <v>398</v>
      </c>
      <c r="M669" s="41"/>
      <c r="N669" s="10"/>
      <c r="O669" s="8"/>
      <c r="P669" s="1"/>
    </row>
    <row r="670" spans="1:16" ht="28.5" customHeight="1">
      <c r="A670" s="10">
        <v>1</v>
      </c>
      <c r="B670" s="33" t="s">
        <v>1176</v>
      </c>
      <c r="C670" s="41" t="s">
        <v>398</v>
      </c>
      <c r="D670" s="123" t="s">
        <v>1964</v>
      </c>
      <c r="E670" s="123" t="s">
        <v>1661</v>
      </c>
      <c r="F670" s="123" t="s">
        <v>1965</v>
      </c>
      <c r="G670" s="123" t="s">
        <v>66</v>
      </c>
      <c r="H670" s="8"/>
      <c r="I670" s="70"/>
      <c r="J670" s="70"/>
      <c r="K670" s="70"/>
      <c r="L670" s="8" t="s">
        <v>398</v>
      </c>
      <c r="M670" s="41"/>
      <c r="N670" s="10"/>
      <c r="O670" s="8"/>
      <c r="P670" s="1"/>
    </row>
    <row r="671" spans="1:16" ht="28.5" customHeight="1">
      <c r="A671" s="10">
        <v>1</v>
      </c>
      <c r="B671" s="33" t="s">
        <v>1176</v>
      </c>
      <c r="C671" s="41" t="s">
        <v>398</v>
      </c>
      <c r="D671" s="123" t="s">
        <v>1966</v>
      </c>
      <c r="E671" s="123" t="s">
        <v>1967</v>
      </c>
      <c r="F671" s="123" t="s">
        <v>1968</v>
      </c>
      <c r="G671" s="123" t="s">
        <v>1582</v>
      </c>
      <c r="H671" s="8"/>
      <c r="I671" s="70"/>
      <c r="J671" s="70"/>
      <c r="K671" s="70"/>
      <c r="L671" s="8" t="s">
        <v>398</v>
      </c>
      <c r="M671" s="41"/>
      <c r="N671" s="10"/>
      <c r="O671" s="8"/>
      <c r="P671" s="1"/>
    </row>
    <row r="672" spans="1:16" ht="28.5" customHeight="1">
      <c r="A672" s="10">
        <v>1</v>
      </c>
      <c r="B672" s="33" t="s">
        <v>1176</v>
      </c>
      <c r="C672" s="41" t="s">
        <v>398</v>
      </c>
      <c r="D672" s="123" t="s">
        <v>1969</v>
      </c>
      <c r="E672" s="123" t="s">
        <v>1637</v>
      </c>
      <c r="F672" s="123" t="s">
        <v>1970</v>
      </c>
      <c r="G672" s="123" t="s">
        <v>66</v>
      </c>
      <c r="H672" s="8"/>
      <c r="I672" s="70"/>
      <c r="J672" s="70"/>
      <c r="K672" s="70"/>
      <c r="L672" s="8" t="s">
        <v>398</v>
      </c>
      <c r="M672" s="41"/>
      <c r="N672" s="10"/>
      <c r="O672" s="8"/>
      <c r="P672" s="1"/>
    </row>
    <row r="673" spans="1:16" ht="28.5" customHeight="1">
      <c r="A673" s="10">
        <v>1</v>
      </c>
      <c r="B673" s="33" t="s">
        <v>1176</v>
      </c>
      <c r="C673" s="41" t="s">
        <v>398</v>
      </c>
      <c r="D673" s="123" t="s">
        <v>1971</v>
      </c>
      <c r="E673" s="123" t="s">
        <v>290</v>
      </c>
      <c r="F673" s="123" t="s">
        <v>1972</v>
      </c>
      <c r="G673" s="123" t="s">
        <v>1570</v>
      </c>
      <c r="H673" s="8"/>
      <c r="I673" s="70"/>
      <c r="J673" s="70"/>
      <c r="K673" s="70"/>
      <c r="L673" s="8" t="s">
        <v>398</v>
      </c>
      <c r="M673" s="41"/>
      <c r="N673" s="10"/>
      <c r="O673" s="8"/>
      <c r="P673" s="1"/>
    </row>
    <row r="674" spans="1:16" ht="28.5" customHeight="1">
      <c r="A674" s="10">
        <v>1</v>
      </c>
      <c r="B674" s="33" t="s">
        <v>1176</v>
      </c>
      <c r="C674" s="41" t="s">
        <v>398</v>
      </c>
      <c r="D674" s="123" t="s">
        <v>1973</v>
      </c>
      <c r="E674" s="123" t="s">
        <v>1974</v>
      </c>
      <c r="F674" s="123" t="s">
        <v>1975</v>
      </c>
      <c r="G674" s="123" t="s">
        <v>1582</v>
      </c>
      <c r="H674" s="8"/>
      <c r="I674" s="70"/>
      <c r="J674" s="70"/>
      <c r="K674" s="70"/>
      <c r="L674" s="8" t="s">
        <v>398</v>
      </c>
      <c r="M674" s="41"/>
      <c r="N674" s="10"/>
      <c r="O674" s="8"/>
      <c r="P674" s="1"/>
    </row>
    <row r="675" spans="1:16" ht="28.5" customHeight="1">
      <c r="A675" s="10">
        <v>1</v>
      </c>
      <c r="B675" s="33" t="s">
        <v>1176</v>
      </c>
      <c r="C675" s="41" t="s">
        <v>398</v>
      </c>
      <c r="D675" s="123" t="s">
        <v>1976</v>
      </c>
      <c r="E675" s="123" t="s">
        <v>161</v>
      </c>
      <c r="F675" s="123" t="s">
        <v>1977</v>
      </c>
      <c r="G675" s="123" t="s">
        <v>66</v>
      </c>
      <c r="H675" s="8"/>
      <c r="I675" s="70"/>
      <c r="J675" s="70"/>
      <c r="K675" s="70"/>
      <c r="L675" s="8" t="s">
        <v>398</v>
      </c>
      <c r="M675" s="41"/>
      <c r="N675" s="10"/>
      <c r="O675" s="8"/>
      <c r="P675" s="1"/>
    </row>
    <row r="676" spans="1:16" ht="28.5" customHeight="1">
      <c r="A676" s="10">
        <v>1</v>
      </c>
      <c r="B676" s="33" t="s">
        <v>1176</v>
      </c>
      <c r="C676" s="41" t="s">
        <v>398</v>
      </c>
      <c r="D676" s="123" t="s">
        <v>1978</v>
      </c>
      <c r="E676" s="123" t="s">
        <v>39</v>
      </c>
      <c r="F676" s="123" t="s">
        <v>1979</v>
      </c>
      <c r="G676" s="123" t="s">
        <v>41</v>
      </c>
      <c r="H676" s="8"/>
      <c r="I676" s="70"/>
      <c r="J676" s="70"/>
      <c r="K676" s="70"/>
      <c r="L676" s="8" t="s">
        <v>398</v>
      </c>
      <c r="M676" s="41"/>
      <c r="N676" s="10"/>
      <c r="O676" s="8"/>
      <c r="P676" s="1"/>
    </row>
    <row r="677" spans="1:16" ht="28.5" customHeight="1">
      <c r="A677" s="10">
        <v>1</v>
      </c>
      <c r="B677" s="33" t="s">
        <v>1176</v>
      </c>
      <c r="C677" s="41" t="s">
        <v>398</v>
      </c>
      <c r="D677" s="123" t="s">
        <v>1980</v>
      </c>
      <c r="E677" s="123" t="s">
        <v>1870</v>
      </c>
      <c r="F677" s="123" t="s">
        <v>1981</v>
      </c>
      <c r="G677" s="123" t="s">
        <v>66</v>
      </c>
      <c r="H677" s="8"/>
      <c r="I677" s="70"/>
      <c r="J677" s="70"/>
      <c r="K677" s="70"/>
      <c r="L677" s="8" t="s">
        <v>398</v>
      </c>
      <c r="M677" s="41"/>
      <c r="N677" s="10"/>
      <c r="O677" s="8"/>
      <c r="P677" s="1"/>
    </row>
    <row r="678" spans="1:16" ht="28.5" customHeight="1">
      <c r="A678" s="10">
        <v>1</v>
      </c>
      <c r="B678" s="33" t="s">
        <v>1176</v>
      </c>
      <c r="C678" s="41" t="s">
        <v>398</v>
      </c>
      <c r="D678" s="123" t="s">
        <v>1982</v>
      </c>
      <c r="E678" s="123" t="s">
        <v>39</v>
      </c>
      <c r="F678" s="123" t="s">
        <v>1983</v>
      </c>
      <c r="G678" s="123" t="s">
        <v>41</v>
      </c>
      <c r="H678" s="8"/>
      <c r="I678" s="70"/>
      <c r="J678" s="70"/>
      <c r="K678" s="70"/>
      <c r="L678" s="8" t="s">
        <v>398</v>
      </c>
      <c r="M678" s="41"/>
      <c r="N678" s="10"/>
      <c r="O678" s="8"/>
      <c r="P678" s="1"/>
    </row>
    <row r="679" spans="1:16" ht="28.5" customHeight="1">
      <c r="A679" s="10">
        <v>1</v>
      </c>
      <c r="B679" s="33" t="s">
        <v>1176</v>
      </c>
      <c r="C679" s="41" t="s">
        <v>398</v>
      </c>
      <c r="D679" s="123" t="s">
        <v>1984</v>
      </c>
      <c r="E679" s="123" t="s">
        <v>315</v>
      </c>
      <c r="F679" s="123" t="s">
        <v>1985</v>
      </c>
      <c r="G679" s="123" t="s">
        <v>66</v>
      </c>
      <c r="H679" s="8"/>
      <c r="I679" s="70"/>
      <c r="J679" s="70"/>
      <c r="K679" s="70"/>
      <c r="L679" s="8" t="s">
        <v>398</v>
      </c>
      <c r="M679" s="41"/>
      <c r="N679" s="10"/>
      <c r="O679" s="8"/>
      <c r="P679" s="1"/>
    </row>
    <row r="680" spans="1:16" ht="28.5" customHeight="1">
      <c r="A680" s="10">
        <v>1</v>
      </c>
      <c r="B680" s="33" t="s">
        <v>1176</v>
      </c>
      <c r="C680" s="41" t="s">
        <v>398</v>
      </c>
      <c r="D680" s="123" t="s">
        <v>1986</v>
      </c>
      <c r="E680" s="123" t="s">
        <v>270</v>
      </c>
      <c r="F680" s="123" t="s">
        <v>1987</v>
      </c>
      <c r="G680" s="123" t="s">
        <v>66</v>
      </c>
      <c r="H680" s="8"/>
      <c r="I680" s="70"/>
      <c r="J680" s="70"/>
      <c r="K680" s="70"/>
      <c r="L680" s="8" t="s">
        <v>398</v>
      </c>
      <c r="M680" s="41"/>
      <c r="N680" s="10"/>
      <c r="O680" s="8"/>
      <c r="P680" s="1"/>
    </row>
    <row r="681" spans="1:16" ht="28.5" customHeight="1">
      <c r="A681" s="10">
        <v>1</v>
      </c>
      <c r="B681" s="33" t="s">
        <v>1176</v>
      </c>
      <c r="C681" s="41" t="s">
        <v>398</v>
      </c>
      <c r="D681" s="123" t="s">
        <v>1988</v>
      </c>
      <c r="E681" s="123" t="s">
        <v>315</v>
      </c>
      <c r="F681" s="123" t="s">
        <v>1989</v>
      </c>
      <c r="G681" s="123" t="s">
        <v>66</v>
      </c>
      <c r="H681" s="8"/>
      <c r="I681" s="70"/>
      <c r="J681" s="70"/>
      <c r="K681" s="70"/>
      <c r="L681" s="8" t="s">
        <v>398</v>
      </c>
      <c r="M681" s="41"/>
      <c r="N681" s="10"/>
      <c r="O681" s="8"/>
      <c r="P681" s="1"/>
    </row>
    <row r="682" spans="1:16" ht="28.5" customHeight="1">
      <c r="A682" s="10">
        <v>1</v>
      </c>
      <c r="B682" s="33" t="s">
        <v>1176</v>
      </c>
      <c r="C682" s="41" t="s">
        <v>398</v>
      </c>
      <c r="D682" s="123" t="s">
        <v>1990</v>
      </c>
      <c r="E682" s="123" t="s">
        <v>1672</v>
      </c>
      <c r="F682" s="123" t="s">
        <v>1991</v>
      </c>
      <c r="G682" s="123" t="s">
        <v>66</v>
      </c>
      <c r="H682" s="8"/>
      <c r="I682" s="70"/>
      <c r="J682" s="70"/>
      <c r="K682" s="70"/>
      <c r="L682" s="8" t="s">
        <v>398</v>
      </c>
      <c r="M682" s="41"/>
      <c r="N682" s="10"/>
      <c r="O682" s="8"/>
      <c r="P682" s="1"/>
    </row>
    <row r="683" spans="1:16" ht="28.5" customHeight="1">
      <c r="A683" s="10">
        <v>1</v>
      </c>
      <c r="B683" s="33" t="s">
        <v>1176</v>
      </c>
      <c r="C683" s="41" t="s">
        <v>398</v>
      </c>
      <c r="D683" s="123" t="s">
        <v>1992</v>
      </c>
      <c r="E683" s="123" t="s">
        <v>226</v>
      </c>
      <c r="F683" s="123" t="s">
        <v>1993</v>
      </c>
      <c r="G683" s="123" t="s">
        <v>1570</v>
      </c>
      <c r="H683" s="8"/>
      <c r="I683" s="70"/>
      <c r="J683" s="70"/>
      <c r="K683" s="70"/>
      <c r="L683" s="8" t="s">
        <v>398</v>
      </c>
      <c r="M683" s="41"/>
      <c r="N683" s="10"/>
      <c r="O683" s="8"/>
      <c r="P683" s="1"/>
    </row>
    <row r="684" spans="1:16" ht="28.5" customHeight="1">
      <c r="A684" s="10">
        <v>1</v>
      </c>
      <c r="B684" s="33" t="s">
        <v>1176</v>
      </c>
      <c r="C684" s="41" t="s">
        <v>398</v>
      </c>
      <c r="D684" s="123" t="s">
        <v>1994</v>
      </c>
      <c r="E684" s="123" t="s">
        <v>1250</v>
      </c>
      <c r="F684" s="123" t="s">
        <v>1995</v>
      </c>
      <c r="G684" s="123" t="s">
        <v>41</v>
      </c>
      <c r="H684" s="8"/>
      <c r="I684" s="70"/>
      <c r="J684" s="70"/>
      <c r="K684" s="70"/>
      <c r="L684" s="8" t="s">
        <v>398</v>
      </c>
      <c r="M684" s="41"/>
      <c r="N684" s="10"/>
      <c r="O684" s="8"/>
      <c r="P684" s="1"/>
    </row>
    <row r="685" spans="1:16" ht="28.5" customHeight="1">
      <c r="A685" s="10">
        <v>1</v>
      </c>
      <c r="B685" s="33" t="s">
        <v>1176</v>
      </c>
      <c r="C685" s="41" t="s">
        <v>398</v>
      </c>
      <c r="D685" s="123" t="s">
        <v>1996</v>
      </c>
      <c r="E685" s="123" t="s">
        <v>1997</v>
      </c>
      <c r="F685" s="123" t="s">
        <v>1998</v>
      </c>
      <c r="G685" s="123" t="s">
        <v>280</v>
      </c>
      <c r="H685" s="8"/>
      <c r="I685" s="70"/>
      <c r="J685" s="70"/>
      <c r="K685" s="70"/>
      <c r="L685" s="8" t="s">
        <v>398</v>
      </c>
      <c r="M685" s="41"/>
      <c r="N685" s="10"/>
      <c r="O685" s="8"/>
      <c r="P685" s="1"/>
    </row>
    <row r="686" spans="1:16" ht="28.5" customHeight="1">
      <c r="A686" s="10">
        <v>1</v>
      </c>
      <c r="B686" s="33" t="s">
        <v>1176</v>
      </c>
      <c r="C686" s="41" t="s">
        <v>398</v>
      </c>
      <c r="D686" s="123" t="s">
        <v>1999</v>
      </c>
      <c r="E686" s="123" t="s">
        <v>2000</v>
      </c>
      <c r="F686" s="123" t="s">
        <v>2001</v>
      </c>
      <c r="G686" s="123" t="s">
        <v>32</v>
      </c>
      <c r="H686" s="8"/>
      <c r="I686" s="70"/>
      <c r="J686" s="70"/>
      <c r="K686" s="70"/>
      <c r="L686" s="8" t="s">
        <v>398</v>
      </c>
      <c r="M686" s="41"/>
      <c r="N686" s="10"/>
      <c r="O686" s="8"/>
      <c r="P686" s="1"/>
    </row>
    <row r="687" spans="1:16" ht="28.5" customHeight="1">
      <c r="A687" s="10">
        <v>1</v>
      </c>
      <c r="B687" s="33" t="s">
        <v>1176</v>
      </c>
      <c r="C687" s="41" t="s">
        <v>398</v>
      </c>
      <c r="D687" s="123" t="s">
        <v>2002</v>
      </c>
      <c r="E687" s="123" t="s">
        <v>1134</v>
      </c>
      <c r="F687" s="123" t="s">
        <v>2003</v>
      </c>
      <c r="G687" s="123" t="s">
        <v>41</v>
      </c>
      <c r="H687" s="8"/>
      <c r="I687" s="70"/>
      <c r="J687" s="70"/>
      <c r="K687" s="70"/>
      <c r="L687" s="8" t="s">
        <v>398</v>
      </c>
      <c r="M687" s="41"/>
      <c r="N687" s="10"/>
      <c r="O687" s="8"/>
      <c r="P687" s="1"/>
    </row>
    <row r="688" spans="1:16" ht="28.5" customHeight="1">
      <c r="A688" s="10">
        <v>1</v>
      </c>
      <c r="B688" s="33" t="s">
        <v>1176</v>
      </c>
      <c r="C688" s="41" t="s">
        <v>398</v>
      </c>
      <c r="D688" s="123" t="s">
        <v>2004</v>
      </c>
      <c r="E688" s="123" t="s">
        <v>389</v>
      </c>
      <c r="F688" s="123" t="s">
        <v>2005</v>
      </c>
      <c r="G688" s="123" t="s">
        <v>1603</v>
      </c>
      <c r="H688" s="8"/>
      <c r="I688" s="70"/>
      <c r="J688" s="70"/>
      <c r="K688" s="70"/>
      <c r="L688" s="8" t="s">
        <v>398</v>
      </c>
      <c r="M688" s="41"/>
      <c r="N688" s="10"/>
      <c r="O688" s="8"/>
      <c r="P688" s="1"/>
    </row>
    <row r="689" spans="1:16" ht="28.5" customHeight="1">
      <c r="A689" s="10">
        <v>1</v>
      </c>
      <c r="B689" s="33" t="s">
        <v>1176</v>
      </c>
      <c r="C689" s="41" t="s">
        <v>398</v>
      </c>
      <c r="D689" s="123" t="s">
        <v>2006</v>
      </c>
      <c r="E689" s="123" t="s">
        <v>404</v>
      </c>
      <c r="F689" s="123" t="s">
        <v>2007</v>
      </c>
      <c r="G689" s="123" t="s">
        <v>1800</v>
      </c>
      <c r="H689" s="8"/>
      <c r="I689" s="70"/>
      <c r="J689" s="70"/>
      <c r="K689" s="70"/>
      <c r="L689" s="8" t="s">
        <v>398</v>
      </c>
      <c r="M689" s="41"/>
      <c r="N689" s="10"/>
      <c r="O689" s="8"/>
      <c r="P689" s="1"/>
    </row>
    <row r="690" spans="1:16" ht="28.5" customHeight="1">
      <c r="A690" s="10">
        <v>1</v>
      </c>
      <c r="B690" s="33" t="s">
        <v>1176</v>
      </c>
      <c r="C690" s="41" t="s">
        <v>398</v>
      </c>
      <c r="D690" s="123" t="s">
        <v>2008</v>
      </c>
      <c r="E690" s="123" t="s">
        <v>39</v>
      </c>
      <c r="F690" s="123" t="s">
        <v>2009</v>
      </c>
      <c r="G690" s="123" t="s">
        <v>41</v>
      </c>
      <c r="H690" s="8"/>
      <c r="I690" s="70"/>
      <c r="J690" s="70"/>
      <c r="K690" s="70"/>
      <c r="L690" s="8" t="s">
        <v>398</v>
      </c>
      <c r="M690" s="41"/>
      <c r="N690" s="10"/>
      <c r="O690" s="8"/>
      <c r="P690" s="1"/>
    </row>
    <row r="691" spans="1:16" ht="28.5" customHeight="1">
      <c r="A691" s="10">
        <v>1</v>
      </c>
      <c r="B691" s="33" t="s">
        <v>1176</v>
      </c>
      <c r="C691" s="41" t="s">
        <v>398</v>
      </c>
      <c r="D691" s="123" t="s">
        <v>2010</v>
      </c>
      <c r="E691" s="123" t="s">
        <v>1919</v>
      </c>
      <c r="F691" s="123" t="s">
        <v>2011</v>
      </c>
      <c r="G691" s="123" t="s">
        <v>1582</v>
      </c>
      <c r="H691" s="8"/>
      <c r="I691" s="70"/>
      <c r="J691" s="70"/>
      <c r="K691" s="70"/>
      <c r="L691" s="8" t="s">
        <v>398</v>
      </c>
      <c r="M691" s="41"/>
      <c r="N691" s="10"/>
      <c r="O691" s="8"/>
      <c r="P691" s="1"/>
    </row>
    <row r="692" spans="1:16" ht="28.5" customHeight="1">
      <c r="A692" s="10"/>
      <c r="B692" s="33"/>
      <c r="C692" s="41"/>
      <c r="D692" s="41"/>
      <c r="E692" s="41"/>
      <c r="F692" s="41"/>
      <c r="G692" s="41"/>
      <c r="H692" s="8"/>
      <c r="I692" s="70"/>
      <c r="J692" s="70"/>
      <c r="K692" s="70"/>
      <c r="L692" s="41"/>
      <c r="M692" s="41"/>
      <c r="N692" s="10"/>
      <c r="O692" s="8"/>
      <c r="P692" s="1"/>
    </row>
    <row r="693" spans="1:16" ht="28.5" customHeight="1">
      <c r="A693" s="10"/>
      <c r="B693" s="33"/>
      <c r="C693" s="41"/>
      <c r="D693" s="41"/>
      <c r="E693" s="41"/>
      <c r="F693" s="41"/>
      <c r="G693" s="41"/>
      <c r="H693" s="8"/>
      <c r="I693" s="70"/>
      <c r="J693" s="70"/>
      <c r="K693" s="70"/>
      <c r="L693" s="41"/>
      <c r="M693" s="41"/>
      <c r="N693" s="10"/>
      <c r="O693" s="8"/>
      <c r="P693" s="1"/>
    </row>
    <row r="694" spans="1:16" ht="28.5" customHeight="1">
      <c r="A694" s="10"/>
      <c r="B694" s="33"/>
      <c r="C694" s="41"/>
      <c r="D694" s="41"/>
      <c r="F694" s="41"/>
      <c r="G694" s="41"/>
      <c r="H694" s="8"/>
      <c r="I694" s="70"/>
      <c r="J694" s="70"/>
      <c r="K694" s="70"/>
      <c r="L694" s="41"/>
      <c r="M694" s="41"/>
      <c r="N694" s="10"/>
      <c r="O694" s="8"/>
      <c r="P694" s="1"/>
    </row>
    <row r="695" spans="1:16" ht="28.5" customHeight="1">
      <c r="A695" s="10"/>
      <c r="B695" s="33"/>
      <c r="C695" s="41"/>
      <c r="D695" s="41"/>
      <c r="E695" s="41"/>
      <c r="F695" s="41"/>
      <c r="G695" s="41"/>
      <c r="H695" s="8"/>
      <c r="I695" s="70"/>
      <c r="J695" s="70"/>
      <c r="K695" s="70"/>
      <c r="L695" s="41"/>
      <c r="M695" s="41"/>
      <c r="O695" s="8"/>
      <c r="P695" s="1"/>
    </row>
    <row r="696" spans="1:16" ht="28.5" customHeight="1">
      <c r="A696" s="10">
        <f>SUM(A5:A695)</f>
        <v>687</v>
      </c>
      <c r="B696" s="34"/>
      <c r="C696" s="41"/>
      <c r="D696" s="44"/>
      <c r="E696" s="44"/>
      <c r="F696" s="44"/>
      <c r="G696" s="11"/>
      <c r="H696" s="13"/>
      <c r="I696" s="71"/>
      <c r="J696" s="71"/>
      <c r="K696" s="71"/>
      <c r="L696" s="41"/>
      <c r="M696" s="10"/>
      <c r="N696" s="10"/>
      <c r="O696" s="8"/>
      <c r="P696" s="1"/>
    </row>
    <row r="697" spans="1:16" ht="28.5" customHeight="1">
      <c r="A697" s="41"/>
      <c r="B697" s="33"/>
      <c r="C697" s="41"/>
      <c r="D697" s="41"/>
      <c r="E697" s="41"/>
      <c r="F697" s="41"/>
      <c r="G697" s="41"/>
      <c r="H697" s="41"/>
      <c r="I697" s="33"/>
      <c r="J697" s="33"/>
      <c r="K697" s="33"/>
      <c r="L697" s="41"/>
      <c r="M697" s="41"/>
      <c r="N697" s="44"/>
      <c r="O697" s="8"/>
      <c r="P697" s="1"/>
    </row>
    <row r="698" spans="1:16" ht="39.75" customHeight="1">
      <c r="A698" s="128" t="s">
        <v>2012</v>
      </c>
      <c r="B698" s="129"/>
      <c r="C698" s="57" t="s">
        <v>2013</v>
      </c>
      <c r="D698" s="59" t="s">
        <v>2014</v>
      </c>
      <c r="E698" s="58" t="s">
        <v>2015</v>
      </c>
      <c r="F698" s="81">
        <f>H698/A2</f>
        <v>1.1200000000000001</v>
      </c>
      <c r="G698" s="83" t="s">
        <v>2016</v>
      </c>
      <c r="H698" s="82">
        <f>L698/F2*G2+L698</f>
        <v>280</v>
      </c>
      <c r="I698" s="10" t="s">
        <v>2017</v>
      </c>
      <c r="J698" s="85">
        <v>2000</v>
      </c>
      <c r="K698" s="85"/>
      <c r="L698">
        <f>C2-10</f>
        <v>280</v>
      </c>
      <c r="M698" s="56" t="s">
        <v>2018</v>
      </c>
      <c r="N698" s="44"/>
      <c r="O698" s="8"/>
      <c r="P698" s="1"/>
    </row>
    <row r="699" spans="1:16" ht="28.5" customHeight="1">
      <c r="A699" s="130"/>
      <c r="B699" s="131"/>
      <c r="C699" s="61">
        <f>C2</f>
        <v>290</v>
      </c>
      <c r="D699" s="60">
        <f>COUNTIF(C5:C696,"retido")</f>
        <v>206</v>
      </c>
      <c r="E699" s="56"/>
      <c r="G699" s="80">
        <f>A2/19399</f>
        <v>1.2887262230011857E-2</v>
      </c>
      <c r="H699" s="84">
        <f>H698/19554</f>
        <v>1.4319320855068016E-2</v>
      </c>
      <c r="I699" s="40"/>
      <c r="J699" s="40"/>
      <c r="K699" s="40"/>
      <c r="N699" s="44"/>
      <c r="O699" s="8"/>
      <c r="P699" s="1"/>
    </row>
    <row r="700" spans="1:16" ht="28.5" customHeight="1">
      <c r="A700" s="15" t="s">
        <v>2019</v>
      </c>
      <c r="B700" s="45">
        <f>COUNTIF(M5:M1523,"insatisfação c/ atd")</f>
        <v>16</v>
      </c>
      <c r="C700" s="55">
        <f>B700/$C$699</f>
        <v>5.5172413793103448E-2</v>
      </c>
      <c r="E700" s="10" t="s">
        <v>2020</v>
      </c>
      <c r="F700" s="10" t="s">
        <v>2021</v>
      </c>
      <c r="G700" s="10" t="s">
        <v>2022</v>
      </c>
      <c r="H700" s="44" t="s">
        <v>2023</v>
      </c>
      <c r="I700" s="44" t="s">
        <v>2024</v>
      </c>
      <c r="J700" s="44" t="s">
        <v>2025</v>
      </c>
      <c r="K700" s="44"/>
      <c r="N700" s="44"/>
      <c r="O700" s="8"/>
      <c r="P700" s="1"/>
    </row>
    <row r="701" spans="1:16" ht="28.5" customHeight="1">
      <c r="A701" s="15" t="s">
        <v>2026</v>
      </c>
      <c r="B701" s="45">
        <f>COUNTIF(M5:M1523,"INSATISFAÇÃO C/ SERVIÇO")</f>
        <v>93</v>
      </c>
      <c r="C701" s="52">
        <f>B701/$C$699</f>
        <v>0.32068965517241377</v>
      </c>
      <c r="D701" s="56" t="s">
        <v>55</v>
      </c>
      <c r="E701" s="10">
        <v>138</v>
      </c>
      <c r="F701" s="10">
        <f>E701-G701</f>
        <v>86</v>
      </c>
      <c r="G701" s="63">
        <v>52</v>
      </c>
      <c r="H701" s="62">
        <f>G701/E701</f>
        <v>0.37681159420289856</v>
      </c>
      <c r="I701" s="64">
        <f>G701/$G$705</f>
        <v>0.33333333333333331</v>
      </c>
      <c r="J701" s="65">
        <f>I701*$J$698</f>
        <v>666.66666666666663</v>
      </c>
      <c r="K701" s="65"/>
      <c r="N701" s="44"/>
      <c r="O701" s="8"/>
      <c r="P701" s="1"/>
    </row>
    <row r="702" spans="1:16" ht="28.5" customHeight="1">
      <c r="A702" s="16" t="s">
        <v>2027</v>
      </c>
      <c r="B702" s="45">
        <f>COUNTIF(M5:M1523,"MUDANÇA DE ENDEREÇO")</f>
        <v>78</v>
      </c>
      <c r="C702" s="52">
        <f>B702/$C$699</f>
        <v>0.26896551724137929</v>
      </c>
      <c r="D702" s="42" t="s">
        <v>34</v>
      </c>
      <c r="E702" s="10">
        <v>78</v>
      </c>
      <c r="F702" s="10">
        <f>E702-G702</f>
        <v>46</v>
      </c>
      <c r="G702" s="63">
        <v>32</v>
      </c>
      <c r="H702" s="62">
        <f>G702/E702</f>
        <v>0.41025641025641024</v>
      </c>
      <c r="I702" s="64">
        <f>G702/$G$705</f>
        <v>0.20512820512820512</v>
      </c>
      <c r="J702" s="65">
        <f>I702*$J$698</f>
        <v>410.25641025641022</v>
      </c>
      <c r="K702" s="65"/>
      <c r="N702" s="42"/>
      <c r="O702" s="8"/>
      <c r="P702" s="1"/>
    </row>
    <row r="703" spans="1:16" ht="28.5" customHeight="1">
      <c r="A703" s="15" t="s">
        <v>2028</v>
      </c>
      <c r="B703" s="45">
        <f>COUNTIF(M5:M1523,"MOTIVOS PESSOAIS")</f>
        <v>11</v>
      </c>
      <c r="C703" s="52">
        <f>B703/$C$699</f>
        <v>3.793103448275862E-2</v>
      </c>
      <c r="D703" s="42" t="s">
        <v>49</v>
      </c>
      <c r="E703" s="10">
        <v>176</v>
      </c>
      <c r="F703" s="10">
        <f>E703-G703</f>
        <v>104</v>
      </c>
      <c r="G703" s="63">
        <v>72</v>
      </c>
      <c r="H703" s="62">
        <f>G703/E703</f>
        <v>0.40909090909090912</v>
      </c>
      <c r="I703" s="64">
        <f>G703/$G$705</f>
        <v>0.46153846153846156</v>
      </c>
      <c r="J703" s="65">
        <f>I703*$J$698</f>
        <v>923.07692307692309</v>
      </c>
      <c r="K703" s="65"/>
      <c r="N703" s="42"/>
      <c r="O703" s="8"/>
      <c r="P703" s="1"/>
    </row>
    <row r="704" spans="1:16" ht="28.5" customHeight="1">
      <c r="A704" s="15" t="s">
        <v>2029</v>
      </c>
      <c r="B704" s="45">
        <f>COUNTIF(M5:M1523,"TROCA DE PROVEDOR")</f>
        <v>46</v>
      </c>
      <c r="C704" s="52">
        <f>B704/$C$699</f>
        <v>0.15862068965517243</v>
      </c>
      <c r="D704" s="42" t="s">
        <v>56</v>
      </c>
      <c r="E704" s="76">
        <v>2</v>
      </c>
      <c r="F704" s="10">
        <f>E704-G704</f>
        <v>2</v>
      </c>
      <c r="G704" s="63">
        <v>0</v>
      </c>
      <c r="H704" s="62">
        <f>G704/E704</f>
        <v>0</v>
      </c>
      <c r="I704" s="64">
        <f>G704/$G$705</f>
        <v>0</v>
      </c>
      <c r="J704" s="65">
        <f>I704*$J$698</f>
        <v>0</v>
      </c>
      <c r="K704" s="65"/>
      <c r="N704" s="42"/>
      <c r="O704" s="8"/>
      <c r="P704" s="1"/>
    </row>
    <row r="705" spans="1:16" ht="28.5" customHeight="1">
      <c r="A705" s="17" t="s">
        <v>2030</v>
      </c>
      <c r="B705" s="46">
        <f>COUNTIF(M5:M1523,"PROBLEMAS FINANC")</f>
        <v>5</v>
      </c>
      <c r="C705" s="52">
        <f>B705/$C$699</f>
        <v>1.7241379310344827E-2</v>
      </c>
      <c r="D705" s="1"/>
      <c r="E705" s="42"/>
      <c r="F705" s="1"/>
      <c r="G705" s="24">
        <f>SUM(G701:G704)</f>
        <v>156</v>
      </c>
      <c r="I705" s="14"/>
      <c r="J705" s="66">
        <f>SUM(J701:J704)</f>
        <v>2000</v>
      </c>
      <c r="K705" s="66"/>
      <c r="L705" s="14"/>
      <c r="M705" s="14"/>
      <c r="N705" s="42"/>
      <c r="O705" s="14"/>
      <c r="P705" s="1"/>
    </row>
    <row r="706" spans="1:16" ht="28.5" customHeight="1">
      <c r="A706" s="16" t="s">
        <v>120</v>
      </c>
      <c r="B706" s="45">
        <f>COUNTIF(M5:M1523,"OUTROS")</f>
        <v>35</v>
      </c>
      <c r="C706" s="52">
        <f>B706/$C$699</f>
        <v>0.1206896551724138</v>
      </c>
      <c r="D706" s="106" t="s">
        <v>2031</v>
      </c>
      <c r="E706" s="42"/>
      <c r="F706" s="14"/>
      <c r="G706" s="14"/>
      <c r="H706" s="14"/>
      <c r="I706" s="73"/>
      <c r="J706" s="73"/>
      <c r="K706" s="73"/>
      <c r="L706" s="14"/>
      <c r="M706" s="14"/>
      <c r="N706" s="42"/>
      <c r="O706" s="14"/>
      <c r="P706" s="1"/>
    </row>
    <row r="707" spans="1:16" ht="28.5" customHeight="1">
      <c r="A707" s="18" t="s">
        <v>2032</v>
      </c>
      <c r="B707" s="48">
        <f>A696-J2</f>
        <v>496</v>
      </c>
      <c r="C707" s="50"/>
      <c r="D707" s="105" t="s">
        <v>2033</v>
      </c>
      <c r="E707" s="42"/>
      <c r="F707" s="42"/>
      <c r="G707" s="42"/>
      <c r="H707" s="42"/>
      <c r="I707" s="72"/>
      <c r="J707" s="72"/>
      <c r="K707" s="72"/>
      <c r="L707" s="14"/>
      <c r="M707" s="14"/>
      <c r="N707" s="42"/>
      <c r="O707" s="14"/>
      <c r="P707" s="1"/>
    </row>
    <row r="708" spans="1:16" ht="28.5" customHeight="1">
      <c r="A708" s="19" t="s">
        <v>2034</v>
      </c>
      <c r="B708" s="47">
        <f>D699/B707</f>
        <v>0.41532258064516131</v>
      </c>
      <c r="C708" s="20" t="s">
        <v>2035</v>
      </c>
      <c r="D708" s="105" t="s">
        <v>573</v>
      </c>
      <c r="E708" s="42"/>
      <c r="F708" s="1"/>
      <c r="G708" s="1"/>
      <c r="H708" s="11"/>
      <c r="I708" s="36"/>
      <c r="J708" s="36"/>
      <c r="K708" s="36"/>
      <c r="L708" s="14"/>
      <c r="M708" s="14"/>
      <c r="N708" s="42"/>
      <c r="O708" s="14"/>
      <c r="P708" s="1"/>
    </row>
    <row r="709" spans="1:16" ht="28.5" customHeight="1">
      <c r="A709" s="21"/>
      <c r="B709" s="35"/>
      <c r="C709" s="1"/>
      <c r="D709" s="105" t="s">
        <v>589</v>
      </c>
      <c r="E709" s="9"/>
      <c r="F709" s="1"/>
      <c r="G709" s="1"/>
      <c r="H709" s="22"/>
      <c r="I709" s="38"/>
      <c r="J709" s="38"/>
      <c r="K709" s="38"/>
      <c r="L709" s="1"/>
      <c r="M709" s="1"/>
      <c r="N709" s="2"/>
      <c r="O709" s="1"/>
      <c r="P709" s="1"/>
    </row>
    <row r="710" spans="1:16" ht="28.5" customHeight="1">
      <c r="A710" s="11"/>
      <c r="B710" s="36"/>
      <c r="C710" s="23"/>
      <c r="D710" t="s">
        <v>2036</v>
      </c>
      <c r="E710" s="11"/>
      <c r="F710" s="11"/>
      <c r="G710" s="54"/>
      <c r="H710" s="54"/>
      <c r="I710" s="74" t="s">
        <v>2037</v>
      </c>
      <c r="J710" s="74"/>
      <c r="K710" s="74"/>
      <c r="L710" s="54"/>
      <c r="M710" s="44"/>
      <c r="N710" s="2"/>
      <c r="O710" s="1"/>
      <c r="P710" s="1"/>
    </row>
    <row r="711" spans="1:16" ht="28.5" customHeight="1">
      <c r="A711" s="25"/>
      <c r="B711" s="37"/>
      <c r="C711" s="27"/>
      <c r="D711" s="105" t="s">
        <v>2038</v>
      </c>
      <c r="E711" s="28"/>
      <c r="F711" s="28"/>
      <c r="G711" s="23"/>
      <c r="H711" s="44"/>
      <c r="I711" s="34"/>
      <c r="J711" s="34"/>
      <c r="K711" s="34"/>
      <c r="L711" s="44"/>
      <c r="M711" s="44"/>
      <c r="N711" s="2"/>
      <c r="O711" s="1"/>
      <c r="P711" s="1"/>
    </row>
    <row r="712" spans="1:16" ht="28.5" customHeight="1">
      <c r="A712" s="25"/>
      <c r="B712" s="37"/>
      <c r="C712" s="27"/>
      <c r="D712" s="105" t="s">
        <v>2039</v>
      </c>
      <c r="E712" s="28"/>
      <c r="F712" s="28"/>
      <c r="G712" s="41"/>
      <c r="H712" s="29"/>
      <c r="I712" s="33"/>
      <c r="J712" s="33"/>
      <c r="K712" s="33"/>
      <c r="L712" s="30"/>
      <c r="M712" s="41"/>
      <c r="N712" s="41"/>
      <c r="O712" s="1"/>
      <c r="P712" s="1"/>
    </row>
    <row r="713" spans="1:16" ht="28.5" customHeight="1">
      <c r="A713" s="25"/>
      <c r="B713" s="37"/>
      <c r="C713" s="27"/>
      <c r="D713" s="105" t="s">
        <v>120</v>
      </c>
      <c r="E713" s="28"/>
      <c r="F713" s="28"/>
      <c r="G713" s="41"/>
      <c r="H713" s="30"/>
      <c r="I713" s="33"/>
      <c r="J713" s="33"/>
      <c r="K713" s="33"/>
      <c r="L713" s="41"/>
      <c r="M713" s="41"/>
      <c r="N713" s="41"/>
      <c r="O713" s="1"/>
      <c r="P713" s="1"/>
    </row>
    <row r="714" spans="1:16" ht="28.5" customHeight="1">
      <c r="A714" s="25"/>
      <c r="B714" s="37"/>
      <c r="C714" s="27"/>
      <c r="E714" s="28"/>
      <c r="F714" s="28"/>
      <c r="G714" s="41"/>
      <c r="H714" s="41"/>
      <c r="I714" s="33"/>
      <c r="J714" s="33"/>
      <c r="K714" s="33"/>
      <c r="L714" s="41"/>
      <c r="M714" s="41"/>
      <c r="N714" s="2"/>
      <c r="O714" s="1"/>
      <c r="P714" s="1"/>
    </row>
    <row r="715" spans="1:16" ht="28.5" customHeight="1">
      <c r="A715" s="25"/>
      <c r="B715" s="37"/>
      <c r="C715" s="27"/>
      <c r="D715" s="106" t="s">
        <v>2040</v>
      </c>
      <c r="E715" s="2"/>
      <c r="F715" s="2"/>
      <c r="G715" s="41"/>
      <c r="H715" s="30"/>
      <c r="I715" s="33"/>
      <c r="J715" s="33"/>
      <c r="K715" s="33"/>
      <c r="L715" s="41"/>
      <c r="M715" s="41"/>
      <c r="N715" s="2"/>
      <c r="O715" s="1"/>
      <c r="P715" s="1"/>
    </row>
    <row r="716" spans="1:16" ht="28.5" customHeight="1">
      <c r="A716" s="25"/>
      <c r="B716" s="37"/>
      <c r="C716" s="27"/>
      <c r="D716" t="s">
        <v>358</v>
      </c>
      <c r="E716" s="28"/>
      <c r="F716" s="28"/>
      <c r="G716" s="41"/>
      <c r="H716" s="29"/>
      <c r="I716" s="33"/>
      <c r="J716" s="33"/>
      <c r="K716" s="33"/>
      <c r="L716" s="41"/>
      <c r="M716" s="41"/>
      <c r="N716" s="2"/>
      <c r="O716" s="1"/>
      <c r="P716" s="1"/>
    </row>
    <row r="717" spans="1:16" ht="28.5" customHeight="1">
      <c r="A717" s="25"/>
      <c r="B717" s="37"/>
      <c r="C717" s="27"/>
      <c r="D717" t="s">
        <v>599</v>
      </c>
      <c r="E717" s="28"/>
      <c r="F717" s="28"/>
      <c r="G717" s="41"/>
      <c r="H717" s="41"/>
      <c r="I717" s="33"/>
      <c r="J717" s="33"/>
      <c r="K717" s="33"/>
      <c r="L717" s="41"/>
      <c r="M717" s="41"/>
      <c r="N717" s="2"/>
      <c r="O717" s="1"/>
      <c r="P717" s="1"/>
    </row>
    <row r="718" spans="1:16" ht="28.5" customHeight="1">
      <c r="A718" s="25"/>
      <c r="B718" s="37"/>
      <c r="C718" s="27"/>
      <c r="D718" t="s">
        <v>2041</v>
      </c>
      <c r="E718" s="28"/>
      <c r="F718" s="28"/>
      <c r="G718" s="1"/>
      <c r="H718" s="1"/>
      <c r="I718" s="39"/>
      <c r="J718" s="39"/>
      <c r="K718" s="39"/>
      <c r="L718" s="1"/>
      <c r="M718" s="1"/>
      <c r="N718" s="2"/>
      <c r="O718" s="1"/>
      <c r="P718" s="1"/>
    </row>
    <row r="719" spans="1:16" ht="28.5" customHeight="1">
      <c r="A719" s="25"/>
      <c r="B719" s="37"/>
      <c r="C719" s="27"/>
      <c r="D719" t="s">
        <v>294</v>
      </c>
      <c r="E719" s="2"/>
      <c r="F719" s="2"/>
      <c r="G719" s="1"/>
      <c r="H719" s="42"/>
      <c r="I719" s="72"/>
      <c r="J719" s="72"/>
      <c r="K719" s="72"/>
      <c r="L719" s="1"/>
      <c r="M719" s="1"/>
      <c r="N719" s="2"/>
      <c r="O719" s="1"/>
      <c r="P719" s="1"/>
    </row>
    <row r="720" spans="1:16" ht="28.5" customHeight="1">
      <c r="A720" s="25"/>
      <c r="B720" s="37"/>
      <c r="C720" s="26"/>
      <c r="D720" t="s">
        <v>367</v>
      </c>
      <c r="E720" s="31"/>
      <c r="F720" s="31"/>
      <c r="G720" s="1"/>
      <c r="H720" s="1"/>
      <c r="I720" s="39"/>
      <c r="J720" s="39"/>
      <c r="K720" s="39"/>
      <c r="L720" s="1"/>
      <c r="M720" s="1"/>
      <c r="N720" s="2"/>
      <c r="O720" s="1"/>
      <c r="P720" s="1"/>
    </row>
    <row r="721" spans="1:16" ht="28.5" customHeight="1">
      <c r="A721" s="11"/>
      <c r="B721" s="36"/>
      <c r="C721" s="2"/>
      <c r="D721" t="s">
        <v>211</v>
      </c>
      <c r="E721" s="31"/>
      <c r="F721" s="31"/>
      <c r="G721" s="1"/>
      <c r="H721" s="1"/>
      <c r="I721" s="39"/>
      <c r="J721" s="39"/>
      <c r="K721" s="39"/>
      <c r="L721" s="1"/>
      <c r="M721" s="1"/>
      <c r="N721" s="2"/>
      <c r="O721" s="1"/>
      <c r="P721" s="1"/>
    </row>
    <row r="722" spans="1:16" ht="28.5" customHeight="1">
      <c r="A722" s="25"/>
      <c r="B722" s="38"/>
      <c r="C722" s="27"/>
      <c r="D722" t="s">
        <v>265</v>
      </c>
      <c r="E722" s="27"/>
      <c r="F722" s="27"/>
      <c r="G722" s="1"/>
      <c r="H722" s="1"/>
      <c r="I722" s="39"/>
      <c r="J722" s="39"/>
      <c r="K722" s="39"/>
      <c r="L722" s="1"/>
      <c r="M722" s="1"/>
      <c r="N722" s="2"/>
      <c r="O722" s="1"/>
      <c r="P722" s="1"/>
    </row>
    <row r="723" spans="1:16" ht="28.5" customHeight="1">
      <c r="A723" s="25"/>
      <c r="B723" s="38"/>
      <c r="C723" s="27"/>
      <c r="D723" t="s">
        <v>120</v>
      </c>
      <c r="E723" s="27"/>
      <c r="F723" s="27"/>
      <c r="G723" s="1"/>
      <c r="H723" s="2"/>
      <c r="I723" s="38"/>
      <c r="J723" s="38"/>
      <c r="K723" s="38"/>
      <c r="L723" s="1"/>
      <c r="M723" s="1"/>
      <c r="N723" s="2"/>
      <c r="O723" s="1"/>
      <c r="P723" s="1"/>
    </row>
    <row r="724" spans="1:16" ht="28.5" customHeight="1">
      <c r="A724" s="25"/>
      <c r="B724" s="38"/>
      <c r="C724" s="27"/>
      <c r="E724" s="2"/>
      <c r="F724" s="2"/>
      <c r="G724" s="1"/>
      <c r="H724" s="2"/>
      <c r="I724" s="38"/>
      <c r="J724" s="38"/>
      <c r="K724" s="38"/>
      <c r="L724" s="1"/>
      <c r="M724" s="1"/>
      <c r="N724" s="2"/>
      <c r="O724" s="1"/>
      <c r="P724" s="1"/>
    </row>
    <row r="725" spans="1:16" ht="28.5" customHeight="1">
      <c r="A725" s="25"/>
      <c r="B725" s="38"/>
      <c r="C725" s="27"/>
      <c r="D725" s="106" t="s">
        <v>2042</v>
      </c>
      <c r="E725" s="27"/>
      <c r="F725" s="27"/>
      <c r="G725" s="1"/>
      <c r="H725" s="2"/>
      <c r="I725" s="38"/>
      <c r="J725" s="38"/>
      <c r="K725" s="38"/>
      <c r="L725" s="1"/>
      <c r="M725" s="1"/>
      <c r="N725" s="2"/>
      <c r="O725" s="1"/>
      <c r="P725" s="1"/>
    </row>
    <row r="726" spans="1:16" ht="28.5" customHeight="1">
      <c r="A726" s="25"/>
      <c r="B726" s="38"/>
      <c r="C726" s="2"/>
      <c r="D726" t="s">
        <v>1170</v>
      </c>
      <c r="E726" s="2"/>
      <c r="F726" s="2"/>
      <c r="G726" s="1"/>
      <c r="H726" s="2"/>
      <c r="I726" s="38"/>
      <c r="J726" s="38"/>
      <c r="K726" s="38"/>
      <c r="L726" s="1"/>
      <c r="M726" s="1"/>
      <c r="N726" s="2"/>
      <c r="O726" s="1"/>
      <c r="P726" s="1"/>
    </row>
    <row r="727" spans="1:16" ht="28.5" customHeight="1">
      <c r="A727" s="25"/>
      <c r="B727" s="38"/>
      <c r="C727" s="27"/>
      <c r="D727" t="s">
        <v>129</v>
      </c>
      <c r="E727" s="27"/>
      <c r="F727" s="27"/>
      <c r="G727" s="1"/>
      <c r="H727" s="2"/>
      <c r="I727" s="38"/>
      <c r="J727" s="38"/>
      <c r="K727" s="38"/>
      <c r="L727" s="1"/>
      <c r="M727" s="1"/>
      <c r="N727" s="2"/>
      <c r="O727" s="1"/>
      <c r="P727" s="1"/>
    </row>
    <row r="728" spans="1:16" ht="28.5" customHeight="1">
      <c r="A728" s="25"/>
      <c r="B728" s="38"/>
      <c r="C728" s="27"/>
      <c r="D728" t="s">
        <v>468</v>
      </c>
      <c r="E728" s="27"/>
      <c r="F728" s="27"/>
      <c r="G728" s="2"/>
      <c r="H728" s="2"/>
      <c r="I728" s="38"/>
      <c r="J728" s="38"/>
      <c r="K728" s="38"/>
      <c r="L728" s="1"/>
      <c r="M728" s="1"/>
      <c r="N728" s="2"/>
      <c r="O728" s="1"/>
      <c r="P728" s="1"/>
    </row>
    <row r="729" spans="1:16" ht="28.5" customHeight="1">
      <c r="A729" s="25"/>
      <c r="B729" s="38"/>
      <c r="C729" s="27"/>
      <c r="D729" t="s">
        <v>120</v>
      </c>
      <c r="E729" s="2"/>
      <c r="F729" s="2"/>
      <c r="G729" s="2"/>
      <c r="H729" s="2"/>
      <c r="I729" s="38"/>
      <c r="J729" s="38"/>
      <c r="K729" s="38"/>
      <c r="L729" s="1"/>
      <c r="M729" s="1"/>
      <c r="N729" s="2"/>
      <c r="O729" s="1"/>
      <c r="P729" s="1"/>
    </row>
    <row r="730" spans="1:16" ht="28.5" customHeight="1">
      <c r="A730" s="25"/>
      <c r="B730" s="38"/>
      <c r="C730" s="2"/>
      <c r="E730" s="2"/>
      <c r="F730" s="2"/>
      <c r="G730" s="2"/>
      <c r="H730" s="2"/>
      <c r="I730" s="38"/>
      <c r="J730" s="38"/>
      <c r="K730" s="38"/>
      <c r="L730" s="1"/>
      <c r="M730" s="1"/>
      <c r="N730" s="2"/>
      <c r="O730" s="1"/>
      <c r="P730" s="1"/>
    </row>
    <row r="731" spans="1:16" ht="28.5" customHeight="1">
      <c r="A731" s="11"/>
      <c r="B731" s="36"/>
      <c r="C731" s="2"/>
      <c r="D731" s="106" t="s">
        <v>35</v>
      </c>
      <c r="E731" s="2"/>
      <c r="F731" s="2"/>
      <c r="G731" s="2"/>
      <c r="H731" s="2"/>
      <c r="I731" s="38"/>
      <c r="J731" s="38"/>
      <c r="K731" s="38"/>
      <c r="L731" s="1"/>
      <c r="M731" s="1"/>
      <c r="N731" s="2"/>
      <c r="O731" s="1"/>
      <c r="P731" s="1"/>
    </row>
    <row r="732" spans="1:16" ht="28.5" customHeight="1">
      <c r="A732" s="25"/>
      <c r="B732" s="38"/>
      <c r="C732" s="27"/>
      <c r="D732" t="s">
        <v>601</v>
      </c>
      <c r="E732" s="2"/>
      <c r="F732" s="2"/>
      <c r="G732" s="2"/>
      <c r="H732" s="2"/>
      <c r="I732" s="38"/>
      <c r="J732" s="38"/>
      <c r="K732" s="38"/>
      <c r="L732" s="1"/>
      <c r="M732" s="1"/>
      <c r="N732" s="2"/>
      <c r="O732" s="1"/>
      <c r="P732" s="1"/>
    </row>
    <row r="733" spans="1:16" ht="28.5" customHeight="1">
      <c r="A733" s="25"/>
      <c r="B733" s="38"/>
      <c r="C733" s="27"/>
      <c r="D733" t="s">
        <v>2043</v>
      </c>
      <c r="E733" s="2"/>
      <c r="F733" s="2"/>
      <c r="G733" s="2"/>
      <c r="H733" s="2"/>
      <c r="I733" s="38"/>
      <c r="J733" s="38"/>
      <c r="K733" s="38"/>
      <c r="L733" s="1"/>
      <c r="M733" s="1"/>
      <c r="N733" s="2"/>
      <c r="O733" s="1"/>
      <c r="P733" s="1"/>
    </row>
    <row r="734" spans="1:16" ht="28.5" customHeight="1">
      <c r="A734" s="25"/>
      <c r="B734" s="38"/>
      <c r="C734" s="27"/>
      <c r="D734" t="s">
        <v>2044</v>
      </c>
      <c r="E734" s="2"/>
      <c r="F734" s="1"/>
      <c r="G734" s="1"/>
      <c r="H734" s="1"/>
      <c r="I734" s="39"/>
      <c r="J734" s="39"/>
      <c r="K734" s="39"/>
      <c r="L734" s="1"/>
      <c r="M734" s="1"/>
      <c r="N734" s="2"/>
      <c r="O734" s="1"/>
      <c r="P734" s="1"/>
    </row>
    <row r="735" spans="1:16" ht="28.5" customHeight="1">
      <c r="A735" s="25"/>
      <c r="B735" s="38"/>
      <c r="C735" s="27"/>
      <c r="D735" t="s">
        <v>120</v>
      </c>
      <c r="E735" s="2"/>
      <c r="F735" s="1"/>
      <c r="G735" s="1"/>
      <c r="H735" s="1"/>
      <c r="I735" s="39"/>
      <c r="J735" s="39"/>
      <c r="K735" s="39"/>
      <c r="L735" s="1"/>
      <c r="M735" s="1"/>
      <c r="N735" s="2"/>
      <c r="O735" s="1"/>
      <c r="P735" s="1"/>
    </row>
    <row r="736" spans="1:16" ht="28.5" customHeight="1">
      <c r="A736" s="25"/>
      <c r="B736" s="38"/>
      <c r="C736" s="2"/>
      <c r="D736" s="1"/>
      <c r="E736" s="2"/>
      <c r="F736" s="1"/>
      <c r="G736" s="1"/>
      <c r="H736" s="1"/>
      <c r="I736" s="39"/>
      <c r="J736" s="39"/>
      <c r="K736" s="39"/>
      <c r="L736" s="1"/>
      <c r="M736" s="1"/>
      <c r="N736" s="2"/>
      <c r="O736" s="1"/>
      <c r="P736" s="1"/>
    </row>
    <row r="737" spans="1:16" ht="28.5" customHeight="1">
      <c r="A737" s="25"/>
      <c r="B737" s="38"/>
      <c r="C737" s="27"/>
      <c r="D737" s="1"/>
      <c r="E737" s="2"/>
      <c r="F737" s="1"/>
      <c r="G737" s="1"/>
      <c r="H737" s="1"/>
      <c r="I737" s="39"/>
      <c r="J737" s="39"/>
      <c r="K737" s="39"/>
      <c r="L737" s="1"/>
      <c r="M737" s="1"/>
      <c r="N737" s="2"/>
      <c r="O737" s="1"/>
      <c r="P737" s="1"/>
    </row>
    <row r="738" spans="1:16" ht="28.5" customHeight="1">
      <c r="A738" s="25"/>
      <c r="B738" s="38"/>
      <c r="C738" s="27"/>
      <c r="D738" s="1"/>
      <c r="E738" s="2"/>
      <c r="F738" s="1"/>
      <c r="G738" s="1"/>
      <c r="H738" s="1"/>
      <c r="I738" s="39"/>
      <c r="J738" s="39"/>
      <c r="K738" s="39"/>
      <c r="L738" s="1"/>
      <c r="M738" s="1"/>
      <c r="N738" s="2"/>
      <c r="O738" s="1"/>
      <c r="P738" s="1"/>
    </row>
    <row r="739" spans="1:16" ht="28.5" customHeight="1">
      <c r="A739" s="25"/>
      <c r="B739" s="38"/>
      <c r="C739" s="27"/>
      <c r="D739" s="1"/>
      <c r="E739" s="2"/>
      <c r="F739" s="1"/>
      <c r="G739" s="1"/>
      <c r="H739" s="1"/>
      <c r="I739" s="39"/>
      <c r="J739" s="39"/>
      <c r="K739" s="39"/>
      <c r="L739" s="1"/>
      <c r="M739" s="1"/>
      <c r="N739" s="2"/>
      <c r="O739" s="1"/>
      <c r="P739" s="1"/>
    </row>
    <row r="740" spans="1:16" ht="28.5" customHeight="1">
      <c r="A740" s="25"/>
      <c r="B740" s="38"/>
      <c r="C740" s="2"/>
      <c r="D740" s="1"/>
      <c r="E740" s="2"/>
      <c r="F740" s="1"/>
      <c r="G740" s="1"/>
      <c r="H740" s="1"/>
      <c r="I740" s="39"/>
      <c r="J740" s="39"/>
      <c r="K740" s="39"/>
      <c r="L740" s="1"/>
      <c r="M740" s="1"/>
      <c r="N740" s="2"/>
      <c r="O740" s="1"/>
      <c r="P740" s="1"/>
    </row>
    <row r="741" spans="1:16" ht="28.5" customHeight="1">
      <c r="A741" s="12"/>
      <c r="B741" s="38"/>
      <c r="C741" s="1"/>
      <c r="D741" s="1"/>
      <c r="E741" s="2"/>
      <c r="F741" s="1"/>
      <c r="G741" s="1"/>
      <c r="H741" s="1"/>
      <c r="I741" s="39"/>
      <c r="J741" s="39"/>
      <c r="K741" s="39"/>
      <c r="L741" s="1"/>
      <c r="M741" s="1"/>
      <c r="N741" s="2"/>
      <c r="O741" s="1"/>
      <c r="P741" s="1"/>
    </row>
    <row r="742" spans="1:16" ht="28.5" customHeight="1">
      <c r="A742" s="12"/>
      <c r="B742" s="38"/>
      <c r="C742" s="1"/>
      <c r="D742" s="1"/>
      <c r="E742" s="2"/>
      <c r="F742" s="1"/>
      <c r="G742" s="1"/>
      <c r="H742" s="1"/>
      <c r="I742" s="39"/>
      <c r="J742" s="39"/>
      <c r="K742" s="39"/>
      <c r="L742" s="1"/>
      <c r="M742" s="1"/>
      <c r="N742" s="2"/>
      <c r="O742" s="1"/>
      <c r="P742" s="1"/>
    </row>
    <row r="743" spans="1:16" ht="28.5" customHeight="1">
      <c r="A743" s="1"/>
      <c r="B743" s="38"/>
      <c r="C743" s="1"/>
      <c r="D743" s="1"/>
      <c r="E743" s="2"/>
      <c r="F743" s="1"/>
      <c r="G743" s="1"/>
      <c r="H743" s="1"/>
      <c r="I743" s="39"/>
      <c r="J743" s="39"/>
      <c r="K743" s="39"/>
      <c r="L743" s="1"/>
      <c r="M743" s="1"/>
      <c r="N743" s="2"/>
      <c r="O743" s="1"/>
      <c r="P743" s="1"/>
    </row>
    <row r="744" spans="1:16" ht="28.5" customHeight="1">
      <c r="A744" s="1"/>
      <c r="B744" s="39"/>
      <c r="C744" s="1"/>
      <c r="D744" s="1"/>
      <c r="E744" s="2"/>
      <c r="F744" s="1"/>
      <c r="G744" s="1"/>
      <c r="H744" s="1"/>
      <c r="I744" s="39"/>
      <c r="J744" s="39"/>
      <c r="K744" s="39"/>
      <c r="L744" s="1"/>
      <c r="M744" s="1"/>
      <c r="N744" s="2"/>
      <c r="O744" s="1"/>
      <c r="P744" s="1"/>
    </row>
    <row r="745" spans="1:16" ht="28.5" customHeight="1">
      <c r="A745" s="1"/>
      <c r="B745" s="39"/>
      <c r="C745" s="1"/>
      <c r="D745" s="1"/>
      <c r="E745" s="2"/>
      <c r="F745" s="1"/>
      <c r="G745" s="1"/>
      <c r="H745" s="1"/>
      <c r="I745" s="39"/>
      <c r="J745" s="39"/>
      <c r="K745" s="39"/>
      <c r="L745" s="1"/>
      <c r="M745" s="1"/>
      <c r="N745" s="2"/>
      <c r="O745" s="1"/>
      <c r="P745" s="1"/>
    </row>
    <row r="746" spans="1:16" ht="28.5" customHeight="1">
      <c r="A746" s="1"/>
      <c r="B746" s="39"/>
      <c r="C746" s="1"/>
      <c r="D746" s="1"/>
      <c r="E746" s="2"/>
      <c r="F746" s="1"/>
      <c r="G746" s="1"/>
      <c r="H746" s="1"/>
      <c r="I746" s="39"/>
      <c r="J746" s="39"/>
      <c r="K746" s="39"/>
      <c r="L746" s="1"/>
      <c r="M746" s="1"/>
      <c r="N746" s="2"/>
      <c r="O746" s="1"/>
      <c r="P746" s="1"/>
    </row>
    <row r="747" spans="1:16" ht="28.5" customHeight="1">
      <c r="A747" s="1"/>
      <c r="B747" s="39"/>
      <c r="C747" s="1"/>
      <c r="D747" s="1"/>
      <c r="E747" s="2"/>
      <c r="F747" s="1"/>
      <c r="G747" s="1"/>
      <c r="H747" s="1"/>
      <c r="I747" s="39"/>
      <c r="J747" s="39"/>
      <c r="K747" s="39"/>
      <c r="L747" s="1"/>
      <c r="M747" s="1"/>
      <c r="N747" s="2"/>
      <c r="O747" s="1"/>
      <c r="P747" s="1"/>
    </row>
    <row r="748" spans="1:16" ht="28.5" customHeight="1">
      <c r="A748" s="1"/>
      <c r="B748" s="39"/>
      <c r="C748" s="1"/>
      <c r="D748" s="1"/>
      <c r="E748" s="2"/>
      <c r="F748" s="1"/>
      <c r="G748" s="1"/>
      <c r="H748" s="1"/>
      <c r="I748" s="39"/>
      <c r="J748" s="39"/>
      <c r="K748" s="39"/>
      <c r="L748" s="1"/>
      <c r="M748" s="1"/>
      <c r="N748" s="2"/>
      <c r="O748" s="1"/>
      <c r="P748" s="1"/>
    </row>
    <row r="749" spans="1:16" ht="28.5" customHeight="1">
      <c r="A749" s="1"/>
      <c r="B749" s="39"/>
      <c r="C749" s="1"/>
      <c r="D749" s="1"/>
      <c r="E749" s="2"/>
      <c r="F749" s="1"/>
      <c r="G749" s="1"/>
      <c r="H749" s="1"/>
      <c r="I749" s="39"/>
      <c r="J749" s="39"/>
      <c r="K749" s="39"/>
      <c r="L749" s="1"/>
      <c r="M749" s="1"/>
      <c r="N749" s="2"/>
      <c r="O749" s="1"/>
      <c r="P749" s="1"/>
    </row>
    <row r="750" spans="1:16" ht="28.5" customHeight="1">
      <c r="A750" s="1"/>
      <c r="B750" s="39"/>
      <c r="C750" s="1"/>
      <c r="D750" s="1"/>
      <c r="E750" s="2"/>
      <c r="F750" s="1"/>
      <c r="G750" s="1"/>
      <c r="H750" s="1"/>
      <c r="I750" s="39"/>
      <c r="J750" s="39"/>
      <c r="K750" s="39"/>
      <c r="L750" s="1"/>
      <c r="M750" s="1"/>
      <c r="N750" s="2"/>
      <c r="O750" s="1"/>
      <c r="P750" s="1"/>
    </row>
    <row r="751" spans="1:16" ht="28.5" customHeight="1">
      <c r="A751" s="1"/>
      <c r="B751" s="39"/>
      <c r="C751" s="1"/>
      <c r="D751" s="1"/>
      <c r="E751" s="2"/>
      <c r="F751" s="1"/>
      <c r="G751" s="1"/>
      <c r="H751" s="1"/>
      <c r="I751" s="39"/>
      <c r="J751" s="39"/>
      <c r="K751" s="39"/>
      <c r="L751" s="1"/>
      <c r="M751" s="1"/>
      <c r="N751" s="2"/>
      <c r="O751" s="1"/>
      <c r="P751" s="1"/>
    </row>
    <row r="752" spans="1:16" ht="28.5" customHeight="1">
      <c r="A752" s="1"/>
      <c r="B752" s="39"/>
      <c r="C752" s="1"/>
      <c r="D752" s="1"/>
      <c r="E752" s="2"/>
      <c r="F752" s="1"/>
      <c r="G752" s="1"/>
      <c r="H752" s="1"/>
      <c r="I752" s="39"/>
      <c r="J752" s="39"/>
      <c r="K752" s="39"/>
      <c r="L752" s="1"/>
      <c r="M752" s="1"/>
      <c r="N752" s="2"/>
      <c r="O752" s="1"/>
      <c r="P752" s="1"/>
    </row>
    <row r="753" spans="1:16" ht="28.5" customHeight="1">
      <c r="A753" s="1"/>
      <c r="B753" s="39"/>
      <c r="C753" s="1"/>
      <c r="D753" s="1"/>
      <c r="E753" s="2"/>
      <c r="F753" s="1"/>
      <c r="G753" s="1"/>
      <c r="H753" s="1"/>
      <c r="I753" s="39"/>
      <c r="J753" s="39"/>
      <c r="K753" s="39"/>
      <c r="L753" s="1"/>
      <c r="M753" s="1"/>
      <c r="N753" s="2"/>
      <c r="O753" s="1"/>
      <c r="P753" s="1"/>
    </row>
    <row r="754" spans="1:16" ht="28.5" customHeight="1">
      <c r="A754" s="1"/>
      <c r="B754" s="39"/>
      <c r="C754" s="1"/>
      <c r="D754" s="1"/>
      <c r="E754" s="2"/>
      <c r="F754" s="1"/>
      <c r="G754" s="1"/>
      <c r="H754" s="1"/>
      <c r="I754" s="39"/>
      <c r="J754" s="39"/>
      <c r="K754" s="39"/>
      <c r="L754" s="1"/>
      <c r="M754" s="1"/>
      <c r="N754" s="2"/>
      <c r="O754" s="1"/>
      <c r="P754" s="1"/>
    </row>
    <row r="755" spans="1:16" ht="28.5" customHeight="1">
      <c r="A755" s="1"/>
      <c r="B755" s="39"/>
      <c r="C755" s="1"/>
      <c r="D755" s="1"/>
      <c r="E755" s="2"/>
      <c r="F755" s="1"/>
      <c r="G755" s="1"/>
      <c r="H755" s="1"/>
      <c r="I755" s="39"/>
      <c r="J755" s="39"/>
      <c r="K755" s="39"/>
      <c r="L755" s="1"/>
      <c r="M755" s="1"/>
      <c r="N755" s="2"/>
      <c r="O755" s="1"/>
      <c r="P755" s="1"/>
    </row>
    <row r="756" spans="1:16" ht="28.5" customHeight="1">
      <c r="A756" s="1"/>
      <c r="B756" s="39"/>
      <c r="C756" s="1"/>
      <c r="D756" s="1"/>
      <c r="E756" s="2"/>
      <c r="F756" s="1"/>
      <c r="G756" s="1"/>
      <c r="H756" s="1"/>
      <c r="I756" s="39"/>
      <c r="J756" s="39"/>
      <c r="K756" s="39"/>
      <c r="L756" s="1"/>
      <c r="M756" s="1"/>
      <c r="N756" s="2"/>
      <c r="O756" s="1"/>
      <c r="P756" s="1"/>
    </row>
    <row r="757" spans="1:16" ht="28.5" customHeight="1">
      <c r="A757" s="1"/>
      <c r="B757" s="39"/>
      <c r="C757" s="1"/>
      <c r="D757" s="1"/>
      <c r="E757" s="2"/>
      <c r="F757" s="1"/>
      <c r="G757" s="1"/>
      <c r="H757" s="1"/>
      <c r="I757" s="39"/>
      <c r="J757" s="39"/>
      <c r="K757" s="39"/>
      <c r="L757" s="1"/>
      <c r="M757" s="1"/>
      <c r="N757" s="2"/>
      <c r="O757" s="1"/>
      <c r="P757" s="1"/>
    </row>
    <row r="758" spans="1:16" ht="28.5" customHeight="1">
      <c r="A758" s="1"/>
      <c r="B758" s="39"/>
      <c r="C758" s="1"/>
      <c r="D758" s="1"/>
      <c r="E758" s="2"/>
      <c r="F758" s="1"/>
      <c r="G758" s="1"/>
      <c r="H758" s="1"/>
      <c r="I758" s="39"/>
      <c r="J758" s="39"/>
      <c r="K758" s="39"/>
      <c r="L758" s="1"/>
      <c r="M758" s="1"/>
      <c r="N758" s="2"/>
      <c r="O758" s="1"/>
      <c r="P758" s="1"/>
    </row>
    <row r="759" spans="1:16" ht="28.5" customHeight="1">
      <c r="A759" s="1"/>
      <c r="B759" s="39"/>
      <c r="C759" s="1"/>
      <c r="D759" s="1"/>
      <c r="E759" s="2"/>
      <c r="F759" s="1"/>
      <c r="G759" s="1"/>
      <c r="H759" s="1"/>
      <c r="I759" s="39"/>
      <c r="J759" s="39"/>
      <c r="K759" s="39"/>
      <c r="L759" s="1"/>
      <c r="M759" s="1"/>
      <c r="N759" s="2"/>
      <c r="O759" s="1"/>
      <c r="P759" s="1"/>
    </row>
    <row r="760" spans="1:16" ht="28.5" customHeight="1">
      <c r="A760" s="1"/>
      <c r="B760" s="39"/>
      <c r="C760" s="1"/>
      <c r="D760" s="1"/>
      <c r="E760" s="2"/>
      <c r="F760" s="1"/>
      <c r="G760" s="1"/>
      <c r="H760" s="1"/>
      <c r="I760" s="39"/>
      <c r="J760" s="39"/>
      <c r="K760" s="39"/>
      <c r="L760" s="1"/>
      <c r="M760" s="1"/>
      <c r="N760" s="2"/>
      <c r="O760" s="1"/>
      <c r="P760" s="1"/>
    </row>
    <row r="761" spans="1:16" ht="28.5" customHeight="1">
      <c r="A761" s="1"/>
      <c r="B761" s="39"/>
      <c r="C761" s="1"/>
      <c r="D761" s="1"/>
      <c r="E761" s="2"/>
      <c r="F761" s="1"/>
      <c r="G761" s="1"/>
      <c r="H761" s="1"/>
      <c r="I761" s="39"/>
      <c r="J761" s="39"/>
      <c r="K761" s="39"/>
      <c r="L761" s="1"/>
      <c r="M761" s="1"/>
      <c r="N761" s="2"/>
      <c r="O761" s="1"/>
      <c r="P761" s="1"/>
    </row>
    <row r="762" spans="1:16" ht="28.5" customHeight="1">
      <c r="A762" s="1"/>
      <c r="B762" s="39"/>
      <c r="C762" s="1"/>
      <c r="D762" s="1"/>
      <c r="E762" s="2"/>
      <c r="F762" s="1"/>
      <c r="G762" s="1"/>
      <c r="H762" s="1"/>
      <c r="I762" s="39"/>
      <c r="J762" s="39"/>
      <c r="K762" s="39"/>
      <c r="L762" s="1"/>
      <c r="M762" s="1"/>
      <c r="N762" s="2"/>
      <c r="O762" s="1"/>
      <c r="P762" s="1"/>
    </row>
    <row r="763" spans="1:16" ht="28.5" customHeight="1">
      <c r="A763" s="1"/>
      <c r="B763" s="39"/>
      <c r="C763" s="1"/>
      <c r="D763" s="1"/>
      <c r="E763" s="2"/>
      <c r="F763" s="1"/>
      <c r="G763" s="1"/>
      <c r="H763" s="1"/>
      <c r="I763" s="39"/>
      <c r="J763" s="39"/>
      <c r="K763" s="39"/>
      <c r="L763" s="1"/>
      <c r="M763" s="1"/>
      <c r="N763" s="2"/>
      <c r="O763" s="1"/>
      <c r="P763" s="1"/>
    </row>
    <row r="764" spans="1:16" ht="28.5" customHeight="1">
      <c r="A764" s="1"/>
      <c r="B764" s="39"/>
      <c r="C764" s="1"/>
      <c r="D764" s="1"/>
      <c r="E764" s="2"/>
      <c r="F764" s="1"/>
      <c r="G764" s="1"/>
      <c r="H764" s="1"/>
      <c r="I764" s="39"/>
      <c r="J764" s="39"/>
      <c r="K764" s="39"/>
      <c r="L764" s="1"/>
      <c r="M764" s="1"/>
      <c r="N764" s="2"/>
      <c r="O764" s="1"/>
      <c r="P764" s="1"/>
    </row>
    <row r="765" spans="1:16" ht="28.5" customHeight="1">
      <c r="A765" s="1"/>
      <c r="B765" s="39"/>
      <c r="C765" s="1"/>
      <c r="D765" s="1"/>
      <c r="E765" s="2"/>
      <c r="F765" s="1"/>
      <c r="G765" s="1"/>
      <c r="H765" s="1"/>
      <c r="I765" s="39"/>
      <c r="J765" s="39"/>
      <c r="K765" s="39"/>
      <c r="L765" s="1"/>
      <c r="M765" s="1"/>
      <c r="N765" s="2"/>
      <c r="O765" s="1"/>
      <c r="P765" s="1"/>
    </row>
    <row r="766" spans="1:16" ht="28.5" customHeight="1">
      <c r="A766" s="1"/>
      <c r="B766" s="39"/>
      <c r="C766" s="1"/>
      <c r="D766" s="1"/>
      <c r="E766" s="2"/>
      <c r="F766" s="1"/>
      <c r="G766" s="1"/>
      <c r="H766" s="1"/>
      <c r="I766" s="39"/>
      <c r="J766" s="39"/>
      <c r="K766" s="39"/>
      <c r="L766" s="1"/>
      <c r="M766" s="1"/>
      <c r="N766" s="2"/>
      <c r="O766" s="1"/>
      <c r="P766" s="1"/>
    </row>
    <row r="767" spans="1:16" ht="28.5" customHeight="1">
      <c r="A767" s="1"/>
      <c r="B767" s="39"/>
      <c r="C767" s="1"/>
      <c r="D767" s="1"/>
      <c r="E767" s="2"/>
      <c r="F767" s="1"/>
      <c r="G767" s="1"/>
      <c r="H767" s="1"/>
      <c r="I767" s="39"/>
      <c r="J767" s="39"/>
      <c r="K767" s="39"/>
      <c r="L767" s="1"/>
      <c r="M767" s="1"/>
      <c r="N767" s="2"/>
      <c r="O767" s="1"/>
      <c r="P767" s="1"/>
    </row>
    <row r="768" spans="1:16" ht="28.5" customHeight="1">
      <c r="A768" s="1"/>
      <c r="B768" s="39"/>
      <c r="C768" s="1"/>
      <c r="D768" s="1"/>
      <c r="E768" s="2"/>
      <c r="F768" s="1"/>
      <c r="G768" s="1"/>
      <c r="H768" s="1"/>
      <c r="I768" s="39"/>
      <c r="J768" s="39"/>
      <c r="K768" s="39"/>
      <c r="L768" s="1"/>
      <c r="M768" s="1"/>
      <c r="N768" s="2"/>
      <c r="O768" s="1"/>
      <c r="P768" s="1"/>
    </row>
    <row r="769" spans="1:16" ht="28.5" customHeight="1">
      <c r="A769" s="1"/>
      <c r="B769" s="39"/>
      <c r="C769" s="1"/>
      <c r="D769" s="1"/>
      <c r="E769" s="2"/>
      <c r="F769" s="1"/>
      <c r="G769" s="1"/>
      <c r="H769" s="1"/>
      <c r="I769" s="39"/>
      <c r="J769" s="39"/>
      <c r="K769" s="39"/>
      <c r="L769" s="1"/>
      <c r="M769" s="1"/>
      <c r="N769" s="2"/>
      <c r="O769" s="1"/>
      <c r="P769" s="1"/>
    </row>
    <row r="770" spans="1:16" ht="28.5" customHeight="1">
      <c r="A770" s="1"/>
      <c r="B770" s="39"/>
      <c r="C770" s="1"/>
      <c r="D770" s="1"/>
      <c r="E770" s="2"/>
      <c r="F770" s="1"/>
      <c r="G770" s="1"/>
      <c r="H770" s="1"/>
      <c r="I770" s="39"/>
      <c r="J770" s="39"/>
      <c r="K770" s="39"/>
      <c r="L770" s="1"/>
      <c r="M770" s="1"/>
      <c r="N770" s="2"/>
      <c r="O770" s="1"/>
      <c r="P770" s="1"/>
    </row>
    <row r="771" spans="1:16" ht="28.5" customHeight="1">
      <c r="A771" s="1"/>
      <c r="B771" s="39"/>
      <c r="C771" s="1"/>
      <c r="D771" s="1"/>
      <c r="E771" s="2"/>
      <c r="F771" s="1"/>
      <c r="G771" s="1"/>
      <c r="H771" s="1"/>
      <c r="I771" s="39"/>
      <c r="J771" s="39"/>
      <c r="K771" s="39"/>
      <c r="L771" s="1"/>
      <c r="M771" s="1"/>
      <c r="N771" s="2"/>
      <c r="O771" s="1"/>
      <c r="P771" s="1"/>
    </row>
    <row r="772" spans="1:16" ht="28.5" customHeight="1">
      <c r="A772" s="1"/>
      <c r="B772" s="39"/>
      <c r="C772" s="1"/>
      <c r="D772" s="1"/>
      <c r="E772" s="2"/>
      <c r="F772" s="1"/>
      <c r="G772" s="1"/>
      <c r="H772" s="1"/>
      <c r="I772" s="39"/>
      <c r="J772" s="39"/>
      <c r="K772" s="39"/>
      <c r="L772" s="1"/>
      <c r="M772" s="1"/>
      <c r="N772" s="2"/>
      <c r="O772" s="1"/>
      <c r="P772" s="1"/>
    </row>
    <row r="773" spans="1:16" ht="28.5" customHeight="1">
      <c r="A773" s="1"/>
      <c r="B773" s="39"/>
      <c r="C773" s="1"/>
      <c r="D773" s="1"/>
      <c r="E773" s="2"/>
      <c r="F773" s="1"/>
      <c r="G773" s="1"/>
      <c r="H773" s="1"/>
      <c r="I773" s="39"/>
      <c r="J773" s="39"/>
      <c r="K773" s="39"/>
      <c r="L773" s="1"/>
      <c r="M773" s="1"/>
      <c r="N773" s="2"/>
      <c r="O773" s="1"/>
      <c r="P773" s="1"/>
    </row>
    <row r="774" spans="1:16" ht="28.5" customHeight="1">
      <c r="A774" s="1"/>
      <c r="B774" s="39"/>
      <c r="C774" s="1"/>
      <c r="D774" s="1"/>
      <c r="E774" s="2"/>
      <c r="F774" s="1"/>
      <c r="G774" s="1"/>
      <c r="H774" s="1"/>
      <c r="I774" s="39"/>
      <c r="J774" s="39"/>
      <c r="K774" s="39"/>
      <c r="L774" s="1"/>
      <c r="M774" s="1"/>
      <c r="N774" s="2"/>
      <c r="O774" s="1"/>
      <c r="P774" s="1"/>
    </row>
    <row r="775" spans="1:16" ht="28.5" customHeight="1">
      <c r="A775" s="1"/>
      <c r="B775" s="39"/>
      <c r="C775" s="1"/>
      <c r="D775" s="1"/>
      <c r="E775" s="2"/>
      <c r="F775" s="1"/>
      <c r="G775" s="1"/>
      <c r="H775" s="1"/>
      <c r="I775" s="39"/>
      <c r="J775" s="39"/>
      <c r="K775" s="39"/>
      <c r="L775" s="1"/>
      <c r="M775" s="1"/>
      <c r="N775" s="2"/>
      <c r="O775" s="1"/>
      <c r="P775" s="1"/>
    </row>
    <row r="776" spans="1:16" ht="28.5" customHeight="1">
      <c r="A776" s="1"/>
      <c r="B776" s="39"/>
      <c r="C776" s="1"/>
      <c r="D776" s="1"/>
      <c r="E776" s="2"/>
      <c r="F776" s="1"/>
      <c r="G776" s="1"/>
      <c r="H776" s="1"/>
      <c r="I776" s="39"/>
      <c r="J776" s="39"/>
      <c r="K776" s="39"/>
      <c r="L776" s="1"/>
      <c r="M776" s="1"/>
      <c r="N776" s="2"/>
      <c r="O776" s="1"/>
      <c r="P776" s="1"/>
    </row>
    <row r="777" spans="1:16" ht="28.5" customHeight="1">
      <c r="A777" s="1"/>
      <c r="B777" s="39"/>
      <c r="C777" s="1"/>
      <c r="D777" s="1"/>
      <c r="E777" s="2"/>
      <c r="F777" s="1"/>
      <c r="G777" s="1"/>
      <c r="H777" s="1"/>
      <c r="I777" s="39"/>
      <c r="J777" s="39"/>
      <c r="K777" s="39"/>
      <c r="L777" s="1"/>
      <c r="M777" s="1"/>
      <c r="N777" s="2"/>
      <c r="O777" s="1"/>
      <c r="P777" s="1"/>
    </row>
    <row r="778" spans="1:16" ht="28.5" customHeight="1">
      <c r="A778" s="1"/>
      <c r="B778" s="39"/>
      <c r="C778" s="1"/>
      <c r="D778" s="1"/>
      <c r="E778" s="2"/>
      <c r="F778" s="1"/>
      <c r="G778" s="1"/>
      <c r="H778" s="1"/>
      <c r="I778" s="39"/>
      <c r="J778" s="39"/>
      <c r="K778" s="39"/>
      <c r="L778" s="1"/>
      <c r="M778" s="1"/>
      <c r="N778" s="2"/>
      <c r="O778" s="1"/>
      <c r="P778" s="1"/>
    </row>
    <row r="779" spans="1:16" ht="28.5" customHeight="1">
      <c r="A779" s="1"/>
      <c r="B779" s="39"/>
      <c r="C779" s="1"/>
      <c r="D779" s="1"/>
      <c r="E779" s="2"/>
      <c r="F779" s="1"/>
      <c r="G779" s="1"/>
      <c r="H779" s="1"/>
      <c r="I779" s="39"/>
      <c r="J779" s="39"/>
      <c r="K779" s="39"/>
      <c r="L779" s="1"/>
      <c r="M779" s="1"/>
      <c r="N779" s="2"/>
      <c r="O779" s="1"/>
      <c r="P779" s="1"/>
    </row>
    <row r="780" spans="1:16" ht="28.5" customHeight="1">
      <c r="A780" s="1"/>
      <c r="B780" s="39"/>
      <c r="C780" s="1"/>
      <c r="D780" s="1"/>
      <c r="E780" s="2"/>
      <c r="F780" s="1"/>
      <c r="G780" s="1"/>
      <c r="H780" s="1"/>
      <c r="I780" s="39"/>
      <c r="J780" s="39"/>
      <c r="K780" s="39"/>
      <c r="L780" s="1"/>
      <c r="M780" s="1"/>
      <c r="N780" s="2"/>
      <c r="O780" s="1"/>
      <c r="P780" s="1"/>
    </row>
    <row r="781" spans="1:16" ht="28.5" customHeight="1">
      <c r="A781" s="1"/>
      <c r="B781" s="39"/>
      <c r="C781" s="1"/>
      <c r="D781" s="1"/>
      <c r="E781" s="2"/>
      <c r="F781" s="1"/>
      <c r="G781" s="1"/>
      <c r="H781" s="1"/>
      <c r="I781" s="39"/>
      <c r="J781" s="39"/>
      <c r="K781" s="39"/>
      <c r="L781" s="1"/>
      <c r="M781" s="1"/>
      <c r="N781" s="2"/>
      <c r="O781" s="1"/>
      <c r="P781" s="1"/>
    </row>
    <row r="782" spans="1:16" ht="28.5" customHeight="1">
      <c r="A782" s="1"/>
      <c r="B782" s="39"/>
      <c r="C782" s="1"/>
      <c r="D782" s="1"/>
      <c r="E782" s="2"/>
      <c r="F782" s="1"/>
      <c r="G782" s="1"/>
      <c r="H782" s="1"/>
      <c r="I782" s="39"/>
      <c r="J782" s="39"/>
      <c r="K782" s="39"/>
      <c r="L782" s="1"/>
      <c r="M782" s="1"/>
      <c r="N782" s="2"/>
      <c r="O782" s="1"/>
      <c r="P782" s="1"/>
    </row>
    <row r="783" spans="1:16" ht="28.5" customHeight="1">
      <c r="A783" s="1"/>
      <c r="B783" s="39"/>
      <c r="C783" s="1"/>
      <c r="D783" s="1"/>
      <c r="E783" s="2"/>
      <c r="F783" s="1"/>
      <c r="G783" s="1"/>
      <c r="H783" s="1"/>
      <c r="I783" s="39"/>
      <c r="J783" s="39"/>
      <c r="K783" s="39"/>
      <c r="L783" s="1"/>
      <c r="M783" s="1"/>
      <c r="N783" s="2"/>
      <c r="O783" s="1"/>
      <c r="P783" s="1"/>
    </row>
    <row r="784" spans="1:16" ht="28.5" customHeight="1">
      <c r="A784" s="1"/>
      <c r="B784" s="39"/>
      <c r="C784" s="1"/>
      <c r="D784" s="1"/>
      <c r="E784" s="2"/>
      <c r="F784" s="1"/>
      <c r="G784" s="1"/>
      <c r="H784" s="1"/>
      <c r="I784" s="39"/>
      <c r="J784" s="39"/>
      <c r="K784" s="39"/>
      <c r="L784" s="1"/>
      <c r="M784" s="1"/>
      <c r="N784" s="2"/>
      <c r="O784" s="1"/>
      <c r="P784" s="1"/>
    </row>
    <row r="785" spans="1:16" ht="28.5" customHeight="1">
      <c r="A785" s="1"/>
      <c r="B785" s="39"/>
      <c r="C785" s="1"/>
      <c r="D785" s="1"/>
      <c r="E785" s="2"/>
      <c r="F785" s="1"/>
      <c r="G785" s="1"/>
      <c r="H785" s="1"/>
      <c r="I785" s="39"/>
      <c r="J785" s="39"/>
      <c r="K785" s="39"/>
      <c r="L785" s="1"/>
      <c r="M785" s="1"/>
      <c r="N785" s="2"/>
      <c r="O785" s="1"/>
      <c r="P785" s="1"/>
    </row>
  </sheetData>
  <autoFilter ref="A4:T691" xr:uid="{BF6D6B36-E267-4841-A2ED-36EE5ABAD7BE}"/>
  <mergeCells count="4">
    <mergeCell ref="A1:B1"/>
    <mergeCell ref="A2:B2"/>
    <mergeCell ref="A3:N3"/>
    <mergeCell ref="A698:B699"/>
  </mergeCells>
  <dataValidations count="5">
    <dataValidation type="list" allowBlank="1" showInputMessage="1" showErrorMessage="1" sqref="L696" xr:uid="{D30E22E8-79B9-40FE-B5FD-E259C87DF12A}">
      <formula1>"JOSE, ANDERSON, DOUGLAS, GABRIELA, WILLIAN P, ANDRESSA, JESSICA, ANDERSON$D$67"</formula1>
    </dataValidation>
    <dataValidation type="list" allowBlank="1" showInputMessage="1" showErrorMessage="1" sqref="L5:L501 L692:L695" xr:uid="{2EFDA943-B860-4613-9D80-F78AAF9C2992}">
      <formula1>"JOSE, DOUGLAS, LUCAS, ANDERSON, GABRIELA, ANDERSON, JESSICA, MARCELO, OUTRO"</formula1>
    </dataValidation>
    <dataValidation type="list" allowBlank="1" showInputMessage="1" showErrorMessage="1" sqref="C450:D450 C5:C449 C451:C695" xr:uid="{0BCECF24-46FD-484F-A4C1-E53E178764B9}">
      <formula1>"CANCELADO, RETIDO, INADIMPLENCIA"</formula1>
    </dataValidation>
    <dataValidation type="list" allowBlank="1" showInputMessage="1" showErrorMessage="1" sqref="O5:O704" xr:uid="{7497D4E2-B717-4605-8787-F62C27B0448E}">
      <formula1>"SIM, NÃO"</formula1>
    </dataValidation>
    <dataValidation type="list" allowBlank="1" showInputMessage="1" showErrorMessage="1" sqref="M5:M695" xr:uid="{A59CB887-40C8-41A9-A7DA-9550A10220E9}">
      <formula1>"INSATISFAÇÃO C/ ATD, INSATISFAÇÃO C/ SERVIÇO, MUDANÇA DE ENDEREÇO, MOTIVOS PESSOAIS, TROCA DE PROVEDOR, PROBLEMAS FINANC, OUTROS"</formula1>
    </dataValidation>
  </dataValidations>
  <hyperlinks>
    <hyperlink ref="Q129" r:id="rId1" xr:uid="{2720E022-AFF8-4ECC-9C13-928B68C6CA8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FA333-120C-4FA3-8A62-F5E6C46F609C}">
  <sheetPr filterMode="1">
    <tabColor theme="1" tint="0.499984740745262"/>
  </sheetPr>
  <dimension ref="A1:T807"/>
  <sheetViews>
    <sheetView workbookViewId="0">
      <pane ySplit="4" topLeftCell="A441" activePane="bottomLeft" state="frozen"/>
      <selection pane="bottomLeft" activeCell="G8" sqref="G8:G713"/>
    </sheetView>
  </sheetViews>
  <sheetFormatPr defaultRowHeight="21" customHeight="1"/>
  <cols>
    <col min="1" max="1" width="28.42578125" bestFit="1" customWidth="1"/>
    <col min="2" max="2" width="8.85546875" bestFit="1" customWidth="1"/>
    <col min="3" max="3" width="35" customWidth="1"/>
    <col min="4" max="4" width="52.7109375" bestFit="1" customWidth="1"/>
    <col min="5" max="5" width="36.7109375" bestFit="1" customWidth="1"/>
    <col min="6" max="6" width="25.7109375" bestFit="1" customWidth="1"/>
    <col min="7" max="7" width="25.42578125" bestFit="1" customWidth="1"/>
    <col min="8" max="8" width="18.42578125" bestFit="1" customWidth="1"/>
    <col min="9" max="9" width="26.5703125" bestFit="1" customWidth="1"/>
    <col min="10" max="11" width="22.5703125" customWidth="1"/>
    <col min="12" max="12" width="18.28515625" customWidth="1"/>
    <col min="13" max="13" width="34.85546875" customWidth="1"/>
    <col min="14" max="14" width="185.42578125" bestFit="1" customWidth="1"/>
    <col min="15" max="15" width="17.7109375" customWidth="1"/>
    <col min="16" max="16" width="21.42578125" customWidth="1"/>
  </cols>
  <sheetData>
    <row r="1" spans="1:16" ht="66.75" customHeight="1">
      <c r="A1" s="125" t="s">
        <v>0</v>
      </c>
      <c r="B1" s="125"/>
      <c r="C1" s="77" t="s">
        <v>1</v>
      </c>
      <c r="D1" s="124" t="s">
        <v>2</v>
      </c>
      <c r="E1" s="124" t="s">
        <v>3</v>
      </c>
      <c r="F1" s="124" t="s">
        <v>4</v>
      </c>
      <c r="G1" s="124" t="s">
        <v>5</v>
      </c>
      <c r="H1" s="124" t="s">
        <v>6</v>
      </c>
      <c r="I1" s="69" t="s">
        <v>7</v>
      </c>
      <c r="J1" s="77" t="s">
        <v>8</v>
      </c>
      <c r="K1" s="77" t="s">
        <v>9</v>
      </c>
      <c r="L1" s="86" t="s">
        <v>10</v>
      </c>
      <c r="N1" s="2"/>
      <c r="O1" s="1"/>
      <c r="P1" s="1"/>
    </row>
    <row r="2" spans="1:16" ht="48.75" customHeight="1">
      <c r="A2" s="126">
        <v>279</v>
      </c>
      <c r="B2" s="126"/>
      <c r="C2" s="53">
        <f>COUNTIF(C5:C719,"cancelado")</f>
        <v>353</v>
      </c>
      <c r="D2" s="43">
        <f>A2-C2</f>
        <v>-74</v>
      </c>
      <c r="E2" s="3">
        <v>26</v>
      </c>
      <c r="F2" s="3">
        <v>26</v>
      </c>
      <c r="G2" s="4">
        <f>E2-F2</f>
        <v>0</v>
      </c>
      <c r="H2" s="43">
        <f>A2/E2</f>
        <v>10.73076923076923</v>
      </c>
      <c r="I2" s="43" t="e">
        <f>D2/G2</f>
        <v>#DIV/0!</v>
      </c>
      <c r="J2" s="78">
        <f>COUNTIF(C5:C719,"inadimplencia")</f>
        <v>119</v>
      </c>
      <c r="K2" s="79">
        <f>C2+J2</f>
        <v>472</v>
      </c>
      <c r="L2" s="87">
        <f>K2/19554</f>
        <v>2.4138283727114657E-2</v>
      </c>
      <c r="N2" s="5"/>
      <c r="O2" s="1"/>
      <c r="P2" s="1"/>
    </row>
    <row r="3" spans="1:16" ht="41.25" customHeight="1">
      <c r="A3" s="127" t="s">
        <v>2045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"/>
      <c r="P3" s="1"/>
    </row>
    <row r="4" spans="1:16" ht="40.5" customHeight="1">
      <c r="A4" s="6" t="s">
        <v>12</v>
      </c>
      <c r="B4" s="32" t="s">
        <v>13</v>
      </c>
      <c r="C4" s="49" t="s">
        <v>14</v>
      </c>
      <c r="D4" s="7" t="s">
        <v>15</v>
      </c>
      <c r="E4" s="7" t="s">
        <v>16</v>
      </c>
      <c r="F4" s="7" t="s">
        <v>17</v>
      </c>
      <c r="G4" s="7" t="s">
        <v>18</v>
      </c>
      <c r="H4" s="7" t="s">
        <v>19</v>
      </c>
      <c r="I4" s="32" t="s">
        <v>20</v>
      </c>
      <c r="J4" s="32" t="s">
        <v>21</v>
      </c>
      <c r="K4" s="32" t="s">
        <v>22</v>
      </c>
      <c r="L4" s="7" t="s">
        <v>23</v>
      </c>
      <c r="M4" s="7" t="s">
        <v>24</v>
      </c>
      <c r="N4" s="6" t="s">
        <v>25</v>
      </c>
      <c r="O4" s="6" t="s">
        <v>26</v>
      </c>
      <c r="P4" s="1"/>
    </row>
    <row r="5" spans="1:16" ht="21" hidden="1" customHeight="1">
      <c r="A5" s="10">
        <v>1</v>
      </c>
      <c r="B5" s="33" t="s">
        <v>2046</v>
      </c>
      <c r="C5" s="41" t="s">
        <v>93</v>
      </c>
      <c r="D5" s="41" t="s">
        <v>2047</v>
      </c>
      <c r="E5" s="41" t="s">
        <v>2048</v>
      </c>
      <c r="F5" s="41" t="s">
        <v>2049</v>
      </c>
      <c r="G5" s="41" t="s">
        <v>501</v>
      </c>
      <c r="H5" s="8" t="s">
        <v>67</v>
      </c>
      <c r="I5" s="70"/>
      <c r="J5" s="70"/>
      <c r="K5" s="70"/>
      <c r="L5" s="41" t="s">
        <v>2050</v>
      </c>
      <c r="M5" s="41"/>
      <c r="N5" s="10" t="s">
        <v>2051</v>
      </c>
      <c r="O5" s="8"/>
      <c r="P5" s="1"/>
    </row>
    <row r="6" spans="1:16" ht="21" customHeight="1">
      <c r="A6" s="10">
        <v>1</v>
      </c>
      <c r="B6" s="33" t="s">
        <v>2046</v>
      </c>
      <c r="C6" s="41" t="s">
        <v>28</v>
      </c>
      <c r="D6" s="41" t="s">
        <v>2052</v>
      </c>
      <c r="E6" s="41" t="s">
        <v>1782</v>
      </c>
      <c r="F6" s="41" t="s">
        <v>2053</v>
      </c>
      <c r="G6" s="41" t="s">
        <v>501</v>
      </c>
      <c r="H6" s="8" t="s">
        <v>67</v>
      </c>
      <c r="I6" s="70" t="s">
        <v>2054</v>
      </c>
      <c r="J6" s="70"/>
      <c r="K6" s="70"/>
      <c r="L6" s="41" t="s">
        <v>2050</v>
      </c>
      <c r="M6" s="41" t="s">
        <v>61</v>
      </c>
      <c r="N6" s="10" t="s">
        <v>2055</v>
      </c>
      <c r="O6" s="8" t="s">
        <v>2056</v>
      </c>
      <c r="P6" s="1"/>
    </row>
    <row r="7" spans="1:16" ht="21" customHeight="1">
      <c r="A7" s="10">
        <v>1</v>
      </c>
      <c r="B7" s="33" t="s">
        <v>2046</v>
      </c>
      <c r="C7" s="41" t="s">
        <v>28</v>
      </c>
      <c r="D7" s="41" t="s">
        <v>2057</v>
      </c>
      <c r="E7" s="41" t="s">
        <v>145</v>
      </c>
      <c r="F7" s="41">
        <v>51993071821</v>
      </c>
      <c r="G7" s="41" t="s">
        <v>79</v>
      </c>
      <c r="H7" s="8" t="s">
        <v>47</v>
      </c>
      <c r="I7" s="70" t="s">
        <v>2058</v>
      </c>
      <c r="J7" s="70"/>
      <c r="K7" s="70"/>
      <c r="L7" s="41" t="s">
        <v>55</v>
      </c>
      <c r="M7" s="41" t="s">
        <v>128</v>
      </c>
      <c r="N7" s="10" t="s">
        <v>2059</v>
      </c>
      <c r="O7" s="8" t="s">
        <v>2056</v>
      </c>
      <c r="P7" s="1"/>
    </row>
    <row r="8" spans="1:16" ht="21" customHeight="1">
      <c r="A8" s="10">
        <v>1</v>
      </c>
      <c r="B8" s="33" t="s">
        <v>2046</v>
      </c>
      <c r="C8" s="41" t="s">
        <v>28</v>
      </c>
      <c r="D8" s="41" t="s">
        <v>2060</v>
      </c>
      <c r="E8" s="41" t="s">
        <v>39</v>
      </c>
      <c r="F8" s="41">
        <v>51981145656</v>
      </c>
      <c r="G8" s="41" t="s">
        <v>2061</v>
      </c>
      <c r="H8" s="8" t="s">
        <v>33</v>
      </c>
      <c r="I8" s="70" t="s">
        <v>2062</v>
      </c>
      <c r="J8" s="70"/>
      <c r="K8" s="66">
        <v>119.9</v>
      </c>
      <c r="L8" s="41" t="s">
        <v>55</v>
      </c>
      <c r="M8" s="41" t="s">
        <v>61</v>
      </c>
      <c r="N8" s="10" t="s">
        <v>2063</v>
      </c>
      <c r="O8" s="8" t="s">
        <v>2056</v>
      </c>
      <c r="P8" s="1" t="s">
        <v>2064</v>
      </c>
    </row>
    <row r="9" spans="1:16" ht="21" customHeight="1">
      <c r="A9" s="10">
        <v>1</v>
      </c>
      <c r="B9" s="33" t="s">
        <v>2046</v>
      </c>
      <c r="C9" s="41" t="s">
        <v>28</v>
      </c>
      <c r="D9" s="41" t="s">
        <v>2065</v>
      </c>
      <c r="E9" s="41" t="s">
        <v>2066</v>
      </c>
      <c r="F9" s="41" t="s">
        <v>2067</v>
      </c>
      <c r="G9" s="41" t="s">
        <v>507</v>
      </c>
      <c r="H9" s="8" t="s">
        <v>67</v>
      </c>
      <c r="I9" s="70" t="s">
        <v>2068</v>
      </c>
      <c r="J9" s="70"/>
      <c r="K9" s="70"/>
      <c r="L9" s="41" t="s">
        <v>2050</v>
      </c>
      <c r="M9" s="41" t="s">
        <v>128</v>
      </c>
      <c r="N9" s="10" t="s">
        <v>2069</v>
      </c>
      <c r="O9" s="8" t="s">
        <v>2056</v>
      </c>
      <c r="P9" s="1" t="s">
        <v>2064</v>
      </c>
    </row>
    <row r="10" spans="1:16" ht="21" hidden="1" customHeight="1">
      <c r="A10" s="10">
        <v>1</v>
      </c>
      <c r="B10" s="33" t="s">
        <v>2046</v>
      </c>
      <c r="C10" s="41" t="s">
        <v>93</v>
      </c>
      <c r="D10" s="41" t="s">
        <v>2070</v>
      </c>
      <c r="E10" s="41" t="s">
        <v>2071</v>
      </c>
      <c r="F10" s="41">
        <v>51996526087</v>
      </c>
      <c r="G10" s="41" t="s">
        <v>85</v>
      </c>
      <c r="H10" s="8" t="s">
        <v>33</v>
      </c>
      <c r="I10" s="70"/>
      <c r="J10" s="70"/>
      <c r="K10" s="70"/>
      <c r="L10" s="41" t="s">
        <v>55</v>
      </c>
      <c r="M10" s="41" t="s">
        <v>61</v>
      </c>
      <c r="N10" s="10" t="s">
        <v>2072</v>
      </c>
      <c r="O10" s="8" t="s">
        <v>2056</v>
      </c>
      <c r="P10" s="1" t="s">
        <v>2064</v>
      </c>
    </row>
    <row r="11" spans="1:16" ht="21" customHeight="1">
      <c r="A11" s="10">
        <v>1</v>
      </c>
      <c r="B11" s="33" t="s">
        <v>2046</v>
      </c>
      <c r="C11" s="41" t="s">
        <v>28</v>
      </c>
      <c r="D11" s="41" t="s">
        <v>2073</v>
      </c>
      <c r="E11" s="41" t="s">
        <v>2074</v>
      </c>
      <c r="F11" s="41" t="s">
        <v>2075</v>
      </c>
      <c r="G11" s="41" t="s">
        <v>559</v>
      </c>
      <c r="H11" s="8" t="s">
        <v>33</v>
      </c>
      <c r="I11" s="70" t="s">
        <v>195</v>
      </c>
      <c r="J11" s="70"/>
      <c r="K11" s="70"/>
      <c r="L11" s="41" t="s">
        <v>2050</v>
      </c>
      <c r="M11" s="41" t="s">
        <v>128</v>
      </c>
      <c r="N11" s="10" t="s">
        <v>2076</v>
      </c>
      <c r="O11" s="8" t="s">
        <v>2056</v>
      </c>
      <c r="P11" s="1" t="s">
        <v>2064</v>
      </c>
    </row>
    <row r="12" spans="1:16" ht="21" customHeight="1">
      <c r="A12" s="10">
        <v>1</v>
      </c>
      <c r="B12" s="33" t="s">
        <v>2046</v>
      </c>
      <c r="C12" s="41" t="s">
        <v>28</v>
      </c>
      <c r="D12" s="41" t="s">
        <v>2077</v>
      </c>
      <c r="E12" s="41" t="s">
        <v>446</v>
      </c>
      <c r="F12" s="41" t="s">
        <v>2078</v>
      </c>
      <c r="G12" s="41" t="s">
        <v>66</v>
      </c>
      <c r="H12" s="8" t="s">
        <v>67</v>
      </c>
      <c r="I12" s="70" t="s">
        <v>2079</v>
      </c>
      <c r="J12" s="70"/>
      <c r="K12" s="70"/>
      <c r="L12" s="41" t="s">
        <v>49</v>
      </c>
      <c r="M12" s="41" t="s">
        <v>128</v>
      </c>
      <c r="N12" s="10" t="s">
        <v>2080</v>
      </c>
      <c r="O12" s="8" t="s">
        <v>2056</v>
      </c>
      <c r="P12" s="1" t="s">
        <v>2064</v>
      </c>
    </row>
    <row r="13" spans="1:16" ht="21" customHeight="1">
      <c r="A13" s="10">
        <v>1</v>
      </c>
      <c r="B13" s="33" t="s">
        <v>2046</v>
      </c>
      <c r="C13" s="41" t="s">
        <v>28</v>
      </c>
      <c r="D13" s="41" t="s">
        <v>2081</v>
      </c>
      <c r="E13" s="41" t="s">
        <v>1024</v>
      </c>
      <c r="F13" s="41" t="s">
        <v>2082</v>
      </c>
      <c r="G13" s="41" t="s">
        <v>1024</v>
      </c>
      <c r="H13" s="8" t="s">
        <v>33</v>
      </c>
      <c r="I13" s="70" t="s">
        <v>195</v>
      </c>
      <c r="J13" s="70"/>
      <c r="K13" s="70"/>
      <c r="L13" s="41" t="s">
        <v>2050</v>
      </c>
      <c r="M13" s="41" t="s">
        <v>61</v>
      </c>
      <c r="N13" s="10" t="s">
        <v>2083</v>
      </c>
      <c r="O13" s="8" t="s">
        <v>2056</v>
      </c>
      <c r="P13" s="1" t="s">
        <v>2064</v>
      </c>
    </row>
    <row r="14" spans="1:16" ht="21" customHeight="1">
      <c r="A14" s="10">
        <v>1</v>
      </c>
      <c r="B14" s="33" t="s">
        <v>2046</v>
      </c>
      <c r="C14" s="41" t="s">
        <v>28</v>
      </c>
      <c r="D14" s="41" t="s">
        <v>2084</v>
      </c>
      <c r="E14" s="41" t="s">
        <v>812</v>
      </c>
      <c r="F14" s="41" t="s">
        <v>2085</v>
      </c>
      <c r="G14" s="41" t="s">
        <v>91</v>
      </c>
      <c r="H14" s="8" t="s">
        <v>67</v>
      </c>
      <c r="I14" s="70"/>
      <c r="J14" s="70"/>
      <c r="K14" s="70"/>
      <c r="L14" s="41" t="s">
        <v>49</v>
      </c>
      <c r="M14" s="41" t="s">
        <v>80</v>
      </c>
      <c r="N14" s="10" t="s">
        <v>2086</v>
      </c>
      <c r="O14" s="8" t="s">
        <v>2056</v>
      </c>
      <c r="P14" s="1" t="s">
        <v>2064</v>
      </c>
    </row>
    <row r="15" spans="1:16" ht="21" customHeight="1">
      <c r="A15" s="10">
        <v>1</v>
      </c>
      <c r="B15" s="33" t="s">
        <v>2046</v>
      </c>
      <c r="C15" s="41" t="s">
        <v>28</v>
      </c>
      <c r="D15" s="41" t="s">
        <v>2087</v>
      </c>
      <c r="E15" s="41" t="s">
        <v>39</v>
      </c>
      <c r="F15" s="41">
        <v>51989745746</v>
      </c>
      <c r="G15" s="41" t="s">
        <v>41</v>
      </c>
      <c r="H15" s="8" t="s">
        <v>33</v>
      </c>
      <c r="I15" s="70" t="s">
        <v>2088</v>
      </c>
      <c r="J15" s="70"/>
      <c r="K15" s="65">
        <v>119.9</v>
      </c>
      <c r="L15" s="41" t="s">
        <v>55</v>
      </c>
      <c r="M15" s="41" t="s">
        <v>61</v>
      </c>
      <c r="N15" s="10" t="s">
        <v>2089</v>
      </c>
      <c r="O15" s="8" t="s">
        <v>2056</v>
      </c>
      <c r="P15" s="1" t="s">
        <v>2064</v>
      </c>
    </row>
    <row r="16" spans="1:16" ht="21" customHeight="1">
      <c r="A16" s="10">
        <v>1</v>
      </c>
      <c r="B16" s="33" t="s">
        <v>2046</v>
      </c>
      <c r="C16" s="41" t="s">
        <v>28</v>
      </c>
      <c r="D16" s="41" t="s">
        <v>2090</v>
      </c>
      <c r="E16" s="41" t="s">
        <v>2091</v>
      </c>
      <c r="F16" s="41" t="s">
        <v>2092</v>
      </c>
      <c r="G16" s="41" t="s">
        <v>91</v>
      </c>
      <c r="H16" s="8" t="s">
        <v>67</v>
      </c>
      <c r="I16" s="70"/>
      <c r="J16" s="70"/>
      <c r="K16" s="70"/>
      <c r="L16" s="41" t="s">
        <v>49</v>
      </c>
      <c r="M16" s="41" t="s">
        <v>35</v>
      </c>
      <c r="N16" s="10" t="s">
        <v>2093</v>
      </c>
      <c r="O16" s="8" t="s">
        <v>2056</v>
      </c>
      <c r="P16" s="1" t="s">
        <v>2064</v>
      </c>
    </row>
    <row r="17" spans="1:16" ht="21" customHeight="1">
      <c r="A17" s="10">
        <v>1</v>
      </c>
      <c r="B17" s="33" t="s">
        <v>2046</v>
      </c>
      <c r="C17" s="41" t="s">
        <v>28</v>
      </c>
      <c r="D17" s="41" t="s">
        <v>2094</v>
      </c>
      <c r="E17" s="41" t="s">
        <v>161</v>
      </c>
      <c r="F17" s="41">
        <v>51984451446</v>
      </c>
      <c r="G17" s="41" t="s">
        <v>66</v>
      </c>
      <c r="H17" s="8" t="s">
        <v>67</v>
      </c>
      <c r="I17" s="70" t="s">
        <v>2058</v>
      </c>
      <c r="J17" s="70"/>
      <c r="K17" s="70"/>
      <c r="L17" s="41" t="s">
        <v>55</v>
      </c>
      <c r="M17" s="41" t="s">
        <v>61</v>
      </c>
      <c r="N17" s="10" t="s">
        <v>2095</v>
      </c>
      <c r="O17" s="8" t="s">
        <v>2056</v>
      </c>
      <c r="P17" s="1" t="s">
        <v>2064</v>
      </c>
    </row>
    <row r="18" spans="1:16" ht="21" customHeight="1">
      <c r="A18" s="10">
        <v>1</v>
      </c>
      <c r="B18" s="33" t="s">
        <v>2046</v>
      </c>
      <c r="C18" s="41" t="s">
        <v>28</v>
      </c>
      <c r="D18" s="41" t="s">
        <v>2096</v>
      </c>
      <c r="E18" s="41" t="s">
        <v>454</v>
      </c>
      <c r="F18" s="41" t="s">
        <v>2097</v>
      </c>
      <c r="G18" s="41" t="s">
        <v>507</v>
      </c>
      <c r="H18" s="8" t="s">
        <v>67</v>
      </c>
      <c r="I18" s="70" t="s">
        <v>2058</v>
      </c>
      <c r="J18" s="70"/>
      <c r="K18" s="70"/>
      <c r="L18" s="41" t="s">
        <v>2050</v>
      </c>
      <c r="M18" s="41" t="s">
        <v>61</v>
      </c>
      <c r="N18" s="10" t="s">
        <v>2098</v>
      </c>
      <c r="O18" s="8" t="s">
        <v>2056</v>
      </c>
      <c r="P18" s="1" t="s">
        <v>2064</v>
      </c>
    </row>
    <row r="19" spans="1:16" ht="21" customHeight="1">
      <c r="A19" s="10">
        <v>1</v>
      </c>
      <c r="B19" s="33" t="s">
        <v>2046</v>
      </c>
      <c r="C19" s="41" t="s">
        <v>28</v>
      </c>
      <c r="D19" s="41" t="s">
        <v>2099</v>
      </c>
      <c r="E19" s="41" t="s">
        <v>2100</v>
      </c>
      <c r="F19" s="41">
        <v>51996888817</v>
      </c>
      <c r="G19" s="41" t="s">
        <v>91</v>
      </c>
      <c r="H19" s="8" t="s">
        <v>67</v>
      </c>
      <c r="I19" s="70"/>
      <c r="J19" s="70"/>
      <c r="K19" s="70"/>
      <c r="L19" s="41" t="s">
        <v>55</v>
      </c>
      <c r="M19" s="41" t="s">
        <v>128</v>
      </c>
      <c r="N19" s="10" t="s">
        <v>2101</v>
      </c>
      <c r="O19" s="8" t="s">
        <v>2056</v>
      </c>
      <c r="P19" s="1" t="s">
        <v>2064</v>
      </c>
    </row>
    <row r="20" spans="1:16" ht="21" customHeight="1">
      <c r="A20" s="10">
        <v>1</v>
      </c>
      <c r="B20" s="33" t="s">
        <v>2046</v>
      </c>
      <c r="C20" s="41" t="s">
        <v>28</v>
      </c>
      <c r="D20" s="41" t="s">
        <v>2102</v>
      </c>
      <c r="E20" s="41" t="s">
        <v>1770</v>
      </c>
      <c r="F20" s="41" t="s">
        <v>2103</v>
      </c>
      <c r="G20" s="41" t="s">
        <v>66</v>
      </c>
      <c r="H20" s="8" t="s">
        <v>67</v>
      </c>
      <c r="I20" s="70" t="s">
        <v>2079</v>
      </c>
      <c r="J20" s="70"/>
      <c r="K20" s="70"/>
      <c r="L20" s="41" t="s">
        <v>49</v>
      </c>
      <c r="M20" s="41" t="s">
        <v>61</v>
      </c>
      <c r="N20" s="10" t="s">
        <v>2104</v>
      </c>
      <c r="O20" s="8" t="s">
        <v>2056</v>
      </c>
      <c r="P20" s="1" t="s">
        <v>2064</v>
      </c>
    </row>
    <row r="21" spans="1:16" ht="21" customHeight="1">
      <c r="A21" s="10">
        <v>1</v>
      </c>
      <c r="B21" s="33" t="s">
        <v>2046</v>
      </c>
      <c r="C21" s="41" t="s">
        <v>28</v>
      </c>
      <c r="D21" s="41" t="s">
        <v>2105</v>
      </c>
      <c r="E21" s="41" t="s">
        <v>1306</v>
      </c>
      <c r="F21" s="41" t="s">
        <v>2106</v>
      </c>
      <c r="G21" s="41" t="s">
        <v>395</v>
      </c>
      <c r="H21" s="8" t="s">
        <v>33</v>
      </c>
      <c r="I21" s="70"/>
      <c r="J21" s="70"/>
      <c r="K21" s="70"/>
      <c r="L21" s="41" t="s">
        <v>2050</v>
      </c>
      <c r="M21" s="41" t="s">
        <v>128</v>
      </c>
      <c r="N21" s="10" t="s">
        <v>2107</v>
      </c>
      <c r="O21" s="8" t="s">
        <v>2056</v>
      </c>
      <c r="P21" s="1" t="s">
        <v>2064</v>
      </c>
    </row>
    <row r="22" spans="1:16" ht="21" customHeight="1">
      <c r="A22" s="10">
        <v>1</v>
      </c>
      <c r="B22" s="33" t="s">
        <v>2046</v>
      </c>
      <c r="C22" s="41" t="s">
        <v>28</v>
      </c>
      <c r="D22" s="41" t="s">
        <v>2108</v>
      </c>
      <c r="E22" s="41" t="s">
        <v>39</v>
      </c>
      <c r="F22" s="41" t="s">
        <v>2109</v>
      </c>
      <c r="G22" s="41" t="s">
        <v>1091</v>
      </c>
      <c r="H22" s="8" t="s">
        <v>33</v>
      </c>
      <c r="I22" s="70" t="s">
        <v>195</v>
      </c>
      <c r="J22" s="70"/>
      <c r="K22" s="65">
        <v>79.900000000000006</v>
      </c>
      <c r="L22" s="41" t="s">
        <v>2050</v>
      </c>
      <c r="M22" s="41" t="s">
        <v>128</v>
      </c>
      <c r="N22" s="10" t="s">
        <v>2110</v>
      </c>
      <c r="O22" s="8" t="s">
        <v>2056</v>
      </c>
      <c r="P22" s="1" t="s">
        <v>2064</v>
      </c>
    </row>
    <row r="23" spans="1:16" ht="21" customHeight="1">
      <c r="A23" s="10">
        <v>1</v>
      </c>
      <c r="B23" s="33" t="s">
        <v>2046</v>
      </c>
      <c r="C23" s="41" t="s">
        <v>28</v>
      </c>
      <c r="D23" s="41" t="s">
        <v>2111</v>
      </c>
      <c r="E23" s="41" t="s">
        <v>182</v>
      </c>
      <c r="F23" s="41" t="s">
        <v>2112</v>
      </c>
      <c r="G23" s="41" t="s">
        <v>797</v>
      </c>
      <c r="H23" s="8" t="s">
        <v>33</v>
      </c>
      <c r="I23" s="70" t="s">
        <v>195</v>
      </c>
      <c r="J23" s="70"/>
      <c r="K23" s="70"/>
      <c r="L23" s="41" t="s">
        <v>2050</v>
      </c>
      <c r="M23" s="41" t="s">
        <v>35</v>
      </c>
      <c r="N23" s="10" t="s">
        <v>2113</v>
      </c>
      <c r="O23" s="8" t="s">
        <v>2056</v>
      </c>
      <c r="P23" s="1" t="s">
        <v>2064</v>
      </c>
    </row>
    <row r="24" spans="1:16" ht="21" customHeight="1">
      <c r="A24" s="10">
        <v>1</v>
      </c>
      <c r="B24" s="33" t="s">
        <v>2046</v>
      </c>
      <c r="C24" s="41" t="s">
        <v>28</v>
      </c>
      <c r="D24" s="41" t="s">
        <v>2114</v>
      </c>
      <c r="E24" s="41" t="s">
        <v>39</v>
      </c>
      <c r="F24" s="41" t="s">
        <v>2115</v>
      </c>
      <c r="G24" s="41" t="s">
        <v>41</v>
      </c>
      <c r="H24" s="8" t="s">
        <v>33</v>
      </c>
      <c r="I24" s="70" t="s">
        <v>2088</v>
      </c>
      <c r="J24" s="70"/>
      <c r="K24" s="65">
        <v>59.9</v>
      </c>
      <c r="L24" s="41" t="s">
        <v>49</v>
      </c>
      <c r="M24" s="41" t="s">
        <v>128</v>
      </c>
      <c r="N24" s="10" t="s">
        <v>2116</v>
      </c>
      <c r="O24" s="8" t="s">
        <v>2056</v>
      </c>
      <c r="P24" s="1" t="s">
        <v>2064</v>
      </c>
    </row>
    <row r="25" spans="1:16" ht="21" customHeight="1">
      <c r="A25" s="10">
        <v>1</v>
      </c>
      <c r="B25" s="33" t="s">
        <v>2046</v>
      </c>
      <c r="C25" s="41" t="s">
        <v>28</v>
      </c>
      <c r="D25" s="41" t="s">
        <v>2117</v>
      </c>
      <c r="E25" s="41" t="s">
        <v>39</v>
      </c>
      <c r="F25" s="41" t="s">
        <v>2118</v>
      </c>
      <c r="G25" s="41" t="s">
        <v>41</v>
      </c>
      <c r="H25" s="8" t="s">
        <v>33</v>
      </c>
      <c r="I25" s="70" t="s">
        <v>210</v>
      </c>
      <c r="J25" s="70"/>
      <c r="K25" s="65">
        <v>49.9</v>
      </c>
      <c r="L25" s="41" t="s">
        <v>49</v>
      </c>
      <c r="M25" s="41" t="s">
        <v>35</v>
      </c>
      <c r="N25" s="10" t="s">
        <v>2093</v>
      </c>
      <c r="O25" s="8" t="s">
        <v>2056</v>
      </c>
      <c r="P25" s="1" t="s">
        <v>2064</v>
      </c>
    </row>
    <row r="26" spans="1:16" ht="21" customHeight="1">
      <c r="A26" s="10">
        <v>1</v>
      </c>
      <c r="B26" s="33" t="s">
        <v>2046</v>
      </c>
      <c r="C26" s="41" t="s">
        <v>28</v>
      </c>
      <c r="D26" s="41" t="s">
        <v>2119</v>
      </c>
      <c r="E26" s="41" t="s">
        <v>653</v>
      </c>
      <c r="F26" s="41" t="s">
        <v>2120</v>
      </c>
      <c r="G26" s="41" t="s">
        <v>655</v>
      </c>
      <c r="H26" s="8" t="s">
        <v>33</v>
      </c>
      <c r="I26" s="70" t="s">
        <v>54</v>
      </c>
      <c r="J26" s="70"/>
      <c r="K26" s="70"/>
      <c r="L26" s="41" t="s">
        <v>2050</v>
      </c>
      <c r="M26" s="41" t="s">
        <v>128</v>
      </c>
      <c r="N26" s="10" t="s">
        <v>2121</v>
      </c>
      <c r="O26" s="8" t="s">
        <v>2056</v>
      </c>
      <c r="P26" s="1" t="s">
        <v>2064</v>
      </c>
    </row>
    <row r="27" spans="1:16" ht="21" customHeight="1">
      <c r="A27" s="10">
        <v>1</v>
      </c>
      <c r="B27" s="33" t="s">
        <v>2046</v>
      </c>
      <c r="C27" s="41" t="s">
        <v>28</v>
      </c>
      <c r="D27" s="41" t="s">
        <v>2122</v>
      </c>
      <c r="E27" s="41" t="s">
        <v>71</v>
      </c>
      <c r="F27" s="41" t="s">
        <v>2123</v>
      </c>
      <c r="G27" s="41" t="s">
        <v>73</v>
      </c>
      <c r="H27" s="8" t="s">
        <v>33</v>
      </c>
      <c r="I27" s="70"/>
      <c r="J27" s="70"/>
      <c r="K27" s="70"/>
      <c r="L27" s="41" t="s">
        <v>49</v>
      </c>
      <c r="M27" s="41" t="s">
        <v>35</v>
      </c>
      <c r="N27" s="10" t="s">
        <v>2124</v>
      </c>
      <c r="O27" s="8" t="s">
        <v>2056</v>
      </c>
      <c r="P27" s="1" t="s">
        <v>2064</v>
      </c>
    </row>
    <row r="28" spans="1:16" ht="21" customHeight="1">
      <c r="A28" s="10">
        <v>1</v>
      </c>
      <c r="B28" s="33" t="s">
        <v>2046</v>
      </c>
      <c r="C28" s="41" t="s">
        <v>28</v>
      </c>
      <c r="D28" s="41" t="s">
        <v>2125</v>
      </c>
      <c r="E28" s="41" t="s">
        <v>186</v>
      </c>
      <c r="F28" s="41" t="s">
        <v>2126</v>
      </c>
      <c r="G28" s="41" t="s">
        <v>66</v>
      </c>
      <c r="H28" s="8" t="s">
        <v>67</v>
      </c>
      <c r="I28" s="70"/>
      <c r="J28" s="70"/>
      <c r="K28" s="70"/>
      <c r="L28" s="41" t="s">
        <v>49</v>
      </c>
      <c r="M28" s="41" t="s">
        <v>128</v>
      </c>
      <c r="N28" s="10" t="s">
        <v>2127</v>
      </c>
      <c r="O28" s="8" t="s">
        <v>2056</v>
      </c>
      <c r="P28" s="1" t="s">
        <v>2064</v>
      </c>
    </row>
    <row r="29" spans="1:16" ht="21" customHeight="1">
      <c r="A29" s="10">
        <v>1</v>
      </c>
      <c r="B29" s="33" t="s">
        <v>2046</v>
      </c>
      <c r="C29" s="41" t="s">
        <v>28</v>
      </c>
      <c r="D29" s="41" t="s">
        <v>2128</v>
      </c>
      <c r="E29" s="41" t="s">
        <v>817</v>
      </c>
      <c r="F29" s="41" t="s">
        <v>2129</v>
      </c>
      <c r="G29" s="41" t="s">
        <v>41</v>
      </c>
      <c r="H29" s="8" t="s">
        <v>33</v>
      </c>
      <c r="I29" s="70" t="s">
        <v>210</v>
      </c>
      <c r="J29" s="70"/>
      <c r="K29" s="70"/>
      <c r="L29" s="41" t="s">
        <v>49</v>
      </c>
      <c r="M29" s="41" t="s">
        <v>56</v>
      </c>
      <c r="N29" s="10" t="s">
        <v>2130</v>
      </c>
      <c r="O29" s="8" t="s">
        <v>2056</v>
      </c>
      <c r="P29" s="1" t="s">
        <v>2064</v>
      </c>
    </row>
    <row r="30" spans="1:16" ht="21" customHeight="1">
      <c r="A30" s="10">
        <v>1</v>
      </c>
      <c r="B30" s="33" t="s">
        <v>2046</v>
      </c>
      <c r="C30" s="41" t="s">
        <v>28</v>
      </c>
      <c r="D30" s="41" t="s">
        <v>2131</v>
      </c>
      <c r="E30" s="41" t="s">
        <v>2132</v>
      </c>
      <c r="F30" s="41" t="s">
        <v>2133</v>
      </c>
      <c r="G30" s="41" t="s">
        <v>79</v>
      </c>
      <c r="H30" s="8" t="s">
        <v>47</v>
      </c>
      <c r="I30" s="70" t="s">
        <v>2134</v>
      </c>
      <c r="J30" s="70"/>
      <c r="K30" s="70"/>
      <c r="L30" s="41" t="s">
        <v>49</v>
      </c>
      <c r="M30" s="41" t="s">
        <v>128</v>
      </c>
      <c r="N30" s="10" t="s">
        <v>2135</v>
      </c>
      <c r="O30" s="8" t="s">
        <v>2056</v>
      </c>
      <c r="P30" s="1" t="s">
        <v>2064</v>
      </c>
    </row>
    <row r="31" spans="1:16" ht="21" customHeight="1">
      <c r="A31" s="10">
        <v>1</v>
      </c>
      <c r="B31" s="33" t="s">
        <v>2046</v>
      </c>
      <c r="C31" s="41" t="s">
        <v>28</v>
      </c>
      <c r="D31" s="41" t="s">
        <v>2136</v>
      </c>
      <c r="E31" s="41" t="s">
        <v>1182</v>
      </c>
      <c r="F31" s="41" t="s">
        <v>2137</v>
      </c>
      <c r="G31" s="41" t="s">
        <v>73</v>
      </c>
      <c r="H31" s="8" t="s">
        <v>33</v>
      </c>
      <c r="I31" s="70" t="s">
        <v>2138</v>
      </c>
      <c r="J31" s="70"/>
      <c r="K31" s="70"/>
      <c r="L31" s="41" t="s">
        <v>49</v>
      </c>
      <c r="M31" s="41" t="s">
        <v>61</v>
      </c>
      <c r="N31" s="10" t="s">
        <v>2139</v>
      </c>
      <c r="O31" s="8" t="s">
        <v>2056</v>
      </c>
      <c r="P31" s="1" t="s">
        <v>2064</v>
      </c>
    </row>
    <row r="32" spans="1:16" ht="21" customHeight="1">
      <c r="A32" s="10">
        <v>1</v>
      </c>
      <c r="B32" s="33" t="s">
        <v>2046</v>
      </c>
      <c r="C32" s="41" t="s">
        <v>28</v>
      </c>
      <c r="D32" s="8" t="s">
        <v>2140</v>
      </c>
      <c r="E32" s="41" t="s">
        <v>2141</v>
      </c>
      <c r="F32" s="41" t="s">
        <v>2142</v>
      </c>
      <c r="G32" s="41" t="s">
        <v>1810</v>
      </c>
      <c r="H32" s="8" t="s">
        <v>33</v>
      </c>
      <c r="I32" s="70" t="s">
        <v>2058</v>
      </c>
      <c r="J32" s="70"/>
      <c r="K32" s="70"/>
      <c r="L32" s="41" t="s">
        <v>49</v>
      </c>
      <c r="M32" s="41" t="s">
        <v>35</v>
      </c>
      <c r="N32" s="10" t="s">
        <v>2143</v>
      </c>
      <c r="O32" s="8" t="s">
        <v>2056</v>
      </c>
      <c r="P32" s="1" t="s">
        <v>2064</v>
      </c>
    </row>
    <row r="33" spans="1:16" ht="21" customHeight="1">
      <c r="A33" s="10">
        <v>1</v>
      </c>
      <c r="B33" s="33" t="s">
        <v>2046</v>
      </c>
      <c r="C33" s="41" t="s">
        <v>28</v>
      </c>
      <c r="D33" s="41" t="s">
        <v>2144</v>
      </c>
      <c r="E33" s="41" t="s">
        <v>39</v>
      </c>
      <c r="F33" s="41" t="s">
        <v>2145</v>
      </c>
      <c r="G33" s="41" t="s">
        <v>1091</v>
      </c>
      <c r="H33" s="8" t="s">
        <v>33</v>
      </c>
      <c r="I33" s="70" t="s">
        <v>210</v>
      </c>
      <c r="J33" s="70"/>
      <c r="K33" s="65">
        <v>59.9</v>
      </c>
      <c r="L33" s="41" t="s">
        <v>2050</v>
      </c>
      <c r="M33" s="41" t="s">
        <v>61</v>
      </c>
      <c r="N33" s="10" t="s">
        <v>2146</v>
      </c>
      <c r="O33" s="8" t="s">
        <v>2056</v>
      </c>
      <c r="P33" s="1" t="s">
        <v>2064</v>
      </c>
    </row>
    <row r="34" spans="1:16" ht="21" customHeight="1">
      <c r="A34" s="10">
        <v>1</v>
      </c>
      <c r="B34" s="33" t="s">
        <v>2046</v>
      </c>
      <c r="C34" s="41" t="s">
        <v>28</v>
      </c>
      <c r="D34" s="41" t="s">
        <v>2147</v>
      </c>
      <c r="E34" s="41" t="s">
        <v>182</v>
      </c>
      <c r="F34" s="41" t="s">
        <v>2148</v>
      </c>
      <c r="G34" s="41" t="s">
        <v>53</v>
      </c>
      <c r="H34" s="8" t="s">
        <v>33</v>
      </c>
      <c r="I34" s="70" t="s">
        <v>2138</v>
      </c>
      <c r="J34" s="70"/>
      <c r="K34" s="70"/>
      <c r="L34" s="41" t="s">
        <v>49</v>
      </c>
      <c r="M34" s="41" t="s">
        <v>133</v>
      </c>
      <c r="N34" s="10" t="s">
        <v>2149</v>
      </c>
      <c r="O34" s="8" t="s">
        <v>2056</v>
      </c>
      <c r="P34" s="1" t="s">
        <v>2064</v>
      </c>
    </row>
    <row r="35" spans="1:16" ht="21" customHeight="1">
      <c r="A35" s="10">
        <v>1</v>
      </c>
      <c r="B35" s="33" t="s">
        <v>2046</v>
      </c>
      <c r="C35" s="41" t="s">
        <v>28</v>
      </c>
      <c r="D35" s="41" t="s">
        <v>2150</v>
      </c>
      <c r="E35" s="41" t="s">
        <v>325</v>
      </c>
      <c r="F35" s="41" t="s">
        <v>2151</v>
      </c>
      <c r="G35" s="41" t="s">
        <v>1236</v>
      </c>
      <c r="H35" s="8" t="s">
        <v>33</v>
      </c>
      <c r="I35" s="70" t="s">
        <v>2134</v>
      </c>
      <c r="J35" s="70"/>
      <c r="K35" s="70"/>
      <c r="L35" s="41" t="s">
        <v>2050</v>
      </c>
      <c r="M35" s="41" t="s">
        <v>61</v>
      </c>
      <c r="N35" s="10" t="s">
        <v>2146</v>
      </c>
      <c r="O35" s="8" t="s">
        <v>2056</v>
      </c>
      <c r="P35" s="1" t="s">
        <v>2064</v>
      </c>
    </row>
    <row r="36" spans="1:16" ht="21" customHeight="1">
      <c r="A36" s="10">
        <v>1</v>
      </c>
      <c r="B36" s="33" t="s">
        <v>2046</v>
      </c>
      <c r="C36" s="41" t="s">
        <v>28</v>
      </c>
      <c r="D36" s="41" t="s">
        <v>2152</v>
      </c>
      <c r="E36" s="41" t="s">
        <v>2153</v>
      </c>
      <c r="F36" s="41">
        <v>51994100077</v>
      </c>
      <c r="G36" s="41" t="s">
        <v>313</v>
      </c>
      <c r="H36" s="8" t="s">
        <v>33</v>
      </c>
      <c r="I36" s="70" t="s">
        <v>54</v>
      </c>
      <c r="J36" s="70"/>
      <c r="K36" s="70"/>
      <c r="L36" s="41" t="s">
        <v>55</v>
      </c>
      <c r="M36" s="41" t="s">
        <v>35</v>
      </c>
      <c r="N36" s="10" t="s">
        <v>2154</v>
      </c>
      <c r="O36" s="8" t="s">
        <v>2056</v>
      </c>
      <c r="P36" s="1" t="s">
        <v>2064</v>
      </c>
    </row>
    <row r="37" spans="1:16" ht="21" customHeight="1">
      <c r="A37" s="10">
        <v>1</v>
      </c>
      <c r="B37" s="33" t="s">
        <v>2046</v>
      </c>
      <c r="C37" s="41" t="s">
        <v>28</v>
      </c>
      <c r="D37" s="41" t="s">
        <v>2155</v>
      </c>
      <c r="E37" s="41" t="s">
        <v>108</v>
      </c>
      <c r="F37" s="41">
        <v>51994100077</v>
      </c>
      <c r="G37" s="41" t="s">
        <v>66</v>
      </c>
      <c r="H37" s="8" t="s">
        <v>67</v>
      </c>
      <c r="I37" s="70" t="s">
        <v>2156</v>
      </c>
      <c r="J37" s="70"/>
      <c r="K37" s="70"/>
      <c r="L37" s="41" t="s">
        <v>55</v>
      </c>
      <c r="M37" s="41" t="s">
        <v>128</v>
      </c>
      <c r="N37" s="10" t="s">
        <v>2157</v>
      </c>
      <c r="O37" s="8" t="s">
        <v>2056</v>
      </c>
      <c r="P37" s="1" t="s">
        <v>2064</v>
      </c>
    </row>
    <row r="38" spans="1:16" ht="21" customHeight="1">
      <c r="A38" s="10">
        <v>1</v>
      </c>
      <c r="B38" s="33" t="s">
        <v>2046</v>
      </c>
      <c r="C38" s="41" t="s">
        <v>28</v>
      </c>
      <c r="D38" s="41" t="s">
        <v>2158</v>
      </c>
      <c r="E38" s="41" t="s">
        <v>174</v>
      </c>
      <c r="F38" s="41" t="s">
        <v>2159</v>
      </c>
      <c r="G38" s="41" t="s">
        <v>507</v>
      </c>
      <c r="H38" s="8" t="s">
        <v>67</v>
      </c>
      <c r="I38" s="70" t="s">
        <v>2068</v>
      </c>
      <c r="J38" s="70"/>
      <c r="K38" s="70"/>
      <c r="L38" s="41" t="s">
        <v>2050</v>
      </c>
      <c r="M38" s="41" t="s">
        <v>61</v>
      </c>
      <c r="N38" s="10" t="s">
        <v>2160</v>
      </c>
      <c r="O38" s="8" t="s">
        <v>2056</v>
      </c>
      <c r="P38" s="1" t="s">
        <v>2064</v>
      </c>
    </row>
    <row r="39" spans="1:16" ht="21" customHeight="1">
      <c r="A39" s="10">
        <v>1</v>
      </c>
      <c r="B39" s="33" t="s">
        <v>2046</v>
      </c>
      <c r="C39" s="41" t="s">
        <v>28</v>
      </c>
      <c r="D39" s="41" t="s">
        <v>2161</v>
      </c>
      <c r="E39" s="41" t="s">
        <v>39</v>
      </c>
      <c r="F39" s="41" t="s">
        <v>2162</v>
      </c>
      <c r="G39" s="41" t="s">
        <v>41</v>
      </c>
      <c r="H39" s="8" t="s">
        <v>67</v>
      </c>
      <c r="I39" s="70" t="s">
        <v>210</v>
      </c>
      <c r="J39" s="70"/>
      <c r="K39" s="70"/>
      <c r="L39" s="41" t="s">
        <v>49</v>
      </c>
      <c r="M39" s="41" t="s">
        <v>80</v>
      </c>
      <c r="N39" s="10" t="s">
        <v>2163</v>
      </c>
      <c r="O39" s="8" t="s">
        <v>2056</v>
      </c>
      <c r="P39" s="1" t="s">
        <v>2064</v>
      </c>
    </row>
    <row r="40" spans="1:16" ht="21" customHeight="1">
      <c r="A40" s="10">
        <v>1</v>
      </c>
      <c r="B40" s="33" t="s">
        <v>2046</v>
      </c>
      <c r="C40" s="41" t="s">
        <v>28</v>
      </c>
      <c r="D40" s="41" t="s">
        <v>2164</v>
      </c>
      <c r="E40" s="41" t="s">
        <v>2165</v>
      </c>
      <c r="F40" s="41">
        <v>51992005615</v>
      </c>
      <c r="G40" s="41" t="s">
        <v>66</v>
      </c>
      <c r="H40" s="8" t="s">
        <v>67</v>
      </c>
      <c r="I40" s="70" t="s">
        <v>2166</v>
      </c>
      <c r="J40" s="70"/>
      <c r="K40" s="70"/>
      <c r="L40" s="41" t="s">
        <v>55</v>
      </c>
      <c r="M40" s="41" t="s">
        <v>61</v>
      </c>
      <c r="N40" s="10" t="s">
        <v>2167</v>
      </c>
      <c r="O40" s="8" t="s">
        <v>2056</v>
      </c>
      <c r="P40" s="1" t="s">
        <v>2064</v>
      </c>
    </row>
    <row r="41" spans="1:16" ht="21" customHeight="1">
      <c r="A41" s="10">
        <v>1</v>
      </c>
      <c r="B41" s="33" t="s">
        <v>2046</v>
      </c>
      <c r="C41" s="41" t="s">
        <v>28</v>
      </c>
      <c r="D41" s="41" t="s">
        <v>2168</v>
      </c>
      <c r="E41" s="41" t="s">
        <v>2169</v>
      </c>
      <c r="F41" s="41" t="s">
        <v>2170</v>
      </c>
      <c r="G41" s="41" t="s">
        <v>395</v>
      </c>
      <c r="H41" s="8" t="s">
        <v>33</v>
      </c>
      <c r="I41" s="70" t="s">
        <v>2138</v>
      </c>
      <c r="J41" s="70"/>
      <c r="K41" s="70"/>
      <c r="L41" s="41" t="s">
        <v>2050</v>
      </c>
      <c r="M41" s="41" t="s">
        <v>61</v>
      </c>
      <c r="N41" s="10" t="s">
        <v>2171</v>
      </c>
      <c r="O41" s="8" t="s">
        <v>2056</v>
      </c>
      <c r="P41" s="1" t="s">
        <v>2064</v>
      </c>
    </row>
    <row r="42" spans="1:16" ht="21" customHeight="1">
      <c r="A42" s="10">
        <v>1</v>
      </c>
      <c r="B42" s="33" t="s">
        <v>2046</v>
      </c>
      <c r="C42" s="41" t="s">
        <v>28</v>
      </c>
      <c r="D42" s="41" t="s">
        <v>2172</v>
      </c>
      <c r="E42" s="41" t="s">
        <v>557</v>
      </c>
      <c r="F42" s="41" t="s">
        <v>2173</v>
      </c>
      <c r="G42" s="41" t="s">
        <v>2174</v>
      </c>
      <c r="H42" s="8" t="s">
        <v>33</v>
      </c>
      <c r="I42" s="70" t="s">
        <v>2166</v>
      </c>
      <c r="J42" s="70"/>
      <c r="K42" s="70"/>
      <c r="L42" s="41" t="s">
        <v>55</v>
      </c>
      <c r="M42" s="41" t="s">
        <v>35</v>
      </c>
      <c r="N42" s="10" t="s">
        <v>2175</v>
      </c>
      <c r="O42" s="8" t="s">
        <v>2056</v>
      </c>
      <c r="P42" s="1" t="s">
        <v>2064</v>
      </c>
    </row>
    <row r="43" spans="1:16" ht="21" customHeight="1">
      <c r="A43" s="10">
        <v>1</v>
      </c>
      <c r="B43" s="33" t="s">
        <v>2046</v>
      </c>
      <c r="C43" s="41" t="s">
        <v>28</v>
      </c>
      <c r="D43" s="41" t="s">
        <v>2176</v>
      </c>
      <c r="E43" s="41" t="s">
        <v>2177</v>
      </c>
      <c r="F43" s="41">
        <v>51985449762</v>
      </c>
      <c r="G43" s="41" t="s">
        <v>756</v>
      </c>
      <c r="H43" s="8" t="s">
        <v>67</v>
      </c>
      <c r="I43" s="70" t="s">
        <v>2178</v>
      </c>
      <c r="J43" s="70"/>
      <c r="K43" s="70"/>
      <c r="L43" s="41" t="s">
        <v>55</v>
      </c>
      <c r="M43" s="41" t="s">
        <v>128</v>
      </c>
      <c r="N43" s="10" t="s">
        <v>2179</v>
      </c>
      <c r="O43" s="8" t="s">
        <v>2056</v>
      </c>
      <c r="P43" s="1" t="s">
        <v>2064</v>
      </c>
    </row>
    <row r="44" spans="1:16" ht="21" customHeight="1">
      <c r="A44" s="10">
        <v>1</v>
      </c>
      <c r="B44" s="33" t="s">
        <v>2046</v>
      </c>
      <c r="C44" s="41" t="s">
        <v>28</v>
      </c>
      <c r="D44" s="41" t="s">
        <v>2180</v>
      </c>
      <c r="E44" s="41" t="s">
        <v>817</v>
      </c>
      <c r="F44" s="41">
        <v>51991136170</v>
      </c>
      <c r="G44" s="41" t="s">
        <v>41</v>
      </c>
      <c r="H44" s="8" t="s">
        <v>33</v>
      </c>
      <c r="I44" s="70" t="s">
        <v>2058</v>
      </c>
      <c r="J44" s="70"/>
      <c r="K44" s="70"/>
      <c r="L44" s="41" t="s">
        <v>55</v>
      </c>
      <c r="M44" s="41" t="s">
        <v>61</v>
      </c>
      <c r="N44" s="10" t="s">
        <v>2181</v>
      </c>
      <c r="O44" s="8" t="s">
        <v>2056</v>
      </c>
      <c r="P44" s="1" t="s">
        <v>2064</v>
      </c>
    </row>
    <row r="45" spans="1:16" ht="21" customHeight="1">
      <c r="A45" s="10">
        <v>1</v>
      </c>
      <c r="B45" s="33" t="s">
        <v>2046</v>
      </c>
      <c r="C45" s="41" t="s">
        <v>28</v>
      </c>
      <c r="D45" s="41" t="s">
        <v>2182</v>
      </c>
      <c r="E45" s="41" t="s">
        <v>1542</v>
      </c>
      <c r="F45" s="41">
        <v>51994404368</v>
      </c>
      <c r="G45" s="41" t="s">
        <v>85</v>
      </c>
      <c r="H45" s="8" t="s">
        <v>33</v>
      </c>
      <c r="I45" s="70" t="s">
        <v>2058</v>
      </c>
      <c r="J45" s="70"/>
      <c r="K45" s="70"/>
      <c r="L45" s="41" t="s">
        <v>55</v>
      </c>
      <c r="M45" s="41" t="s">
        <v>61</v>
      </c>
      <c r="N45" s="10" t="s">
        <v>2183</v>
      </c>
      <c r="O45" s="8" t="s">
        <v>2056</v>
      </c>
      <c r="P45" s="1" t="s">
        <v>2064</v>
      </c>
    </row>
    <row r="46" spans="1:16" ht="21" customHeight="1">
      <c r="A46" s="10">
        <v>1</v>
      </c>
      <c r="B46" s="33" t="s">
        <v>2046</v>
      </c>
      <c r="C46" s="41" t="s">
        <v>28</v>
      </c>
      <c r="D46" s="41" t="s">
        <v>2184</v>
      </c>
      <c r="E46" s="41" t="s">
        <v>334</v>
      </c>
      <c r="F46" s="41" t="s">
        <v>2185</v>
      </c>
      <c r="G46" s="41" t="s">
        <v>66</v>
      </c>
      <c r="H46" s="8" t="s">
        <v>67</v>
      </c>
      <c r="I46" s="70" t="s">
        <v>2186</v>
      </c>
      <c r="J46" s="70"/>
      <c r="K46" s="70"/>
      <c r="L46" s="41" t="s">
        <v>49</v>
      </c>
      <c r="M46" s="41" t="s">
        <v>80</v>
      </c>
      <c r="N46" s="10" t="s">
        <v>2187</v>
      </c>
      <c r="O46" s="8" t="s">
        <v>2056</v>
      </c>
      <c r="P46" s="1" t="s">
        <v>2064</v>
      </c>
    </row>
    <row r="47" spans="1:16" ht="21" customHeight="1">
      <c r="A47" s="10">
        <v>1</v>
      </c>
      <c r="B47" s="33" t="s">
        <v>2046</v>
      </c>
      <c r="C47" s="41" t="s">
        <v>28</v>
      </c>
      <c r="D47" s="41" t="s">
        <v>2188</v>
      </c>
      <c r="E47" s="41" t="s">
        <v>619</v>
      </c>
      <c r="F47" s="41" t="s">
        <v>2189</v>
      </c>
      <c r="G47" s="41" t="s">
        <v>507</v>
      </c>
      <c r="H47" s="8" t="s">
        <v>67</v>
      </c>
      <c r="I47" s="70" t="s">
        <v>2068</v>
      </c>
      <c r="J47" s="70"/>
      <c r="K47" s="70"/>
      <c r="L47" s="41" t="s">
        <v>2050</v>
      </c>
      <c r="M47" s="41" t="s">
        <v>128</v>
      </c>
      <c r="N47" s="10" t="s">
        <v>2190</v>
      </c>
      <c r="O47" s="8" t="s">
        <v>2056</v>
      </c>
      <c r="P47" s="1" t="s">
        <v>2064</v>
      </c>
    </row>
    <row r="48" spans="1:16" ht="21" customHeight="1">
      <c r="A48" s="10">
        <v>1</v>
      </c>
      <c r="B48" s="33" t="s">
        <v>2046</v>
      </c>
      <c r="C48" s="41" t="s">
        <v>28</v>
      </c>
      <c r="D48" s="41" t="s">
        <v>2191</v>
      </c>
      <c r="E48" s="41" t="s">
        <v>52</v>
      </c>
      <c r="F48" s="41">
        <v>51995242873</v>
      </c>
      <c r="G48" s="41" t="s">
        <v>53</v>
      </c>
      <c r="H48" s="8" t="s">
        <v>33</v>
      </c>
      <c r="I48" s="70" t="s">
        <v>2134</v>
      </c>
      <c r="J48" s="70"/>
      <c r="K48" s="70"/>
      <c r="L48" s="41" t="s">
        <v>55</v>
      </c>
      <c r="M48" s="41" t="s">
        <v>61</v>
      </c>
      <c r="N48" s="10" t="s">
        <v>2192</v>
      </c>
      <c r="O48" s="8" t="s">
        <v>2056</v>
      </c>
      <c r="P48" s="1" t="s">
        <v>2064</v>
      </c>
    </row>
    <row r="49" spans="1:20" ht="21" customHeight="1">
      <c r="A49" s="10">
        <v>1</v>
      </c>
      <c r="B49" s="33" t="s">
        <v>2046</v>
      </c>
      <c r="C49" s="41" t="s">
        <v>28</v>
      </c>
      <c r="D49" s="41" t="s">
        <v>2193</v>
      </c>
      <c r="E49" s="41" t="s">
        <v>817</v>
      </c>
      <c r="F49" s="41" t="s">
        <v>2194</v>
      </c>
      <c r="G49" s="41" t="s">
        <v>41</v>
      </c>
      <c r="H49" s="8" t="s">
        <v>33</v>
      </c>
      <c r="I49" s="70"/>
      <c r="J49" s="70" t="s">
        <v>2195</v>
      </c>
      <c r="K49" s="70"/>
      <c r="L49" s="41" t="s">
        <v>55</v>
      </c>
      <c r="M49" s="41" t="s">
        <v>61</v>
      </c>
      <c r="N49" s="10"/>
      <c r="O49" s="8" t="s">
        <v>2056</v>
      </c>
      <c r="P49" s="1" t="s">
        <v>2064</v>
      </c>
    </row>
    <row r="50" spans="1:20" ht="21" customHeight="1">
      <c r="A50" s="10">
        <v>1</v>
      </c>
      <c r="B50" s="33" t="s">
        <v>2046</v>
      </c>
      <c r="C50" s="41" t="s">
        <v>28</v>
      </c>
      <c r="D50" s="41" t="s">
        <v>2196</v>
      </c>
      <c r="E50" s="41" t="s">
        <v>2197</v>
      </c>
      <c r="F50" s="41">
        <v>51995127113</v>
      </c>
      <c r="G50" s="41" t="s">
        <v>2198</v>
      </c>
      <c r="H50" s="8" t="s">
        <v>206</v>
      </c>
      <c r="I50" s="70" t="s">
        <v>2079</v>
      </c>
      <c r="J50" s="70"/>
      <c r="K50" s="70"/>
      <c r="L50" s="41" t="s">
        <v>55</v>
      </c>
      <c r="M50" s="41" t="s">
        <v>80</v>
      </c>
      <c r="N50" s="10" t="s">
        <v>2199</v>
      </c>
      <c r="O50" s="8" t="s">
        <v>2056</v>
      </c>
      <c r="P50" s="1" t="s">
        <v>2064</v>
      </c>
    </row>
    <row r="51" spans="1:20" ht="21" customHeight="1">
      <c r="A51" s="10">
        <v>1</v>
      </c>
      <c r="B51" s="33" t="s">
        <v>2046</v>
      </c>
      <c r="C51" s="41" t="s">
        <v>28</v>
      </c>
      <c r="D51" s="41" t="s">
        <v>2200</v>
      </c>
      <c r="E51" s="41" t="s">
        <v>260</v>
      </c>
      <c r="F51" s="41" t="s">
        <v>2201</v>
      </c>
      <c r="G51" s="41" t="s">
        <v>32</v>
      </c>
      <c r="H51" s="8" t="s">
        <v>33</v>
      </c>
      <c r="I51" s="70" t="s">
        <v>2202</v>
      </c>
      <c r="J51" s="70"/>
      <c r="K51" s="70"/>
      <c r="L51" s="41" t="s">
        <v>49</v>
      </c>
      <c r="M51" s="41" t="s">
        <v>80</v>
      </c>
      <c r="N51" s="10" t="s">
        <v>2203</v>
      </c>
      <c r="O51" s="8" t="s">
        <v>2056</v>
      </c>
      <c r="P51" s="1" t="s">
        <v>2064</v>
      </c>
    </row>
    <row r="52" spans="1:20" ht="21" customHeight="1">
      <c r="A52" s="10">
        <v>1</v>
      </c>
      <c r="B52" s="33" t="s">
        <v>2046</v>
      </c>
      <c r="C52" s="41" t="s">
        <v>28</v>
      </c>
      <c r="D52" s="41" t="s">
        <v>2204</v>
      </c>
      <c r="E52" s="41" t="s">
        <v>812</v>
      </c>
      <c r="F52" s="41" t="s">
        <v>2205</v>
      </c>
      <c r="G52" s="41" t="s">
        <v>91</v>
      </c>
      <c r="H52" s="8" t="s">
        <v>67</v>
      </c>
      <c r="I52" s="70" t="s">
        <v>2186</v>
      </c>
      <c r="J52" s="70"/>
      <c r="K52" s="70"/>
      <c r="L52" s="41" t="s">
        <v>49</v>
      </c>
      <c r="M52" s="41" t="s">
        <v>128</v>
      </c>
      <c r="N52" s="10" t="s">
        <v>2206</v>
      </c>
      <c r="O52" s="8" t="s">
        <v>2056</v>
      </c>
      <c r="P52" s="1" t="s">
        <v>2064</v>
      </c>
    </row>
    <row r="53" spans="1:20" ht="21" customHeight="1">
      <c r="A53" s="10">
        <v>1</v>
      </c>
      <c r="B53" s="33" t="s">
        <v>2046</v>
      </c>
      <c r="C53" s="41" t="s">
        <v>28</v>
      </c>
      <c r="D53" s="41" t="s">
        <v>2207</v>
      </c>
      <c r="E53" s="41" t="s">
        <v>292</v>
      </c>
      <c r="F53" s="41" t="s">
        <v>2208</v>
      </c>
      <c r="G53" s="41" t="s">
        <v>41</v>
      </c>
      <c r="H53" s="8" t="s">
        <v>33</v>
      </c>
      <c r="I53" s="70"/>
      <c r="J53" s="70"/>
      <c r="K53" s="70"/>
      <c r="L53" s="41" t="s">
        <v>49</v>
      </c>
      <c r="M53" s="41" t="s">
        <v>128</v>
      </c>
      <c r="N53" s="10" t="s">
        <v>2209</v>
      </c>
      <c r="O53" s="8" t="s">
        <v>2056</v>
      </c>
      <c r="P53" s="1" t="s">
        <v>2064</v>
      </c>
    </row>
    <row r="54" spans="1:20" ht="21" customHeight="1">
      <c r="A54" s="10">
        <v>1</v>
      </c>
      <c r="B54" s="33" t="s">
        <v>2046</v>
      </c>
      <c r="C54" s="41" t="s">
        <v>28</v>
      </c>
      <c r="D54" s="41" t="s">
        <v>2210</v>
      </c>
      <c r="E54" s="41" t="s">
        <v>334</v>
      </c>
      <c r="F54" s="41" t="s">
        <v>2211</v>
      </c>
      <c r="G54" s="41" t="s">
        <v>66</v>
      </c>
      <c r="H54" s="8" t="s">
        <v>67</v>
      </c>
      <c r="I54" s="70"/>
      <c r="J54" s="70"/>
      <c r="K54" s="70"/>
      <c r="L54" s="41" t="s">
        <v>49</v>
      </c>
      <c r="M54" s="41" t="s">
        <v>128</v>
      </c>
      <c r="N54" s="10" t="s">
        <v>2212</v>
      </c>
      <c r="O54" s="8" t="s">
        <v>2056</v>
      </c>
      <c r="P54" s="1" t="s">
        <v>2064</v>
      </c>
    </row>
    <row r="55" spans="1:20" ht="21" customHeight="1">
      <c r="A55" s="10">
        <v>1</v>
      </c>
      <c r="B55" s="33" t="s">
        <v>2046</v>
      </c>
      <c r="C55" s="41" t="s">
        <v>28</v>
      </c>
      <c r="D55" s="41" t="s">
        <v>2213</v>
      </c>
      <c r="E55" s="41" t="s">
        <v>165</v>
      </c>
      <c r="F55" s="41" t="s">
        <v>2214</v>
      </c>
      <c r="G55" s="41" t="s">
        <v>66</v>
      </c>
      <c r="H55" s="8" t="s">
        <v>67</v>
      </c>
      <c r="I55" s="70"/>
      <c r="J55" s="70"/>
      <c r="K55" s="70"/>
      <c r="L55" s="41" t="s">
        <v>49</v>
      </c>
      <c r="M55" s="41" t="s">
        <v>80</v>
      </c>
      <c r="N55" s="10" t="s">
        <v>2215</v>
      </c>
      <c r="O55" s="8" t="s">
        <v>2056</v>
      </c>
      <c r="P55" s="1" t="s">
        <v>2064</v>
      </c>
    </row>
    <row r="56" spans="1:20" ht="21" customHeight="1">
      <c r="A56" s="10">
        <v>1</v>
      </c>
      <c r="B56" s="33" t="s">
        <v>2046</v>
      </c>
      <c r="C56" s="41" t="s">
        <v>28</v>
      </c>
      <c r="D56" s="41" t="s">
        <v>2216</v>
      </c>
      <c r="E56" s="41" t="s">
        <v>39</v>
      </c>
      <c r="F56" s="41" t="s">
        <v>2217</v>
      </c>
      <c r="G56" s="41" t="s">
        <v>41</v>
      </c>
      <c r="H56" s="8" t="s">
        <v>33</v>
      </c>
      <c r="I56" s="70"/>
      <c r="J56" s="70"/>
      <c r="K56" s="65">
        <v>99.9</v>
      </c>
      <c r="L56" s="41" t="s">
        <v>49</v>
      </c>
      <c r="M56" s="41" t="s">
        <v>80</v>
      </c>
      <c r="N56" s="10" t="s">
        <v>2218</v>
      </c>
      <c r="O56" s="8" t="s">
        <v>2056</v>
      </c>
      <c r="P56" s="1" t="s">
        <v>2064</v>
      </c>
    </row>
    <row r="57" spans="1:20" ht="21" customHeight="1">
      <c r="A57" s="10">
        <v>1</v>
      </c>
      <c r="B57" s="33" t="s">
        <v>2046</v>
      </c>
      <c r="C57" s="41" t="s">
        <v>28</v>
      </c>
      <c r="D57" s="41" t="s">
        <v>2219</v>
      </c>
      <c r="E57" s="41" t="s">
        <v>118</v>
      </c>
      <c r="F57" s="41" t="s">
        <v>2220</v>
      </c>
      <c r="G57" s="41" t="s">
        <v>66</v>
      </c>
      <c r="H57" s="8" t="s">
        <v>67</v>
      </c>
      <c r="I57" s="70"/>
      <c r="J57" s="70"/>
      <c r="K57" s="70"/>
      <c r="L57" s="41" t="s">
        <v>49</v>
      </c>
      <c r="M57" s="41" t="s">
        <v>128</v>
      </c>
      <c r="N57" s="10" t="s">
        <v>2221</v>
      </c>
      <c r="O57" s="8" t="s">
        <v>2056</v>
      </c>
      <c r="P57" s="1" t="s">
        <v>2064</v>
      </c>
    </row>
    <row r="58" spans="1:20" ht="21" customHeight="1">
      <c r="A58" s="10">
        <v>1</v>
      </c>
      <c r="B58" s="33" t="s">
        <v>2046</v>
      </c>
      <c r="C58" s="41" t="s">
        <v>28</v>
      </c>
      <c r="D58" s="41" t="s">
        <v>2222</v>
      </c>
      <c r="E58" s="41" t="s">
        <v>270</v>
      </c>
      <c r="F58" s="41" t="s">
        <v>2223</v>
      </c>
      <c r="G58" s="41" t="s">
        <v>66</v>
      </c>
      <c r="H58" s="8" t="s">
        <v>67</v>
      </c>
      <c r="I58" s="70"/>
      <c r="J58" s="70"/>
      <c r="K58" s="70"/>
      <c r="L58" s="41" t="s">
        <v>49</v>
      </c>
      <c r="M58" s="41" t="s">
        <v>128</v>
      </c>
      <c r="N58" s="10" t="s">
        <v>2224</v>
      </c>
      <c r="O58" s="8" t="s">
        <v>2056</v>
      </c>
      <c r="P58" s="1" t="s">
        <v>2064</v>
      </c>
    </row>
    <row r="59" spans="1:20" ht="21" customHeight="1">
      <c r="A59" s="10">
        <v>1</v>
      </c>
      <c r="B59" s="33" t="s">
        <v>2046</v>
      </c>
      <c r="C59" s="41" t="s">
        <v>28</v>
      </c>
      <c r="D59" s="41" t="s">
        <v>2225</v>
      </c>
      <c r="E59" s="41" t="s">
        <v>209</v>
      </c>
      <c r="F59" s="41" t="s">
        <v>2226</v>
      </c>
      <c r="G59" s="41" t="s">
        <v>559</v>
      </c>
      <c r="H59" s="8" t="s">
        <v>33</v>
      </c>
      <c r="I59" s="70" t="s">
        <v>2227</v>
      </c>
      <c r="J59" s="70"/>
      <c r="K59" s="70"/>
      <c r="L59" s="41" t="s">
        <v>2050</v>
      </c>
      <c r="M59" s="41" t="s">
        <v>128</v>
      </c>
      <c r="N59" s="10" t="s">
        <v>2228</v>
      </c>
      <c r="O59" s="8" t="s">
        <v>2056</v>
      </c>
      <c r="P59" s="1" t="s">
        <v>2064</v>
      </c>
    </row>
    <row r="60" spans="1:20" ht="21" customHeight="1">
      <c r="A60" s="10">
        <v>1</v>
      </c>
      <c r="B60" s="33" t="s">
        <v>2046</v>
      </c>
      <c r="C60" s="41" t="s">
        <v>28</v>
      </c>
      <c r="D60" s="41" t="s">
        <v>2229</v>
      </c>
      <c r="E60" s="41" t="s">
        <v>165</v>
      </c>
      <c r="F60" s="41" t="s">
        <v>2230</v>
      </c>
      <c r="G60" s="41" t="s">
        <v>66</v>
      </c>
      <c r="H60" s="8" t="s">
        <v>67</v>
      </c>
      <c r="I60" s="70" t="s">
        <v>2079</v>
      </c>
      <c r="J60" s="70"/>
      <c r="K60" s="70"/>
      <c r="L60" s="41" t="s">
        <v>49</v>
      </c>
      <c r="M60" s="41" t="s">
        <v>61</v>
      </c>
      <c r="N60" s="10" t="s">
        <v>2231</v>
      </c>
      <c r="O60" s="8" t="s">
        <v>2056</v>
      </c>
      <c r="P60" s="1" t="s">
        <v>2064</v>
      </c>
    </row>
    <row r="61" spans="1:20" ht="21" customHeight="1">
      <c r="A61" s="10">
        <v>1</v>
      </c>
      <c r="B61" s="33" t="s">
        <v>2046</v>
      </c>
      <c r="C61" s="41" t="s">
        <v>28</v>
      </c>
      <c r="D61" s="41" t="s">
        <v>2232</v>
      </c>
      <c r="E61" s="41" t="s">
        <v>1250</v>
      </c>
      <c r="F61" s="41" t="s">
        <v>2233</v>
      </c>
      <c r="G61" s="41" t="s">
        <v>41</v>
      </c>
      <c r="H61" s="8" t="s">
        <v>33</v>
      </c>
      <c r="I61" s="70" t="s">
        <v>210</v>
      </c>
      <c r="J61" s="70"/>
      <c r="K61" s="70"/>
      <c r="L61" s="41" t="s">
        <v>49</v>
      </c>
      <c r="M61" s="41" t="s">
        <v>56</v>
      </c>
      <c r="N61" s="10" t="s">
        <v>2234</v>
      </c>
      <c r="O61" s="8" t="s">
        <v>2056</v>
      </c>
      <c r="P61" s="1" t="s">
        <v>2064</v>
      </c>
    </row>
    <row r="62" spans="1:20" ht="21" customHeight="1">
      <c r="A62" s="10">
        <v>1</v>
      </c>
      <c r="B62" s="33" t="s">
        <v>2046</v>
      </c>
      <c r="C62" s="41" t="s">
        <v>28</v>
      </c>
      <c r="D62" s="41" t="s">
        <v>2235</v>
      </c>
      <c r="E62" s="41" t="s">
        <v>127</v>
      </c>
      <c r="F62" s="41" t="s">
        <v>2236</v>
      </c>
      <c r="G62" s="41" t="s">
        <v>73</v>
      </c>
      <c r="H62" s="8" t="s">
        <v>33</v>
      </c>
      <c r="I62" s="70" t="s">
        <v>2134</v>
      </c>
      <c r="J62" s="70"/>
      <c r="K62" s="70"/>
      <c r="L62" s="41" t="s">
        <v>49</v>
      </c>
      <c r="M62" s="41" t="s">
        <v>61</v>
      </c>
      <c r="N62" s="10" t="s">
        <v>2237</v>
      </c>
      <c r="O62" s="8" t="s">
        <v>2056</v>
      </c>
      <c r="P62" s="1" t="s">
        <v>2064</v>
      </c>
      <c r="Q62" s="41"/>
      <c r="R62" s="68"/>
      <c r="S62" s="41"/>
      <c r="T62" s="1"/>
    </row>
    <row r="63" spans="1:20" ht="21" customHeight="1">
      <c r="A63" s="10">
        <v>1</v>
      </c>
      <c r="B63" s="33" t="s">
        <v>2046</v>
      </c>
      <c r="C63" s="41" t="s">
        <v>28</v>
      </c>
      <c r="D63" s="41" t="s">
        <v>2238</v>
      </c>
      <c r="E63" s="41" t="s">
        <v>2239</v>
      </c>
      <c r="F63" s="41" t="s">
        <v>2240</v>
      </c>
      <c r="G63" s="41" t="s">
        <v>283</v>
      </c>
      <c r="H63" s="8" t="s">
        <v>47</v>
      </c>
      <c r="I63" s="70" t="s">
        <v>2046</v>
      </c>
      <c r="J63" s="70"/>
      <c r="K63" s="70"/>
      <c r="L63" s="41" t="s">
        <v>49</v>
      </c>
      <c r="M63" s="41" t="s">
        <v>133</v>
      </c>
      <c r="N63" s="10" t="s">
        <v>2241</v>
      </c>
      <c r="O63" s="8" t="s">
        <v>2056</v>
      </c>
      <c r="P63" s="1" t="s">
        <v>2064</v>
      </c>
    </row>
    <row r="64" spans="1:20" ht="21" customHeight="1">
      <c r="A64" s="10">
        <v>1</v>
      </c>
      <c r="B64" s="33" t="s">
        <v>2046</v>
      </c>
      <c r="C64" s="41" t="s">
        <v>28</v>
      </c>
      <c r="D64" s="41" t="s">
        <v>2242</v>
      </c>
      <c r="E64" s="41" t="s">
        <v>454</v>
      </c>
      <c r="F64" s="41" t="s">
        <v>2243</v>
      </c>
      <c r="G64" s="41" t="s">
        <v>507</v>
      </c>
      <c r="H64" s="8" t="s">
        <v>67</v>
      </c>
      <c r="I64" s="70" t="s">
        <v>2068</v>
      </c>
      <c r="J64" s="70"/>
      <c r="K64" s="70"/>
      <c r="L64" s="41" t="s">
        <v>2050</v>
      </c>
      <c r="M64" s="41" t="s">
        <v>133</v>
      </c>
      <c r="N64" s="10" t="s">
        <v>2244</v>
      </c>
      <c r="O64" s="8" t="s">
        <v>2056</v>
      </c>
      <c r="P64" s="1" t="s">
        <v>2064</v>
      </c>
    </row>
    <row r="65" spans="1:16" ht="21" customHeight="1">
      <c r="A65" s="10">
        <v>1</v>
      </c>
      <c r="B65" s="33" t="s">
        <v>2046</v>
      </c>
      <c r="C65" s="41" t="s">
        <v>28</v>
      </c>
      <c r="D65" s="41" t="s">
        <v>2245</v>
      </c>
      <c r="E65" s="41" t="s">
        <v>454</v>
      </c>
      <c r="F65" s="41">
        <v>51995127113</v>
      </c>
      <c r="G65" s="41" t="s">
        <v>809</v>
      </c>
      <c r="H65" s="8" t="s">
        <v>67</v>
      </c>
      <c r="I65" s="70" t="s">
        <v>2079</v>
      </c>
      <c r="J65" s="70"/>
      <c r="K65" s="70"/>
      <c r="L65" s="41" t="s">
        <v>55</v>
      </c>
      <c r="M65" s="41" t="s">
        <v>61</v>
      </c>
      <c r="N65" s="10" t="s">
        <v>2246</v>
      </c>
      <c r="O65" s="8" t="s">
        <v>2056</v>
      </c>
      <c r="P65" s="1" t="s">
        <v>2064</v>
      </c>
    </row>
    <row r="66" spans="1:16" ht="21" customHeight="1">
      <c r="A66" s="10">
        <v>1</v>
      </c>
      <c r="B66" s="33" t="s">
        <v>2046</v>
      </c>
      <c r="C66" s="41" t="s">
        <v>28</v>
      </c>
      <c r="D66" s="41" t="s">
        <v>2247</v>
      </c>
      <c r="E66" s="41" t="s">
        <v>41</v>
      </c>
      <c r="F66" s="67">
        <v>51991136170</v>
      </c>
      <c r="G66" s="41" t="s">
        <v>292</v>
      </c>
      <c r="H66" s="8" t="s">
        <v>33</v>
      </c>
      <c r="I66" s="70" t="s">
        <v>54</v>
      </c>
      <c r="J66" s="70"/>
      <c r="K66" s="70"/>
      <c r="L66" s="41" t="s">
        <v>55</v>
      </c>
      <c r="M66" s="41" t="s">
        <v>128</v>
      </c>
      <c r="N66" s="10" t="s">
        <v>2248</v>
      </c>
      <c r="O66" s="8" t="s">
        <v>2056</v>
      </c>
      <c r="P66" s="1" t="s">
        <v>2064</v>
      </c>
    </row>
    <row r="67" spans="1:16" ht="21" customHeight="1">
      <c r="A67" s="10">
        <v>1</v>
      </c>
      <c r="B67" s="33" t="s">
        <v>2046</v>
      </c>
      <c r="C67" s="41" t="s">
        <v>28</v>
      </c>
      <c r="D67" s="41" t="s">
        <v>2249</v>
      </c>
      <c r="E67" s="41" t="s">
        <v>1542</v>
      </c>
      <c r="F67" s="41" t="s">
        <v>2250</v>
      </c>
      <c r="G67" s="41" t="s">
        <v>559</v>
      </c>
      <c r="H67" s="8" t="s">
        <v>33</v>
      </c>
      <c r="I67" s="70" t="s">
        <v>2227</v>
      </c>
      <c r="J67" s="70"/>
      <c r="K67" s="70"/>
      <c r="L67" s="41" t="s">
        <v>2050</v>
      </c>
      <c r="M67" s="41" t="s">
        <v>61</v>
      </c>
      <c r="N67" s="101" t="s">
        <v>2251</v>
      </c>
      <c r="O67" s="10" t="s">
        <v>2056</v>
      </c>
      <c r="P67" s="1"/>
    </row>
    <row r="68" spans="1:16" ht="21" customHeight="1">
      <c r="A68" s="10">
        <v>1</v>
      </c>
      <c r="B68" s="33" t="s">
        <v>2046</v>
      </c>
      <c r="C68" s="41" t="s">
        <v>28</v>
      </c>
      <c r="D68" s="41" t="s">
        <v>2252</v>
      </c>
      <c r="E68" s="41" t="s">
        <v>2253</v>
      </c>
      <c r="F68" s="41" t="s">
        <v>2254</v>
      </c>
      <c r="G68" s="41" t="s">
        <v>797</v>
      </c>
      <c r="H68" s="8" t="s">
        <v>33</v>
      </c>
      <c r="I68" s="70" t="s">
        <v>54</v>
      </c>
      <c r="J68" s="70"/>
      <c r="K68" s="70"/>
      <c r="L68" s="41" t="s">
        <v>2050</v>
      </c>
      <c r="M68" s="41" t="s">
        <v>128</v>
      </c>
      <c r="N68" s="9" t="s">
        <v>2255</v>
      </c>
      <c r="O68" s="10" t="s">
        <v>2056</v>
      </c>
      <c r="P68" s="1"/>
    </row>
    <row r="69" spans="1:16" ht="21" hidden="1" customHeight="1">
      <c r="A69" s="10">
        <v>1</v>
      </c>
      <c r="B69" s="33" t="s">
        <v>2046</v>
      </c>
      <c r="C69" s="41" t="s">
        <v>93</v>
      </c>
      <c r="D69" s="41" t="s">
        <v>861</v>
      </c>
      <c r="E69" s="41" t="s">
        <v>39</v>
      </c>
      <c r="F69" s="41">
        <v>51996375735</v>
      </c>
      <c r="G69" s="41" t="s">
        <v>41</v>
      </c>
      <c r="H69" s="8" t="s">
        <v>33</v>
      </c>
      <c r="I69" s="70"/>
      <c r="J69" s="70"/>
      <c r="K69" s="70"/>
      <c r="L69" s="41" t="s">
        <v>55</v>
      </c>
      <c r="M69" s="41"/>
      <c r="N69" s="9" t="s">
        <v>2256</v>
      </c>
      <c r="O69" s="10"/>
      <c r="P69" s="1"/>
    </row>
    <row r="70" spans="1:16" ht="21" customHeight="1">
      <c r="A70" s="10">
        <v>1</v>
      </c>
      <c r="B70" s="33" t="s">
        <v>2046</v>
      </c>
      <c r="C70" s="41" t="s">
        <v>28</v>
      </c>
      <c r="D70" s="41" t="s">
        <v>2257</v>
      </c>
      <c r="E70" s="41" t="s">
        <v>71</v>
      </c>
      <c r="F70" s="41" t="s">
        <v>2258</v>
      </c>
      <c r="G70" s="41" t="s">
        <v>73</v>
      </c>
      <c r="H70" s="8" t="s">
        <v>33</v>
      </c>
      <c r="I70" s="70"/>
      <c r="J70" s="70"/>
      <c r="K70" s="70"/>
      <c r="L70" s="41" t="s">
        <v>49</v>
      </c>
      <c r="M70" s="41" t="s">
        <v>128</v>
      </c>
      <c r="N70" s="9" t="s">
        <v>820</v>
      </c>
      <c r="O70" s="10"/>
      <c r="P70" s="1"/>
    </row>
    <row r="71" spans="1:16" ht="21" customHeight="1">
      <c r="A71" s="10">
        <v>1</v>
      </c>
      <c r="B71" s="33" t="s">
        <v>2046</v>
      </c>
      <c r="C71" s="41" t="s">
        <v>28</v>
      </c>
      <c r="D71" s="41" t="s">
        <v>2259</v>
      </c>
      <c r="E71" s="41" t="s">
        <v>285</v>
      </c>
      <c r="F71" s="41">
        <v>51999298647</v>
      </c>
      <c r="G71" s="41" t="s">
        <v>66</v>
      </c>
      <c r="H71" s="8" t="s">
        <v>67</v>
      </c>
      <c r="I71" s="70" t="s">
        <v>2088</v>
      </c>
      <c r="J71" s="70"/>
      <c r="K71" s="70"/>
      <c r="L71" s="41" t="s">
        <v>55</v>
      </c>
      <c r="M71" s="41" t="s">
        <v>61</v>
      </c>
      <c r="N71" s="9" t="s">
        <v>2260</v>
      </c>
      <c r="O71" s="10" t="s">
        <v>2056</v>
      </c>
      <c r="P71" s="1"/>
    </row>
    <row r="72" spans="1:16" ht="21" customHeight="1">
      <c r="A72" s="10">
        <v>1</v>
      </c>
      <c r="B72" s="33" t="s">
        <v>2046</v>
      </c>
      <c r="C72" s="41" t="s">
        <v>28</v>
      </c>
      <c r="D72" s="41" t="s">
        <v>2261</v>
      </c>
      <c r="E72" s="41" t="s">
        <v>2262</v>
      </c>
      <c r="F72" s="41" t="s">
        <v>2263</v>
      </c>
      <c r="G72" s="41" t="s">
        <v>66</v>
      </c>
      <c r="H72" s="8" t="s">
        <v>67</v>
      </c>
      <c r="I72" s="70" t="s">
        <v>2227</v>
      </c>
      <c r="J72" s="70"/>
      <c r="K72" s="70"/>
      <c r="L72" s="41" t="s">
        <v>49</v>
      </c>
      <c r="M72" s="41" t="s">
        <v>35</v>
      </c>
      <c r="N72" s="9" t="s">
        <v>2264</v>
      </c>
      <c r="O72" s="10"/>
      <c r="P72" s="1"/>
    </row>
    <row r="73" spans="1:16" ht="21" customHeight="1">
      <c r="A73" s="10">
        <v>1</v>
      </c>
      <c r="B73" s="33" t="s">
        <v>2046</v>
      </c>
      <c r="C73" s="41" t="s">
        <v>28</v>
      </c>
      <c r="D73" s="41" t="s">
        <v>2265</v>
      </c>
      <c r="E73" s="41" t="s">
        <v>776</v>
      </c>
      <c r="F73" s="41" t="s">
        <v>2266</v>
      </c>
      <c r="G73" s="41" t="s">
        <v>395</v>
      </c>
      <c r="H73" s="8" t="s">
        <v>33</v>
      </c>
      <c r="I73" s="70" t="s">
        <v>54</v>
      </c>
      <c r="J73" s="70"/>
      <c r="K73" s="70"/>
      <c r="L73" s="41" t="s">
        <v>2050</v>
      </c>
      <c r="M73" s="41" t="s">
        <v>61</v>
      </c>
      <c r="N73" s="9" t="s">
        <v>2267</v>
      </c>
      <c r="O73" s="10" t="s">
        <v>2056</v>
      </c>
      <c r="P73" s="1"/>
    </row>
    <row r="74" spans="1:16" ht="21" hidden="1" customHeight="1">
      <c r="A74" s="10">
        <v>1</v>
      </c>
      <c r="B74" s="33" t="s">
        <v>2046</v>
      </c>
      <c r="C74" s="41" t="s">
        <v>93</v>
      </c>
      <c r="D74" s="41" t="s">
        <v>2268</v>
      </c>
      <c r="E74" s="41" t="s">
        <v>315</v>
      </c>
      <c r="F74" s="41" t="s">
        <v>2269</v>
      </c>
      <c r="G74" s="41" t="s">
        <v>66</v>
      </c>
      <c r="H74" s="8" t="s">
        <v>67</v>
      </c>
      <c r="I74" s="70"/>
      <c r="J74" s="70"/>
      <c r="K74" s="70"/>
      <c r="L74" s="41" t="s">
        <v>49</v>
      </c>
      <c r="M74" s="41"/>
      <c r="N74" s="9" t="s">
        <v>2270</v>
      </c>
      <c r="O74" s="10"/>
      <c r="P74" s="1"/>
    </row>
    <row r="75" spans="1:16" ht="21" hidden="1" customHeight="1">
      <c r="A75" s="10">
        <v>1</v>
      </c>
      <c r="B75" s="33" t="s">
        <v>2046</v>
      </c>
      <c r="C75" s="41" t="s">
        <v>93</v>
      </c>
      <c r="D75" s="41" t="s">
        <v>2271</v>
      </c>
      <c r="E75" s="41" t="s">
        <v>169</v>
      </c>
      <c r="F75" s="41" t="s">
        <v>2272</v>
      </c>
      <c r="G75" s="41" t="s">
        <v>91</v>
      </c>
      <c r="H75" s="8" t="s">
        <v>67</v>
      </c>
      <c r="I75" s="70"/>
      <c r="J75" s="70"/>
      <c r="K75" s="70"/>
      <c r="L75" s="41" t="s">
        <v>49</v>
      </c>
      <c r="M75" s="41"/>
      <c r="N75" s="9" t="s">
        <v>2273</v>
      </c>
      <c r="O75" s="10"/>
      <c r="P75" s="1"/>
    </row>
    <row r="76" spans="1:16" ht="21" customHeight="1">
      <c r="A76" s="10">
        <v>1</v>
      </c>
      <c r="B76" s="33" t="s">
        <v>2046</v>
      </c>
      <c r="C76" s="41" t="s">
        <v>28</v>
      </c>
      <c r="D76" s="41" t="s">
        <v>2274</v>
      </c>
      <c r="E76" s="41" t="s">
        <v>893</v>
      </c>
      <c r="F76" s="41" t="s">
        <v>2275</v>
      </c>
      <c r="G76" s="41" t="s">
        <v>559</v>
      </c>
      <c r="H76" s="8" t="s">
        <v>33</v>
      </c>
      <c r="I76" s="70" t="s">
        <v>2227</v>
      </c>
      <c r="J76" s="70"/>
      <c r="K76" s="70"/>
      <c r="L76" s="41" t="s">
        <v>2050</v>
      </c>
      <c r="M76" s="41" t="s">
        <v>133</v>
      </c>
      <c r="N76" s="9" t="s">
        <v>2276</v>
      </c>
      <c r="O76" s="10" t="s">
        <v>2056</v>
      </c>
      <c r="P76" s="1"/>
    </row>
    <row r="77" spans="1:16" ht="21" customHeight="1">
      <c r="A77" s="10">
        <v>1</v>
      </c>
      <c r="B77" s="33" t="s">
        <v>2046</v>
      </c>
      <c r="C77" s="41" t="s">
        <v>28</v>
      </c>
      <c r="D77" s="41" t="s">
        <v>2277</v>
      </c>
      <c r="E77" s="41" t="s">
        <v>39</v>
      </c>
      <c r="F77" s="41" t="s">
        <v>2278</v>
      </c>
      <c r="G77" s="41" t="s">
        <v>41</v>
      </c>
      <c r="H77" s="8" t="s">
        <v>33</v>
      </c>
      <c r="I77" s="70" t="s">
        <v>2058</v>
      </c>
      <c r="J77" s="70"/>
      <c r="K77" s="65">
        <v>79.900000000000006</v>
      </c>
      <c r="L77" s="41" t="s">
        <v>49</v>
      </c>
      <c r="M77" s="41" t="s">
        <v>35</v>
      </c>
      <c r="N77" s="9" t="s">
        <v>2279</v>
      </c>
      <c r="O77" s="10"/>
      <c r="P77" s="1"/>
    </row>
    <row r="78" spans="1:16" ht="21" customHeight="1">
      <c r="A78" s="10">
        <v>1</v>
      </c>
      <c r="B78" s="33" t="s">
        <v>2046</v>
      </c>
      <c r="C78" s="41" t="s">
        <v>28</v>
      </c>
      <c r="D78" s="41" t="s">
        <v>2280</v>
      </c>
      <c r="E78" s="41" t="s">
        <v>1542</v>
      </c>
      <c r="F78" s="41" t="s">
        <v>2281</v>
      </c>
      <c r="G78" s="41" t="s">
        <v>559</v>
      </c>
      <c r="H78" s="8" t="s">
        <v>33</v>
      </c>
      <c r="I78" s="70" t="s">
        <v>54</v>
      </c>
      <c r="J78" s="70"/>
      <c r="K78" s="70"/>
      <c r="L78" s="41" t="s">
        <v>2050</v>
      </c>
      <c r="M78" s="41" t="s">
        <v>56</v>
      </c>
      <c r="N78" s="9" t="s">
        <v>2282</v>
      </c>
      <c r="O78" s="10" t="s">
        <v>2056</v>
      </c>
      <c r="P78" s="1"/>
    </row>
    <row r="79" spans="1:16" ht="21" hidden="1" customHeight="1">
      <c r="A79" s="10">
        <v>1</v>
      </c>
      <c r="B79" s="33" t="s">
        <v>2046</v>
      </c>
      <c r="C79" s="41" t="s">
        <v>93</v>
      </c>
      <c r="D79" s="41" t="s">
        <v>2283</v>
      </c>
      <c r="E79" s="41" t="s">
        <v>285</v>
      </c>
      <c r="F79" s="41">
        <v>51998403855</v>
      </c>
      <c r="G79" s="41" t="s">
        <v>507</v>
      </c>
      <c r="H79" s="8" t="s">
        <v>67</v>
      </c>
      <c r="I79" s="70"/>
      <c r="J79" s="70"/>
      <c r="K79" s="70"/>
      <c r="L79" s="41" t="s">
        <v>55</v>
      </c>
      <c r="M79" s="41"/>
      <c r="N79" s="9" t="s">
        <v>239</v>
      </c>
      <c r="O79" s="10"/>
      <c r="P79" s="1"/>
    </row>
    <row r="80" spans="1:16" ht="21" hidden="1" customHeight="1">
      <c r="A80" s="10">
        <v>1</v>
      </c>
      <c r="B80" s="33" t="s">
        <v>2046</v>
      </c>
      <c r="C80" s="41" t="s">
        <v>93</v>
      </c>
      <c r="D80" s="41" t="s">
        <v>2284</v>
      </c>
      <c r="E80" s="41" t="s">
        <v>325</v>
      </c>
      <c r="F80" s="41" t="s">
        <v>2285</v>
      </c>
      <c r="G80" s="41" t="s">
        <v>73</v>
      </c>
      <c r="H80" s="8" t="s">
        <v>33</v>
      </c>
      <c r="I80" s="70"/>
      <c r="J80" s="70"/>
      <c r="K80" s="70"/>
      <c r="L80" s="41" t="s">
        <v>49</v>
      </c>
      <c r="M80" s="41"/>
      <c r="N80" s="9" t="s">
        <v>2286</v>
      </c>
      <c r="O80" s="10"/>
      <c r="P80" s="1"/>
    </row>
    <row r="81" spans="1:16" ht="21" hidden="1" customHeight="1">
      <c r="A81" s="10">
        <v>1</v>
      </c>
      <c r="B81" s="33" t="s">
        <v>2046</v>
      </c>
      <c r="C81" s="41" t="s">
        <v>93</v>
      </c>
      <c r="D81" s="41" t="s">
        <v>2287</v>
      </c>
      <c r="E81" s="41" t="s">
        <v>619</v>
      </c>
      <c r="F81" s="41" t="s">
        <v>2288</v>
      </c>
      <c r="G81" s="41" t="s">
        <v>66</v>
      </c>
      <c r="H81" s="8" t="s">
        <v>67</v>
      </c>
      <c r="I81" s="70"/>
      <c r="J81" s="70"/>
      <c r="K81" s="70"/>
      <c r="L81" s="41" t="s">
        <v>49</v>
      </c>
      <c r="M81" s="41"/>
      <c r="N81" s="9" t="s">
        <v>2289</v>
      </c>
      <c r="O81" s="10"/>
      <c r="P81" s="1"/>
    </row>
    <row r="82" spans="1:16" ht="21" hidden="1" customHeight="1">
      <c r="A82" s="10">
        <v>1</v>
      </c>
      <c r="B82" s="33" t="s">
        <v>2046</v>
      </c>
      <c r="C82" s="41" t="s">
        <v>93</v>
      </c>
      <c r="D82" s="41" t="s">
        <v>2290</v>
      </c>
      <c r="E82" s="41" t="s">
        <v>2291</v>
      </c>
      <c r="F82" s="41" t="s">
        <v>2292</v>
      </c>
      <c r="G82" s="41" t="s">
        <v>53</v>
      </c>
      <c r="H82" s="8" t="s">
        <v>33</v>
      </c>
      <c r="I82" s="70"/>
      <c r="J82" s="70"/>
      <c r="K82" s="70"/>
      <c r="L82" s="41" t="s">
        <v>49</v>
      </c>
      <c r="M82" s="41"/>
      <c r="N82" s="9" t="s">
        <v>2293</v>
      </c>
      <c r="O82" s="10"/>
      <c r="P82" s="1"/>
    </row>
    <row r="83" spans="1:16" ht="21" hidden="1" customHeight="1">
      <c r="A83" s="10">
        <v>1</v>
      </c>
      <c r="B83" s="33" t="s">
        <v>2046</v>
      </c>
      <c r="C83" s="41" t="s">
        <v>93</v>
      </c>
      <c r="D83" s="41" t="s">
        <v>2294</v>
      </c>
      <c r="E83" s="41" t="s">
        <v>2291</v>
      </c>
      <c r="F83" s="41" t="s">
        <v>2292</v>
      </c>
      <c r="G83" s="41" t="s">
        <v>53</v>
      </c>
      <c r="H83" s="8" t="s">
        <v>33</v>
      </c>
      <c r="I83" s="70"/>
      <c r="J83" s="70"/>
      <c r="K83" s="70"/>
      <c r="L83" s="41" t="s">
        <v>49</v>
      </c>
      <c r="M83" s="41"/>
      <c r="N83" s="9" t="s">
        <v>2293</v>
      </c>
      <c r="O83" s="10"/>
      <c r="P83" s="1"/>
    </row>
    <row r="84" spans="1:16" ht="21" customHeight="1">
      <c r="A84" s="10">
        <v>1</v>
      </c>
      <c r="B84" s="33" t="s">
        <v>2046</v>
      </c>
      <c r="C84" s="41" t="s">
        <v>28</v>
      </c>
      <c r="D84" s="41" t="s">
        <v>2295</v>
      </c>
      <c r="E84" s="41" t="s">
        <v>298</v>
      </c>
      <c r="F84" s="41" t="s">
        <v>2296</v>
      </c>
      <c r="G84" s="41" t="s">
        <v>91</v>
      </c>
      <c r="H84" s="8" t="s">
        <v>67</v>
      </c>
      <c r="I84" s="70"/>
      <c r="J84" s="70"/>
      <c r="K84" s="70"/>
      <c r="L84" s="41" t="s">
        <v>49</v>
      </c>
      <c r="M84" s="41" t="s">
        <v>128</v>
      </c>
      <c r="N84" s="9" t="s">
        <v>2297</v>
      </c>
      <c r="O84" s="10"/>
      <c r="P84" s="1"/>
    </row>
    <row r="85" spans="1:16" ht="21" hidden="1" customHeight="1">
      <c r="A85" s="10">
        <v>1</v>
      </c>
      <c r="B85" s="33" t="s">
        <v>2046</v>
      </c>
      <c r="C85" s="41" t="s">
        <v>93</v>
      </c>
      <c r="D85" s="41" t="s">
        <v>2298</v>
      </c>
      <c r="E85" s="41" t="s">
        <v>285</v>
      </c>
      <c r="F85" s="41" t="s">
        <v>2299</v>
      </c>
      <c r="G85" s="41" t="s">
        <v>66</v>
      </c>
      <c r="H85" s="8" t="s">
        <v>67</v>
      </c>
      <c r="I85" s="70"/>
      <c r="J85" s="70"/>
      <c r="K85" s="70"/>
      <c r="L85" s="41" t="s">
        <v>49</v>
      </c>
      <c r="M85" s="41"/>
      <c r="N85" s="9" t="s">
        <v>2300</v>
      </c>
      <c r="O85" s="10"/>
      <c r="P85" s="1"/>
    </row>
    <row r="86" spans="1:16" ht="21" hidden="1" customHeight="1">
      <c r="A86" s="10">
        <v>1</v>
      </c>
      <c r="B86" s="33" t="s">
        <v>2046</v>
      </c>
      <c r="C86" s="41" t="s">
        <v>93</v>
      </c>
      <c r="D86" s="41" t="s">
        <v>240</v>
      </c>
      <c r="E86" s="41" t="s">
        <v>71</v>
      </c>
      <c r="F86" s="41">
        <v>51999100777</v>
      </c>
      <c r="G86" s="41" t="s">
        <v>147</v>
      </c>
      <c r="H86" s="8" t="s">
        <v>33</v>
      </c>
      <c r="I86" s="70"/>
      <c r="J86" s="70"/>
      <c r="K86" s="70"/>
      <c r="L86" s="41" t="s">
        <v>55</v>
      </c>
      <c r="M86" s="41"/>
      <c r="N86" s="9" t="s">
        <v>2301</v>
      </c>
      <c r="O86" s="10"/>
      <c r="P86" s="1"/>
    </row>
    <row r="87" spans="1:16" ht="21" hidden="1" customHeight="1">
      <c r="A87" s="10">
        <v>1</v>
      </c>
      <c r="B87" s="33" t="s">
        <v>2134</v>
      </c>
      <c r="C87" s="41" t="s">
        <v>93</v>
      </c>
      <c r="D87" s="104" t="s">
        <v>2302</v>
      </c>
      <c r="E87" s="41" t="s">
        <v>182</v>
      </c>
      <c r="F87" s="41">
        <v>51995850346</v>
      </c>
      <c r="G87" s="41" t="s">
        <v>66</v>
      </c>
      <c r="H87" s="8" t="s">
        <v>67</v>
      </c>
      <c r="I87" s="70"/>
      <c r="J87" s="70"/>
      <c r="K87" s="70"/>
      <c r="L87" s="41" t="s">
        <v>55</v>
      </c>
      <c r="M87" s="41"/>
      <c r="N87" s="9" t="s">
        <v>2303</v>
      </c>
      <c r="O87" s="10"/>
      <c r="P87" s="1"/>
    </row>
    <row r="88" spans="1:16" ht="21" customHeight="1">
      <c r="A88" s="10">
        <v>1</v>
      </c>
      <c r="B88" s="33" t="s">
        <v>2134</v>
      </c>
      <c r="C88" s="41" t="s">
        <v>28</v>
      </c>
      <c r="D88" s="41" t="s">
        <v>2304</v>
      </c>
      <c r="E88" s="41" t="s">
        <v>270</v>
      </c>
      <c r="F88" s="41" t="s">
        <v>2305</v>
      </c>
      <c r="G88" s="41" t="s">
        <v>507</v>
      </c>
      <c r="H88" s="8" t="s">
        <v>67</v>
      </c>
      <c r="I88" s="70" t="s">
        <v>2306</v>
      </c>
      <c r="J88" s="70"/>
      <c r="K88" s="70"/>
      <c r="L88" s="41" t="s">
        <v>2050</v>
      </c>
      <c r="M88" s="41" t="s">
        <v>61</v>
      </c>
      <c r="N88" s="68" t="s">
        <v>2307</v>
      </c>
      <c r="O88" s="10"/>
      <c r="P88" s="1"/>
    </row>
    <row r="89" spans="1:16" ht="21" customHeight="1">
      <c r="A89" s="10">
        <v>1</v>
      </c>
      <c r="B89" s="33" t="s">
        <v>2134</v>
      </c>
      <c r="C89" s="41" t="s">
        <v>28</v>
      </c>
      <c r="D89" s="41" t="s">
        <v>2308</v>
      </c>
      <c r="E89" s="41" t="s">
        <v>2309</v>
      </c>
      <c r="F89" s="41" t="s">
        <v>2310</v>
      </c>
      <c r="G89" s="41" t="s">
        <v>559</v>
      </c>
      <c r="H89" s="8" t="s">
        <v>67</v>
      </c>
      <c r="I89" s="70" t="s">
        <v>54</v>
      </c>
      <c r="J89" s="70"/>
      <c r="K89" s="70"/>
      <c r="L89" s="41" t="s">
        <v>2050</v>
      </c>
      <c r="M89" s="41" t="s">
        <v>61</v>
      </c>
      <c r="N89" s="9" t="s">
        <v>2311</v>
      </c>
      <c r="O89" s="10"/>
      <c r="P89" s="1"/>
    </row>
    <row r="90" spans="1:16" ht="21" customHeight="1">
      <c r="A90" s="10">
        <v>1</v>
      </c>
      <c r="B90" s="33" t="s">
        <v>2134</v>
      </c>
      <c r="C90" s="41" t="s">
        <v>28</v>
      </c>
      <c r="D90" s="41" t="s">
        <v>2312</v>
      </c>
      <c r="E90" s="41" t="s">
        <v>512</v>
      </c>
      <c r="F90" s="41" t="s">
        <v>2313</v>
      </c>
      <c r="G90" s="41" t="s">
        <v>501</v>
      </c>
      <c r="H90" s="8" t="s">
        <v>67</v>
      </c>
      <c r="I90" s="70" t="s">
        <v>2306</v>
      </c>
      <c r="J90" s="70"/>
      <c r="K90" s="70"/>
      <c r="L90" s="41" t="s">
        <v>2050</v>
      </c>
      <c r="M90" s="41" t="s">
        <v>56</v>
      </c>
      <c r="N90" s="9" t="s">
        <v>2314</v>
      </c>
      <c r="O90" s="10"/>
      <c r="P90" s="1"/>
    </row>
    <row r="91" spans="1:16" ht="21" customHeight="1">
      <c r="A91" s="10">
        <v>1</v>
      </c>
      <c r="B91" s="33" t="s">
        <v>2134</v>
      </c>
      <c r="C91" s="41" t="s">
        <v>28</v>
      </c>
      <c r="D91" s="41" t="s">
        <v>2315</v>
      </c>
      <c r="E91" s="41" t="s">
        <v>2316</v>
      </c>
      <c r="F91" s="41" t="s">
        <v>2317</v>
      </c>
      <c r="G91" s="41" t="s">
        <v>283</v>
      </c>
      <c r="H91" s="8" t="s">
        <v>47</v>
      </c>
      <c r="I91" s="70" t="s">
        <v>2058</v>
      </c>
      <c r="J91" s="70"/>
      <c r="K91" s="70"/>
      <c r="L91" s="41" t="s">
        <v>49</v>
      </c>
      <c r="M91" s="41" t="s">
        <v>56</v>
      </c>
      <c r="N91" s="9" t="s">
        <v>2318</v>
      </c>
      <c r="O91" s="10"/>
      <c r="P91" s="1"/>
    </row>
    <row r="92" spans="1:16" ht="21" customHeight="1">
      <c r="A92" s="10">
        <v>1</v>
      </c>
      <c r="B92" s="33" t="s">
        <v>2134</v>
      </c>
      <c r="C92" s="41" t="s">
        <v>28</v>
      </c>
      <c r="D92" s="41" t="s">
        <v>2319</v>
      </c>
      <c r="E92" s="41" t="s">
        <v>2320</v>
      </c>
      <c r="F92" s="41" t="s">
        <v>2321</v>
      </c>
      <c r="G92" s="41" t="s">
        <v>85</v>
      </c>
      <c r="H92" s="8" t="s">
        <v>33</v>
      </c>
      <c r="I92" s="70"/>
      <c r="J92" s="70"/>
      <c r="K92" s="70"/>
      <c r="L92" s="41" t="s">
        <v>49</v>
      </c>
      <c r="M92" s="41" t="s">
        <v>80</v>
      </c>
      <c r="N92" s="9" t="s">
        <v>2322</v>
      </c>
      <c r="O92" s="10"/>
      <c r="P92" s="1"/>
    </row>
    <row r="93" spans="1:16" ht="21" customHeight="1">
      <c r="A93" s="10">
        <v>1</v>
      </c>
      <c r="B93" s="33" t="s">
        <v>2134</v>
      </c>
      <c r="C93" s="41" t="s">
        <v>28</v>
      </c>
      <c r="D93" s="41" t="s">
        <v>2323</v>
      </c>
      <c r="E93" s="41" t="s">
        <v>2324</v>
      </c>
      <c r="F93" s="41">
        <v>51998662662</v>
      </c>
      <c r="G93" s="41" t="s">
        <v>761</v>
      </c>
      <c r="H93" s="8" t="s">
        <v>33</v>
      </c>
      <c r="I93" s="70"/>
      <c r="J93" s="70"/>
      <c r="K93" s="70"/>
      <c r="L93" s="41" t="s">
        <v>55</v>
      </c>
      <c r="M93" s="41" t="s">
        <v>61</v>
      </c>
      <c r="N93" s="9" t="s">
        <v>2325</v>
      </c>
      <c r="O93" s="10"/>
      <c r="P93" s="1"/>
    </row>
    <row r="94" spans="1:16" ht="21" customHeight="1">
      <c r="A94" s="10">
        <v>1</v>
      </c>
      <c r="B94" s="33" t="s">
        <v>2134</v>
      </c>
      <c r="C94" s="41" t="s">
        <v>28</v>
      </c>
      <c r="D94" s="41" t="s">
        <v>2326</v>
      </c>
      <c r="E94" s="41" t="s">
        <v>161</v>
      </c>
      <c r="F94" s="41" t="s">
        <v>2327</v>
      </c>
      <c r="G94" s="41" t="s">
        <v>66</v>
      </c>
      <c r="H94" s="8" t="s">
        <v>67</v>
      </c>
      <c r="I94" s="70"/>
      <c r="J94" s="70"/>
      <c r="K94" s="70"/>
      <c r="L94" s="41" t="s">
        <v>49</v>
      </c>
      <c r="M94" s="41" t="s">
        <v>133</v>
      </c>
      <c r="N94" s="9" t="s">
        <v>2328</v>
      </c>
      <c r="O94" s="10"/>
      <c r="P94" s="1"/>
    </row>
    <row r="95" spans="1:16" ht="21" customHeight="1">
      <c r="A95" s="10">
        <v>1</v>
      </c>
      <c r="B95" s="33" t="s">
        <v>2134</v>
      </c>
      <c r="C95" s="41" t="s">
        <v>28</v>
      </c>
      <c r="D95" s="41" t="s">
        <v>2329</v>
      </c>
      <c r="E95" s="41" t="s">
        <v>182</v>
      </c>
      <c r="F95" s="41" t="s">
        <v>2330</v>
      </c>
      <c r="G95" s="41" t="s">
        <v>507</v>
      </c>
      <c r="H95" s="8" t="s">
        <v>67</v>
      </c>
      <c r="I95" s="70" t="s">
        <v>2306</v>
      </c>
      <c r="J95" s="70"/>
      <c r="K95" s="70"/>
      <c r="L95" s="41" t="s">
        <v>2050</v>
      </c>
      <c r="M95" s="41" t="s">
        <v>128</v>
      </c>
      <c r="N95" s="9" t="s">
        <v>2331</v>
      </c>
      <c r="O95" s="10"/>
      <c r="P95" s="1"/>
    </row>
    <row r="96" spans="1:16" ht="21" customHeight="1">
      <c r="A96" s="10">
        <v>1</v>
      </c>
      <c r="B96" s="33" t="s">
        <v>2134</v>
      </c>
      <c r="C96" s="41" t="s">
        <v>28</v>
      </c>
      <c r="D96" s="41" t="s">
        <v>2332</v>
      </c>
      <c r="E96" s="41" t="s">
        <v>2333</v>
      </c>
      <c r="F96" s="41" t="s">
        <v>2334</v>
      </c>
      <c r="G96" s="41" t="s">
        <v>756</v>
      </c>
      <c r="H96" s="8" t="s">
        <v>67</v>
      </c>
      <c r="I96" s="70" t="s">
        <v>2335</v>
      </c>
      <c r="J96" s="70"/>
      <c r="K96" s="70"/>
      <c r="L96" s="41" t="s">
        <v>55</v>
      </c>
      <c r="M96" s="41" t="s">
        <v>128</v>
      </c>
      <c r="N96" s="9" t="s">
        <v>2336</v>
      </c>
      <c r="O96" s="10"/>
      <c r="P96" s="1"/>
    </row>
    <row r="97" spans="1:16" ht="21" customHeight="1">
      <c r="A97" s="10">
        <v>1</v>
      </c>
      <c r="B97" s="33" t="s">
        <v>2134</v>
      </c>
      <c r="C97" s="41" t="s">
        <v>28</v>
      </c>
      <c r="D97" s="41" t="s">
        <v>2337</v>
      </c>
      <c r="E97" s="41" t="s">
        <v>2338</v>
      </c>
      <c r="F97" s="41" t="s">
        <v>2339</v>
      </c>
      <c r="G97" s="41" t="s">
        <v>2338</v>
      </c>
      <c r="H97" s="8" t="s">
        <v>191</v>
      </c>
      <c r="I97" s="70" t="s">
        <v>2202</v>
      </c>
      <c r="J97" s="70"/>
      <c r="K97" s="70"/>
      <c r="L97" s="41" t="s">
        <v>55</v>
      </c>
      <c r="M97" s="41" t="s">
        <v>111</v>
      </c>
      <c r="N97" s="9" t="s">
        <v>2340</v>
      </c>
      <c r="O97" s="10"/>
      <c r="P97" s="1"/>
    </row>
    <row r="98" spans="1:16" ht="21" customHeight="1">
      <c r="A98" s="10">
        <v>1</v>
      </c>
      <c r="B98" s="33" t="s">
        <v>2134</v>
      </c>
      <c r="C98" s="41" t="s">
        <v>28</v>
      </c>
      <c r="D98" s="41" t="s">
        <v>2341</v>
      </c>
      <c r="E98" s="41" t="s">
        <v>213</v>
      </c>
      <c r="F98" s="41" t="s">
        <v>2342</v>
      </c>
      <c r="G98" s="41" t="s">
        <v>32</v>
      </c>
      <c r="H98" s="8" t="s">
        <v>33</v>
      </c>
      <c r="I98" s="70"/>
      <c r="J98" s="70"/>
      <c r="K98" s="70"/>
      <c r="L98" s="41" t="s">
        <v>55</v>
      </c>
      <c r="M98" s="41" t="s">
        <v>35</v>
      </c>
      <c r="N98" s="9" t="s">
        <v>2343</v>
      </c>
      <c r="O98" s="10"/>
      <c r="P98" s="1"/>
    </row>
    <row r="99" spans="1:16" ht="21" customHeight="1">
      <c r="A99" s="10">
        <v>1</v>
      </c>
      <c r="B99" s="33" t="s">
        <v>2134</v>
      </c>
      <c r="C99" s="41" t="s">
        <v>28</v>
      </c>
      <c r="D99" s="8" t="s">
        <v>2344</v>
      </c>
      <c r="E99" s="41" t="s">
        <v>2345</v>
      </c>
      <c r="F99" s="41" t="s">
        <v>2346</v>
      </c>
      <c r="G99" s="41" t="s">
        <v>1236</v>
      </c>
      <c r="H99" s="8" t="s">
        <v>33</v>
      </c>
      <c r="I99" s="70" t="s">
        <v>2138</v>
      </c>
      <c r="J99" s="70"/>
      <c r="K99" s="70"/>
      <c r="L99" s="41" t="s">
        <v>2050</v>
      </c>
      <c r="M99" s="41" t="s">
        <v>35</v>
      </c>
      <c r="N99" s="9" t="s">
        <v>2347</v>
      </c>
      <c r="O99" s="10"/>
      <c r="P99" s="1"/>
    </row>
    <row r="100" spans="1:16" ht="21" hidden="1" customHeight="1">
      <c r="A100" s="10">
        <v>1</v>
      </c>
      <c r="B100" s="33" t="s">
        <v>2134</v>
      </c>
      <c r="C100" s="41" t="s">
        <v>93</v>
      </c>
      <c r="D100" s="8" t="s">
        <v>2348</v>
      </c>
      <c r="E100" s="41" t="s">
        <v>2349</v>
      </c>
      <c r="F100" s="41" t="s">
        <v>2350</v>
      </c>
      <c r="G100" s="41" t="s">
        <v>1236</v>
      </c>
      <c r="H100" s="8" t="s">
        <v>191</v>
      </c>
      <c r="I100" s="70"/>
      <c r="J100" s="70"/>
      <c r="K100" s="70"/>
      <c r="L100" s="41" t="s">
        <v>55</v>
      </c>
      <c r="M100" s="41"/>
      <c r="N100" s="9" t="s">
        <v>2351</v>
      </c>
      <c r="O100" s="10"/>
      <c r="P100" s="1"/>
    </row>
    <row r="101" spans="1:16" ht="21" customHeight="1">
      <c r="A101" s="10">
        <v>1</v>
      </c>
      <c r="B101" s="33" t="s">
        <v>2134</v>
      </c>
      <c r="C101" s="41" t="s">
        <v>28</v>
      </c>
      <c r="D101" s="41" t="s">
        <v>2352</v>
      </c>
      <c r="E101" s="41" t="s">
        <v>161</v>
      </c>
      <c r="F101" s="41" t="s">
        <v>2353</v>
      </c>
      <c r="G101" s="41" t="s">
        <v>161</v>
      </c>
      <c r="H101" s="8" t="s">
        <v>67</v>
      </c>
      <c r="I101" s="70" t="s">
        <v>2088</v>
      </c>
      <c r="J101" s="70"/>
      <c r="K101" s="70"/>
      <c r="L101" s="41" t="s">
        <v>49</v>
      </c>
      <c r="M101" s="41" t="s">
        <v>61</v>
      </c>
      <c r="N101" s="9" t="s">
        <v>2354</v>
      </c>
      <c r="O101" s="10"/>
      <c r="P101" s="1"/>
    </row>
    <row r="102" spans="1:16" ht="21" hidden="1" customHeight="1">
      <c r="A102" s="10">
        <v>1</v>
      </c>
      <c r="B102" s="33" t="s">
        <v>2134</v>
      </c>
      <c r="C102" s="41" t="s">
        <v>93</v>
      </c>
      <c r="D102" s="41" t="s">
        <v>1045</v>
      </c>
      <c r="E102" s="41" t="s">
        <v>1165</v>
      </c>
      <c r="F102" s="41" t="s">
        <v>1046</v>
      </c>
      <c r="G102" s="41" t="s">
        <v>79</v>
      </c>
      <c r="H102" s="8" t="s">
        <v>47</v>
      </c>
      <c r="I102" s="70"/>
      <c r="J102" s="70"/>
      <c r="K102" s="70"/>
      <c r="L102" s="41" t="s">
        <v>49</v>
      </c>
      <c r="M102" s="41"/>
      <c r="N102" s="9" t="s">
        <v>2355</v>
      </c>
      <c r="O102" s="10"/>
      <c r="P102" s="1"/>
    </row>
    <row r="103" spans="1:16" ht="21" hidden="1" customHeight="1">
      <c r="A103" s="10">
        <v>1</v>
      </c>
      <c r="B103" s="33" t="s">
        <v>2134</v>
      </c>
      <c r="C103" s="41" t="s">
        <v>93</v>
      </c>
      <c r="D103" s="41" t="s">
        <v>2356</v>
      </c>
      <c r="E103" s="41" t="s">
        <v>1542</v>
      </c>
      <c r="F103" s="41" t="s">
        <v>2357</v>
      </c>
      <c r="G103" s="41" t="s">
        <v>41</v>
      </c>
      <c r="H103" s="8" t="s">
        <v>33</v>
      </c>
      <c r="I103" s="70"/>
      <c r="J103" s="70"/>
      <c r="K103" s="70"/>
      <c r="L103" s="41" t="s">
        <v>49</v>
      </c>
      <c r="M103" s="41"/>
      <c r="N103" s="9" t="s">
        <v>2358</v>
      </c>
      <c r="O103" s="10"/>
      <c r="P103" s="1"/>
    </row>
    <row r="104" spans="1:16" ht="21" customHeight="1">
      <c r="A104" s="10">
        <v>1</v>
      </c>
      <c r="B104" s="33" t="s">
        <v>2134</v>
      </c>
      <c r="C104" s="41" t="s">
        <v>28</v>
      </c>
      <c r="D104" s="41" t="s">
        <v>2359</v>
      </c>
      <c r="E104" s="41" t="s">
        <v>2360</v>
      </c>
      <c r="F104" s="41">
        <v>51980421084</v>
      </c>
      <c r="G104" s="41" t="s">
        <v>85</v>
      </c>
      <c r="H104" s="8" t="s">
        <v>33</v>
      </c>
      <c r="I104" s="70" t="s">
        <v>2186</v>
      </c>
      <c r="J104" s="70"/>
      <c r="K104" s="70"/>
      <c r="L104" s="41" t="s">
        <v>55</v>
      </c>
      <c r="M104" s="41" t="s">
        <v>61</v>
      </c>
      <c r="N104" s="9" t="s">
        <v>2361</v>
      </c>
      <c r="O104" s="10"/>
      <c r="P104" s="1"/>
    </row>
    <row r="105" spans="1:16" ht="21" hidden="1" customHeight="1">
      <c r="A105" s="10">
        <v>1</v>
      </c>
      <c r="B105" s="33" t="s">
        <v>2079</v>
      </c>
      <c r="C105" s="41" t="s">
        <v>93</v>
      </c>
      <c r="D105" s="41" t="s">
        <v>2362</v>
      </c>
      <c r="E105" s="41" t="s">
        <v>161</v>
      </c>
      <c r="F105" s="41" t="s">
        <v>2363</v>
      </c>
      <c r="G105" s="41" t="s">
        <v>66</v>
      </c>
      <c r="H105" s="8" t="s">
        <v>67</v>
      </c>
      <c r="I105" s="70"/>
      <c r="J105" s="70"/>
      <c r="K105" s="70"/>
      <c r="L105" s="41" t="s">
        <v>55</v>
      </c>
      <c r="M105" s="41"/>
      <c r="N105" s="9" t="s">
        <v>2364</v>
      </c>
      <c r="O105" s="10"/>
      <c r="P105" s="1"/>
    </row>
    <row r="106" spans="1:16" ht="21" hidden="1" customHeight="1">
      <c r="A106" s="10">
        <v>1</v>
      </c>
      <c r="B106" s="33" t="s">
        <v>2079</v>
      </c>
      <c r="C106" s="41" t="s">
        <v>93</v>
      </c>
      <c r="D106" s="41" t="s">
        <v>2365</v>
      </c>
      <c r="E106" s="41" t="s">
        <v>2366</v>
      </c>
      <c r="F106" s="41" t="s">
        <v>2367</v>
      </c>
      <c r="G106" s="41" t="s">
        <v>756</v>
      </c>
      <c r="H106" s="8" t="s">
        <v>67</v>
      </c>
      <c r="I106" s="70"/>
      <c r="J106" s="70"/>
      <c r="K106" s="70"/>
      <c r="L106" s="41" t="s">
        <v>55</v>
      </c>
      <c r="M106" s="41"/>
      <c r="N106" s="68" t="s">
        <v>2368</v>
      </c>
      <c r="O106" s="10"/>
      <c r="P106" s="1"/>
    </row>
    <row r="107" spans="1:16" ht="21" customHeight="1">
      <c r="A107" s="10">
        <v>1</v>
      </c>
      <c r="B107" s="33" t="s">
        <v>2079</v>
      </c>
      <c r="C107" s="41" t="s">
        <v>28</v>
      </c>
      <c r="D107" s="41" t="s">
        <v>2369</v>
      </c>
      <c r="E107" s="41" t="s">
        <v>1542</v>
      </c>
      <c r="F107" s="41" t="s">
        <v>2370</v>
      </c>
      <c r="G107" s="41" t="s">
        <v>85</v>
      </c>
      <c r="H107" s="8" t="s">
        <v>33</v>
      </c>
      <c r="I107" s="70"/>
      <c r="J107" s="70"/>
      <c r="K107" s="70"/>
      <c r="L107" s="41" t="s">
        <v>49</v>
      </c>
      <c r="M107" s="41" t="s">
        <v>35</v>
      </c>
      <c r="N107" s="9" t="s">
        <v>2279</v>
      </c>
      <c r="O107" s="10"/>
      <c r="P107" s="1"/>
    </row>
    <row r="108" spans="1:16" ht="21" customHeight="1">
      <c r="A108" s="10">
        <v>1</v>
      </c>
      <c r="B108" s="33" t="s">
        <v>2079</v>
      </c>
      <c r="C108" s="41" t="s">
        <v>28</v>
      </c>
      <c r="D108" s="41" t="s">
        <v>2371</v>
      </c>
      <c r="E108" s="41" t="s">
        <v>454</v>
      </c>
      <c r="F108" s="41" t="s">
        <v>2372</v>
      </c>
      <c r="G108" s="41" t="s">
        <v>507</v>
      </c>
      <c r="H108" s="8" t="s">
        <v>67</v>
      </c>
      <c r="I108" s="70" t="s">
        <v>2306</v>
      </c>
      <c r="J108" s="70"/>
      <c r="K108" s="70"/>
      <c r="L108" s="41" t="s">
        <v>2050</v>
      </c>
      <c r="M108" s="41" t="s">
        <v>128</v>
      </c>
      <c r="N108" s="9" t="s">
        <v>2373</v>
      </c>
      <c r="O108" s="10"/>
      <c r="P108" s="1"/>
    </row>
    <row r="109" spans="1:16" ht="21" customHeight="1">
      <c r="A109" s="10">
        <v>1</v>
      </c>
      <c r="B109" s="33" t="s">
        <v>2079</v>
      </c>
      <c r="C109" s="41" t="s">
        <v>28</v>
      </c>
      <c r="D109" s="8" t="s">
        <v>2374</v>
      </c>
      <c r="E109" s="41" t="s">
        <v>2375</v>
      </c>
      <c r="F109" s="41" t="s">
        <v>2376</v>
      </c>
      <c r="G109" s="41" t="s">
        <v>91</v>
      </c>
      <c r="H109" s="8" t="s">
        <v>67</v>
      </c>
      <c r="I109" s="70" t="s">
        <v>2227</v>
      </c>
      <c r="J109" s="70"/>
      <c r="K109" s="70"/>
      <c r="L109" s="41" t="s">
        <v>49</v>
      </c>
      <c r="M109" s="41" t="s">
        <v>128</v>
      </c>
      <c r="N109" s="9" t="s">
        <v>1132</v>
      </c>
      <c r="O109" s="10"/>
      <c r="P109" s="1"/>
    </row>
    <row r="110" spans="1:16" ht="21" hidden="1" customHeight="1">
      <c r="A110" s="10">
        <v>1</v>
      </c>
      <c r="B110" s="33" t="s">
        <v>2079</v>
      </c>
      <c r="C110" s="41" t="s">
        <v>93</v>
      </c>
      <c r="D110" s="8" t="s">
        <v>2377</v>
      </c>
      <c r="E110" s="41" t="s">
        <v>438</v>
      </c>
      <c r="F110" s="41" t="s">
        <v>2378</v>
      </c>
      <c r="G110" s="41" t="s">
        <v>91</v>
      </c>
      <c r="H110" s="8" t="s">
        <v>67</v>
      </c>
      <c r="I110" s="70"/>
      <c r="J110" s="70"/>
      <c r="K110" s="70"/>
      <c r="L110" s="41" t="s">
        <v>49</v>
      </c>
      <c r="M110" s="41"/>
      <c r="N110" s="9" t="s">
        <v>2379</v>
      </c>
      <c r="O110" s="10"/>
      <c r="P110" s="1"/>
    </row>
    <row r="111" spans="1:16" ht="21" hidden="1" customHeight="1">
      <c r="A111" s="10">
        <v>1</v>
      </c>
      <c r="B111" s="33" t="s">
        <v>2079</v>
      </c>
      <c r="C111" s="41" t="s">
        <v>93</v>
      </c>
      <c r="D111" s="8" t="s">
        <v>2380</v>
      </c>
      <c r="E111" s="41" t="s">
        <v>253</v>
      </c>
      <c r="F111" s="41" t="s">
        <v>2381</v>
      </c>
      <c r="G111" s="41" t="s">
        <v>91</v>
      </c>
      <c r="H111" s="8" t="s">
        <v>67</v>
      </c>
      <c r="I111" s="70"/>
      <c r="J111" s="70"/>
      <c r="K111" s="70"/>
      <c r="L111" s="41" t="s">
        <v>49</v>
      </c>
      <c r="M111" s="41"/>
      <c r="N111" s="9" t="s">
        <v>2382</v>
      </c>
      <c r="O111" s="10"/>
      <c r="P111" s="1"/>
    </row>
    <row r="112" spans="1:16" ht="21" customHeight="1">
      <c r="A112" s="10">
        <v>1</v>
      </c>
      <c r="B112" s="33" t="s">
        <v>2079</v>
      </c>
      <c r="C112" s="41" t="s">
        <v>28</v>
      </c>
      <c r="D112" s="8" t="s">
        <v>2383</v>
      </c>
      <c r="E112" s="41" t="s">
        <v>1121</v>
      </c>
      <c r="F112" s="41">
        <v>51997340359</v>
      </c>
      <c r="G112" s="41" t="s">
        <v>631</v>
      </c>
      <c r="H112" s="8" t="s">
        <v>33</v>
      </c>
      <c r="I112" s="70" t="s">
        <v>54</v>
      </c>
      <c r="J112" s="70"/>
      <c r="K112" s="70"/>
      <c r="L112" s="41" t="s">
        <v>55</v>
      </c>
      <c r="M112" s="41" t="s">
        <v>35</v>
      </c>
      <c r="N112" s="9" t="s">
        <v>2384</v>
      </c>
      <c r="O112" s="10"/>
      <c r="P112" s="1"/>
    </row>
    <row r="113" spans="1:16" ht="21" customHeight="1">
      <c r="A113" s="10">
        <v>1</v>
      </c>
      <c r="B113" s="33" t="s">
        <v>2079</v>
      </c>
      <c r="C113" s="41" t="s">
        <v>28</v>
      </c>
      <c r="D113" s="8" t="s">
        <v>2385</v>
      </c>
      <c r="E113" s="41" t="s">
        <v>2386</v>
      </c>
      <c r="F113" s="41">
        <v>51980475356</v>
      </c>
      <c r="G113" s="41" t="s">
        <v>53</v>
      </c>
      <c r="H113" s="8" t="s">
        <v>33</v>
      </c>
      <c r="I113" s="70" t="s">
        <v>2138</v>
      </c>
      <c r="J113" s="70"/>
      <c r="K113" s="70"/>
      <c r="L113" s="41" t="s">
        <v>55</v>
      </c>
      <c r="M113" s="41" t="s">
        <v>35</v>
      </c>
      <c r="N113" s="9" t="s">
        <v>2387</v>
      </c>
      <c r="O113" s="10"/>
      <c r="P113" s="1"/>
    </row>
    <row r="114" spans="1:16" ht="21" customHeight="1">
      <c r="A114" s="10">
        <v>1</v>
      </c>
      <c r="B114" s="33" t="s">
        <v>2079</v>
      </c>
      <c r="C114" s="41" t="s">
        <v>28</v>
      </c>
      <c r="D114" s="8" t="s">
        <v>2388</v>
      </c>
      <c r="E114" s="41" t="s">
        <v>182</v>
      </c>
      <c r="F114" s="41" t="s">
        <v>2389</v>
      </c>
      <c r="G114" s="41" t="s">
        <v>507</v>
      </c>
      <c r="H114" s="8" t="s">
        <v>67</v>
      </c>
      <c r="I114" s="70" t="s">
        <v>54</v>
      </c>
      <c r="J114" s="70"/>
      <c r="K114" s="70"/>
      <c r="L114" s="41" t="s">
        <v>2050</v>
      </c>
      <c r="M114" s="41" t="s">
        <v>61</v>
      </c>
      <c r="O114" s="10"/>
      <c r="P114" s="1"/>
    </row>
    <row r="115" spans="1:16" ht="21" hidden="1" customHeight="1">
      <c r="A115" s="10">
        <v>1</v>
      </c>
      <c r="B115" s="33" t="s">
        <v>2079</v>
      </c>
      <c r="C115" s="41" t="s">
        <v>93</v>
      </c>
      <c r="D115" s="8" t="s">
        <v>2390</v>
      </c>
      <c r="E115" s="41" t="s">
        <v>2100</v>
      </c>
      <c r="F115" s="41" t="s">
        <v>2391</v>
      </c>
      <c r="G115" s="41" t="s">
        <v>91</v>
      </c>
      <c r="H115" s="8" t="s">
        <v>67</v>
      </c>
      <c r="I115" s="70"/>
      <c r="J115" s="70"/>
      <c r="K115" s="70"/>
      <c r="L115" s="41" t="s">
        <v>55</v>
      </c>
      <c r="M115" s="41"/>
      <c r="N115" s="9" t="s">
        <v>974</v>
      </c>
      <c r="O115" s="10"/>
      <c r="P115" s="1"/>
    </row>
    <row r="116" spans="1:16" ht="21" hidden="1" customHeight="1">
      <c r="A116" s="10">
        <v>1</v>
      </c>
      <c r="B116" s="33" t="s">
        <v>2202</v>
      </c>
      <c r="C116" s="41" t="s">
        <v>93</v>
      </c>
      <c r="D116" s="8" t="s">
        <v>2392</v>
      </c>
      <c r="E116" s="41" t="s">
        <v>2393</v>
      </c>
      <c r="F116" s="41">
        <v>51985468551</v>
      </c>
      <c r="G116" s="41" t="s">
        <v>310</v>
      </c>
      <c r="H116" s="8" t="s">
        <v>47</v>
      </c>
      <c r="I116" s="70"/>
      <c r="J116" s="70"/>
      <c r="K116" s="70"/>
      <c r="L116" s="41" t="s">
        <v>55</v>
      </c>
      <c r="M116" s="41"/>
      <c r="N116" s="9" t="s">
        <v>2394</v>
      </c>
      <c r="O116" s="10"/>
      <c r="P116" s="1"/>
    </row>
    <row r="117" spans="1:16" ht="21" customHeight="1">
      <c r="A117" s="10">
        <v>1</v>
      </c>
      <c r="B117" s="33" t="s">
        <v>2202</v>
      </c>
      <c r="C117" s="41" t="s">
        <v>28</v>
      </c>
      <c r="D117" s="8" t="s">
        <v>2395</v>
      </c>
      <c r="E117" s="41" t="s">
        <v>623</v>
      </c>
      <c r="F117" s="41" t="s">
        <v>2396</v>
      </c>
      <c r="G117" s="41" t="s">
        <v>280</v>
      </c>
      <c r="H117" s="8" t="s">
        <v>33</v>
      </c>
      <c r="I117" s="70"/>
      <c r="J117" s="70"/>
      <c r="K117" s="70"/>
      <c r="L117" s="41" t="s">
        <v>49</v>
      </c>
      <c r="M117" s="41" t="s">
        <v>61</v>
      </c>
      <c r="N117" s="9" t="s">
        <v>2397</v>
      </c>
      <c r="O117" s="10"/>
      <c r="P117" s="1"/>
    </row>
    <row r="118" spans="1:16" ht="21" customHeight="1">
      <c r="A118" s="10">
        <v>1</v>
      </c>
      <c r="B118" s="33" t="s">
        <v>2202</v>
      </c>
      <c r="C118" s="41" t="s">
        <v>28</v>
      </c>
      <c r="D118" s="8" t="s">
        <v>2398</v>
      </c>
      <c r="E118" s="41" t="s">
        <v>39</v>
      </c>
      <c r="F118" s="41">
        <v>51982760763</v>
      </c>
      <c r="G118" s="41" t="s">
        <v>2399</v>
      </c>
      <c r="H118" s="8" t="s">
        <v>33</v>
      </c>
      <c r="I118" s="70" t="s">
        <v>2068</v>
      </c>
      <c r="J118" s="70"/>
      <c r="K118" s="65">
        <v>69.900000000000006</v>
      </c>
      <c r="L118" s="41" t="s">
        <v>55</v>
      </c>
      <c r="M118" s="41" t="s">
        <v>61</v>
      </c>
      <c r="N118" s="9" t="s">
        <v>2400</v>
      </c>
      <c r="O118" s="10"/>
      <c r="P118" s="1"/>
    </row>
    <row r="119" spans="1:16" ht="21" customHeight="1">
      <c r="A119" s="10">
        <v>1</v>
      </c>
      <c r="B119" s="33" t="s">
        <v>2202</v>
      </c>
      <c r="C119" s="41" t="s">
        <v>28</v>
      </c>
      <c r="D119" s="41" t="s">
        <v>2401</v>
      </c>
      <c r="E119" s="41" t="s">
        <v>300</v>
      </c>
      <c r="F119" s="41" t="s">
        <v>2402</v>
      </c>
      <c r="G119" s="41" t="s">
        <v>300</v>
      </c>
      <c r="H119" s="8" t="s">
        <v>206</v>
      </c>
      <c r="I119" s="70" t="s">
        <v>2403</v>
      </c>
      <c r="J119" s="70"/>
      <c r="K119" s="70"/>
      <c r="L119" s="41" t="s">
        <v>1152</v>
      </c>
      <c r="M119" s="41" t="s">
        <v>56</v>
      </c>
      <c r="N119" s="9" t="s">
        <v>2404</v>
      </c>
      <c r="O119" s="10"/>
      <c r="P119" s="1"/>
    </row>
    <row r="120" spans="1:16" ht="21" hidden="1" customHeight="1">
      <c r="A120" s="10">
        <v>1</v>
      </c>
      <c r="B120" s="33" t="s">
        <v>2202</v>
      </c>
      <c r="C120" s="41" t="s">
        <v>93</v>
      </c>
      <c r="D120" s="41" t="s">
        <v>2405</v>
      </c>
      <c r="E120" s="41" t="s">
        <v>1710</v>
      </c>
      <c r="F120" s="41" t="s">
        <v>2406</v>
      </c>
      <c r="G120" s="41" t="s">
        <v>85</v>
      </c>
      <c r="H120" s="8" t="s">
        <v>33</v>
      </c>
      <c r="I120" s="70"/>
      <c r="J120" s="70"/>
      <c r="K120" s="70"/>
      <c r="L120" s="41" t="s">
        <v>49</v>
      </c>
      <c r="M120" s="41"/>
      <c r="N120" s="9" t="s">
        <v>2407</v>
      </c>
      <c r="O120" s="10"/>
      <c r="P120" s="1"/>
    </row>
    <row r="121" spans="1:16" ht="21" customHeight="1">
      <c r="A121" s="10">
        <v>1</v>
      </c>
      <c r="B121" s="33" t="s">
        <v>2202</v>
      </c>
      <c r="C121" s="41" t="s">
        <v>28</v>
      </c>
      <c r="D121" s="41" t="s">
        <v>2408</v>
      </c>
      <c r="E121" s="41" t="s">
        <v>1242</v>
      </c>
      <c r="F121" s="41" t="s">
        <v>2409</v>
      </c>
      <c r="G121" s="41" t="s">
        <v>66</v>
      </c>
      <c r="H121" s="8" t="s">
        <v>206</v>
      </c>
      <c r="I121" s="70"/>
      <c r="J121" s="70"/>
      <c r="K121" s="70"/>
      <c r="L121" s="41" t="s">
        <v>49</v>
      </c>
      <c r="M121" s="41" t="s">
        <v>35</v>
      </c>
      <c r="N121" s="9" t="s">
        <v>2410</v>
      </c>
      <c r="O121" s="10"/>
      <c r="P121" s="1"/>
    </row>
    <row r="122" spans="1:16" ht="21" customHeight="1">
      <c r="A122" s="10">
        <v>1</v>
      </c>
      <c r="B122" s="33" t="s">
        <v>2202</v>
      </c>
      <c r="C122" s="41" t="s">
        <v>28</v>
      </c>
      <c r="D122" s="41" t="s">
        <v>2411</v>
      </c>
      <c r="E122" s="41" t="s">
        <v>776</v>
      </c>
      <c r="F122" s="41">
        <v>51996491888</v>
      </c>
      <c r="G122" s="41" t="s">
        <v>53</v>
      </c>
      <c r="H122" s="8" t="s">
        <v>33</v>
      </c>
      <c r="I122" s="70" t="s">
        <v>54</v>
      </c>
      <c r="J122" s="70"/>
      <c r="K122" s="70"/>
      <c r="L122" s="41" t="s">
        <v>55</v>
      </c>
      <c r="M122" s="41" t="s">
        <v>61</v>
      </c>
      <c r="N122" s="41" t="s">
        <v>61</v>
      </c>
      <c r="O122" s="10"/>
      <c r="P122" s="1"/>
    </row>
    <row r="123" spans="1:16" ht="21" customHeight="1">
      <c r="A123" s="10">
        <v>1</v>
      </c>
      <c r="B123" s="33" t="s">
        <v>2202</v>
      </c>
      <c r="C123" s="41" t="s">
        <v>28</v>
      </c>
      <c r="D123" s="41" t="s">
        <v>2412</v>
      </c>
      <c r="E123" s="41" t="s">
        <v>552</v>
      </c>
      <c r="F123" s="41">
        <v>51998441959</v>
      </c>
      <c r="G123" s="41" t="s">
        <v>91</v>
      </c>
      <c r="H123" s="8" t="s">
        <v>67</v>
      </c>
      <c r="I123" s="70" t="s">
        <v>2058</v>
      </c>
      <c r="J123" s="70"/>
      <c r="K123" s="70"/>
      <c r="L123" s="41" t="s">
        <v>55</v>
      </c>
      <c r="M123" s="41" t="s">
        <v>61</v>
      </c>
      <c r="N123" s="8" t="s">
        <v>2413</v>
      </c>
      <c r="O123" s="10"/>
      <c r="P123" s="1"/>
    </row>
    <row r="124" spans="1:16" ht="21" customHeight="1">
      <c r="A124" s="10">
        <v>1</v>
      </c>
      <c r="B124" s="33" t="s">
        <v>2202</v>
      </c>
      <c r="C124" s="41" t="s">
        <v>28</v>
      </c>
      <c r="D124" s="41" t="s">
        <v>2414</v>
      </c>
      <c r="E124" s="41" t="s">
        <v>39</v>
      </c>
      <c r="F124" s="41" t="s">
        <v>2415</v>
      </c>
      <c r="G124" s="41" t="s">
        <v>41</v>
      </c>
      <c r="H124" s="8" t="s">
        <v>33</v>
      </c>
      <c r="I124" s="70" t="s">
        <v>2227</v>
      </c>
      <c r="J124" s="70"/>
      <c r="K124" s="65">
        <v>99.9</v>
      </c>
      <c r="L124" s="41" t="s">
        <v>49</v>
      </c>
      <c r="M124" s="41" t="s">
        <v>61</v>
      </c>
      <c r="N124" s="8" t="s">
        <v>2416</v>
      </c>
      <c r="O124" s="10"/>
      <c r="P124" s="1"/>
    </row>
    <row r="125" spans="1:16" ht="21" customHeight="1">
      <c r="A125" s="10">
        <v>1</v>
      </c>
      <c r="B125" s="33" t="s">
        <v>2202</v>
      </c>
      <c r="C125" s="41" t="s">
        <v>28</v>
      </c>
      <c r="D125" s="41" t="s">
        <v>2417</v>
      </c>
      <c r="E125" s="41" t="s">
        <v>1134</v>
      </c>
      <c r="F125" s="41" t="s">
        <v>2418</v>
      </c>
      <c r="G125" s="41" t="s">
        <v>41</v>
      </c>
      <c r="H125" s="8" t="s">
        <v>33</v>
      </c>
      <c r="I125" s="70" t="s">
        <v>210</v>
      </c>
      <c r="J125" s="70"/>
      <c r="K125" s="70"/>
      <c r="L125" s="41" t="s">
        <v>49</v>
      </c>
      <c r="M125" s="41" t="s">
        <v>61</v>
      </c>
      <c r="N125" s="8" t="s">
        <v>2419</v>
      </c>
      <c r="O125" s="10"/>
      <c r="P125" s="1"/>
    </row>
    <row r="126" spans="1:16" ht="21" hidden="1" customHeight="1">
      <c r="A126" s="10">
        <v>1</v>
      </c>
      <c r="B126" s="33" t="s">
        <v>2202</v>
      </c>
      <c r="C126" s="41" t="s">
        <v>93</v>
      </c>
      <c r="D126" s="41" t="s">
        <v>2420</v>
      </c>
      <c r="E126" s="41" t="s">
        <v>1190</v>
      </c>
      <c r="F126" s="41" t="s">
        <v>2421</v>
      </c>
      <c r="G126" s="41" t="s">
        <v>41</v>
      </c>
      <c r="H126" s="8" t="s">
        <v>33</v>
      </c>
      <c r="I126" s="70"/>
      <c r="J126" s="70"/>
      <c r="K126" s="70"/>
      <c r="L126" s="41" t="s">
        <v>49</v>
      </c>
      <c r="M126" s="41"/>
      <c r="N126" s="8" t="s">
        <v>2422</v>
      </c>
      <c r="O126" s="10"/>
      <c r="P126" s="1"/>
    </row>
    <row r="127" spans="1:16" ht="21" hidden="1" customHeight="1">
      <c r="A127" s="10">
        <v>1</v>
      </c>
      <c r="B127" s="33" t="s">
        <v>2058</v>
      </c>
      <c r="C127" s="41" t="s">
        <v>93</v>
      </c>
      <c r="D127" s="41" t="s">
        <v>2423</v>
      </c>
      <c r="E127" s="41" t="s">
        <v>817</v>
      </c>
      <c r="F127" s="41" t="s">
        <v>2424</v>
      </c>
      <c r="G127" s="41" t="s">
        <v>41</v>
      </c>
      <c r="H127" s="8" t="s">
        <v>33</v>
      </c>
      <c r="I127" s="70"/>
      <c r="J127" s="70"/>
      <c r="K127" s="70"/>
      <c r="L127" s="41" t="s">
        <v>49</v>
      </c>
      <c r="M127" s="41"/>
      <c r="N127" s="10"/>
      <c r="O127" s="10"/>
      <c r="P127" s="1"/>
    </row>
    <row r="128" spans="1:16" ht="21" customHeight="1">
      <c r="A128" s="10">
        <v>1</v>
      </c>
      <c r="B128" s="33" t="s">
        <v>2058</v>
      </c>
      <c r="C128" s="41" t="s">
        <v>28</v>
      </c>
      <c r="D128" s="41" t="s">
        <v>2425</v>
      </c>
      <c r="E128" s="41" t="s">
        <v>1306</v>
      </c>
      <c r="F128" s="41">
        <v>51993392715</v>
      </c>
      <c r="G128" s="41" t="s">
        <v>53</v>
      </c>
      <c r="H128" s="8" t="s">
        <v>33</v>
      </c>
      <c r="I128" s="70"/>
      <c r="J128" s="70"/>
      <c r="K128" s="70"/>
      <c r="L128" s="41" t="s">
        <v>55</v>
      </c>
      <c r="M128" s="41" t="s">
        <v>128</v>
      </c>
      <c r="N128" s="9" t="s">
        <v>2426</v>
      </c>
      <c r="O128" s="8"/>
      <c r="P128" s="1"/>
    </row>
    <row r="129" spans="1:16" ht="21" customHeight="1">
      <c r="A129" s="10">
        <v>1</v>
      </c>
      <c r="B129" s="33" t="s">
        <v>2058</v>
      </c>
      <c r="C129" s="41" t="s">
        <v>28</v>
      </c>
      <c r="D129" s="41" t="s">
        <v>2427</v>
      </c>
      <c r="E129" s="41" t="s">
        <v>967</v>
      </c>
      <c r="F129" s="41" t="s">
        <v>2428</v>
      </c>
      <c r="G129" s="41" t="s">
        <v>53</v>
      </c>
      <c r="H129" s="8" t="s">
        <v>33</v>
      </c>
      <c r="I129" s="70"/>
      <c r="J129" s="70"/>
      <c r="K129" s="70"/>
      <c r="L129" s="41" t="s">
        <v>34</v>
      </c>
      <c r="M129" s="41" t="s">
        <v>35</v>
      </c>
      <c r="N129" s="9" t="s">
        <v>2429</v>
      </c>
      <c r="O129" s="8"/>
      <c r="P129" s="1"/>
    </row>
    <row r="130" spans="1:16" ht="21" customHeight="1">
      <c r="A130" s="10">
        <v>1</v>
      </c>
      <c r="B130" s="33" t="s">
        <v>2058</v>
      </c>
      <c r="C130" s="41" t="s">
        <v>28</v>
      </c>
      <c r="D130" s="41" t="s">
        <v>2430</v>
      </c>
      <c r="E130" s="41" t="s">
        <v>150</v>
      </c>
      <c r="F130" s="41" t="s">
        <v>2431</v>
      </c>
      <c r="G130" s="41" t="s">
        <v>91</v>
      </c>
      <c r="H130" s="8" t="s">
        <v>67</v>
      </c>
      <c r="I130" s="70"/>
      <c r="J130" s="70"/>
      <c r="K130" s="70"/>
      <c r="L130" s="41" t="s">
        <v>49</v>
      </c>
      <c r="M130" s="41" t="s">
        <v>111</v>
      </c>
      <c r="N130" s="9" t="s">
        <v>2432</v>
      </c>
      <c r="O130" s="8"/>
      <c r="P130" s="1"/>
    </row>
    <row r="131" spans="1:16" ht="21" customHeight="1">
      <c r="A131" s="10">
        <v>1</v>
      </c>
      <c r="B131" s="33" t="s">
        <v>2058</v>
      </c>
      <c r="C131" s="41" t="s">
        <v>28</v>
      </c>
      <c r="D131" s="41" t="s">
        <v>2433</v>
      </c>
      <c r="E131" s="41" t="s">
        <v>2100</v>
      </c>
      <c r="F131" s="41">
        <v>51991189537</v>
      </c>
      <c r="G131" s="41" t="s">
        <v>91</v>
      </c>
      <c r="H131" s="8" t="s">
        <v>33</v>
      </c>
      <c r="I131" s="70" t="s">
        <v>2088</v>
      </c>
      <c r="J131" s="70"/>
      <c r="K131" s="70"/>
      <c r="L131" s="41" t="s">
        <v>55</v>
      </c>
      <c r="M131" s="41" t="s">
        <v>61</v>
      </c>
      <c r="N131" s="9" t="s">
        <v>2434</v>
      </c>
      <c r="O131" s="8"/>
      <c r="P131" s="1"/>
    </row>
    <row r="132" spans="1:16" ht="21" customHeight="1">
      <c r="A132" s="10">
        <v>1</v>
      </c>
      <c r="B132" s="33" t="s">
        <v>2058</v>
      </c>
      <c r="C132" s="41" t="s">
        <v>28</v>
      </c>
      <c r="D132" s="41" t="s">
        <v>2435</v>
      </c>
      <c r="E132" s="41" t="s">
        <v>39</v>
      </c>
      <c r="F132" s="41" t="s">
        <v>2436</v>
      </c>
      <c r="G132" s="41" t="s">
        <v>41</v>
      </c>
      <c r="H132" s="8" t="s">
        <v>33</v>
      </c>
      <c r="I132" s="70" t="s">
        <v>210</v>
      </c>
      <c r="J132" s="70"/>
      <c r="K132" s="65">
        <v>99.9</v>
      </c>
      <c r="L132" s="41" t="s">
        <v>49</v>
      </c>
      <c r="M132" s="41" t="s">
        <v>128</v>
      </c>
      <c r="N132" s="9" t="s">
        <v>2437</v>
      </c>
      <c r="O132" s="8"/>
      <c r="P132" s="1"/>
    </row>
    <row r="133" spans="1:16" ht="21" hidden="1" customHeight="1">
      <c r="A133" s="10">
        <v>1</v>
      </c>
      <c r="B133" s="33" t="s">
        <v>2058</v>
      </c>
      <c r="C133" s="41" t="s">
        <v>93</v>
      </c>
      <c r="D133" s="41" t="s">
        <v>2438</v>
      </c>
      <c r="E133" s="41" t="s">
        <v>817</v>
      </c>
      <c r="F133" s="41">
        <v>51997816597</v>
      </c>
      <c r="G133" s="41" t="s">
        <v>41</v>
      </c>
      <c r="H133" s="8" t="s">
        <v>33</v>
      </c>
      <c r="I133" s="70"/>
      <c r="J133" s="70"/>
      <c r="K133" s="70"/>
      <c r="L133" s="41" t="s">
        <v>55</v>
      </c>
      <c r="M133" s="41"/>
      <c r="N133" s="9" t="s">
        <v>974</v>
      </c>
      <c r="O133" s="8"/>
      <c r="P133" s="1"/>
    </row>
    <row r="134" spans="1:16" ht="21" hidden="1" customHeight="1">
      <c r="A134" s="10">
        <v>1</v>
      </c>
      <c r="B134" s="33" t="s">
        <v>2058</v>
      </c>
      <c r="C134" s="41" t="s">
        <v>93</v>
      </c>
      <c r="D134" s="41" t="s">
        <v>2439</v>
      </c>
      <c r="E134" s="41" t="s">
        <v>39</v>
      </c>
      <c r="F134" s="41">
        <v>51995913542</v>
      </c>
      <c r="G134" s="41" t="s">
        <v>41</v>
      </c>
      <c r="H134" s="8" t="s">
        <v>33</v>
      </c>
      <c r="I134" s="70"/>
      <c r="J134" s="70"/>
      <c r="K134" s="70"/>
      <c r="L134" s="41" t="s">
        <v>55</v>
      </c>
      <c r="M134" s="41"/>
      <c r="N134" s="9" t="s">
        <v>2440</v>
      </c>
      <c r="O134" s="8"/>
      <c r="P134" s="1"/>
    </row>
    <row r="135" spans="1:16" ht="21" hidden="1" customHeight="1">
      <c r="A135" s="10">
        <v>1</v>
      </c>
      <c r="B135" s="33" t="s">
        <v>2058</v>
      </c>
      <c r="C135" s="41" t="s">
        <v>93</v>
      </c>
      <c r="D135" s="41" t="s">
        <v>2441</v>
      </c>
      <c r="E135" s="41" t="s">
        <v>454</v>
      </c>
      <c r="F135" s="41" t="s">
        <v>2442</v>
      </c>
      <c r="G135" s="41" t="s">
        <v>66</v>
      </c>
      <c r="H135" s="8" t="s">
        <v>67</v>
      </c>
      <c r="I135" s="70"/>
      <c r="J135" s="70"/>
      <c r="K135" s="70"/>
      <c r="L135" s="41" t="s">
        <v>49</v>
      </c>
      <c r="M135" s="41"/>
      <c r="N135" s="9" t="s">
        <v>2443</v>
      </c>
      <c r="O135" s="8"/>
      <c r="P135" s="1"/>
    </row>
    <row r="136" spans="1:16" ht="21" hidden="1" customHeight="1">
      <c r="A136" s="10">
        <v>1</v>
      </c>
      <c r="B136" s="33" t="s">
        <v>2058</v>
      </c>
      <c r="C136" s="41" t="s">
        <v>93</v>
      </c>
      <c r="D136" s="41" t="s">
        <v>2444</v>
      </c>
      <c r="E136" s="41" t="s">
        <v>615</v>
      </c>
      <c r="F136" s="41" t="s">
        <v>2445</v>
      </c>
      <c r="G136" s="41" t="s">
        <v>66</v>
      </c>
      <c r="H136" s="8" t="s">
        <v>67</v>
      </c>
      <c r="I136" s="70"/>
      <c r="J136" s="70"/>
      <c r="K136" s="70"/>
      <c r="L136" s="41" t="s">
        <v>49</v>
      </c>
      <c r="M136" s="41"/>
      <c r="N136" s="9" t="s">
        <v>2446</v>
      </c>
      <c r="O136" s="8"/>
      <c r="P136" s="1"/>
    </row>
    <row r="137" spans="1:16" ht="21" customHeight="1">
      <c r="A137" s="10">
        <v>1</v>
      </c>
      <c r="B137" s="33" t="s">
        <v>2058</v>
      </c>
      <c r="C137" s="41" t="s">
        <v>28</v>
      </c>
      <c r="D137" s="41" t="s">
        <v>2447</v>
      </c>
      <c r="E137" s="41" t="s">
        <v>1744</v>
      </c>
      <c r="F137" s="41" t="s">
        <v>2448</v>
      </c>
      <c r="G137" s="41" t="s">
        <v>73</v>
      </c>
      <c r="H137" s="8" t="s">
        <v>33</v>
      </c>
      <c r="I137" s="70"/>
      <c r="J137" s="70"/>
      <c r="K137" s="70"/>
      <c r="L137" s="41" t="s">
        <v>49</v>
      </c>
      <c r="M137" s="41" t="s">
        <v>56</v>
      </c>
      <c r="N137" s="9" t="s">
        <v>2449</v>
      </c>
      <c r="O137" s="8"/>
      <c r="P137" s="1"/>
    </row>
    <row r="138" spans="1:16" ht="21" hidden="1" customHeight="1">
      <c r="A138" s="10">
        <v>1</v>
      </c>
      <c r="B138" s="33" t="s">
        <v>2058</v>
      </c>
      <c r="C138" s="41" t="s">
        <v>93</v>
      </c>
      <c r="D138" s="41" t="s">
        <v>2450</v>
      </c>
      <c r="E138" s="41" t="s">
        <v>285</v>
      </c>
      <c r="F138" s="41" t="s">
        <v>2451</v>
      </c>
      <c r="G138" s="41" t="s">
        <v>66</v>
      </c>
      <c r="H138" s="8" t="s">
        <v>67</v>
      </c>
      <c r="I138" s="70"/>
      <c r="J138" s="70"/>
      <c r="K138" s="70"/>
      <c r="L138" s="41" t="s">
        <v>49</v>
      </c>
      <c r="M138" s="41"/>
      <c r="N138" s="9" t="s">
        <v>2452</v>
      </c>
      <c r="O138" s="8"/>
      <c r="P138" s="1"/>
    </row>
    <row r="139" spans="1:16" ht="21" hidden="1" customHeight="1">
      <c r="A139" s="10">
        <v>1</v>
      </c>
      <c r="B139" s="33" t="s">
        <v>2058</v>
      </c>
      <c r="C139" s="41" t="s">
        <v>93</v>
      </c>
      <c r="D139" s="41" t="s">
        <v>2453</v>
      </c>
      <c r="E139" s="41" t="s">
        <v>39</v>
      </c>
      <c r="F139" s="41">
        <v>51996462611</v>
      </c>
      <c r="G139" s="41" t="s">
        <v>41</v>
      </c>
      <c r="H139" s="8" t="s">
        <v>33</v>
      </c>
      <c r="I139" s="70"/>
      <c r="J139" s="70"/>
      <c r="K139" s="70"/>
      <c r="L139" s="41" t="s">
        <v>55</v>
      </c>
      <c r="M139" s="41"/>
      <c r="N139" s="9" t="s">
        <v>974</v>
      </c>
      <c r="O139" s="8"/>
      <c r="P139" s="1"/>
    </row>
    <row r="140" spans="1:16" ht="21" hidden="1" customHeight="1">
      <c r="A140" s="10">
        <v>1</v>
      </c>
      <c r="B140" s="33" t="s">
        <v>2058</v>
      </c>
      <c r="C140" s="41" t="s">
        <v>93</v>
      </c>
      <c r="D140" s="41" t="s">
        <v>2454</v>
      </c>
      <c r="E140" s="41" t="s">
        <v>1182</v>
      </c>
      <c r="F140" s="41" t="s">
        <v>2455</v>
      </c>
      <c r="G140" s="41" t="s">
        <v>147</v>
      </c>
      <c r="H140" s="8" t="s">
        <v>33</v>
      </c>
      <c r="I140" s="70"/>
      <c r="J140" s="70"/>
      <c r="K140" s="70"/>
      <c r="L140" s="41" t="s">
        <v>55</v>
      </c>
      <c r="M140" s="41"/>
      <c r="N140" s="9" t="s">
        <v>2456</v>
      </c>
      <c r="O140" s="8"/>
      <c r="P140" s="1"/>
    </row>
    <row r="141" spans="1:16" ht="21" customHeight="1">
      <c r="A141" s="10">
        <v>1</v>
      </c>
      <c r="B141" s="33" t="s">
        <v>2058</v>
      </c>
      <c r="C141" s="41" t="s">
        <v>28</v>
      </c>
      <c r="D141" s="41" t="s">
        <v>2457</v>
      </c>
      <c r="E141" s="41" t="s">
        <v>1623</v>
      </c>
      <c r="F141" s="41">
        <v>51990186133</v>
      </c>
      <c r="G141" s="41" t="s">
        <v>91</v>
      </c>
      <c r="H141" s="8" t="s">
        <v>67</v>
      </c>
      <c r="I141" s="70" t="s">
        <v>2138</v>
      </c>
      <c r="J141" s="70"/>
      <c r="K141" s="70"/>
      <c r="L141" s="41" t="s">
        <v>55</v>
      </c>
      <c r="M141" s="41" t="s">
        <v>56</v>
      </c>
      <c r="N141" s="9"/>
      <c r="O141" s="8"/>
      <c r="P141" s="1"/>
    </row>
    <row r="142" spans="1:16" ht="21" hidden="1" customHeight="1">
      <c r="A142" s="10">
        <v>1</v>
      </c>
      <c r="B142" s="33" t="s">
        <v>2058</v>
      </c>
      <c r="C142" s="41" t="s">
        <v>93</v>
      </c>
      <c r="D142" s="41" t="s">
        <v>2458</v>
      </c>
      <c r="E142" s="41" t="s">
        <v>157</v>
      </c>
      <c r="F142" s="41" t="s">
        <v>2459</v>
      </c>
      <c r="G142" s="41" t="s">
        <v>147</v>
      </c>
      <c r="H142" s="8" t="s">
        <v>33</v>
      </c>
      <c r="I142" s="70"/>
      <c r="J142" s="70"/>
      <c r="K142" s="70"/>
      <c r="L142" s="41" t="s">
        <v>49</v>
      </c>
      <c r="M142" s="41"/>
      <c r="N142" s="9" t="s">
        <v>2460</v>
      </c>
      <c r="O142" s="8"/>
      <c r="P142" s="1"/>
    </row>
    <row r="143" spans="1:16" ht="21" customHeight="1">
      <c r="A143" s="10">
        <v>1</v>
      </c>
      <c r="B143" s="33" t="s">
        <v>2058</v>
      </c>
      <c r="C143" s="41" t="s">
        <v>28</v>
      </c>
      <c r="D143" s="41" t="s">
        <v>2461</v>
      </c>
      <c r="E143" s="41" t="s">
        <v>122</v>
      </c>
      <c r="F143" s="41">
        <v>51996984022</v>
      </c>
      <c r="G143" s="41" t="s">
        <v>147</v>
      </c>
      <c r="H143" s="8" t="s">
        <v>33</v>
      </c>
      <c r="I143" s="70" t="s">
        <v>572</v>
      </c>
      <c r="J143" s="70"/>
      <c r="K143" s="70"/>
      <c r="L143" s="41" t="s">
        <v>55</v>
      </c>
      <c r="M143" s="41" t="s">
        <v>61</v>
      </c>
      <c r="N143" s="9" t="s">
        <v>2462</v>
      </c>
      <c r="O143" s="8"/>
      <c r="P143" s="1"/>
    </row>
    <row r="144" spans="1:16" ht="21" customHeight="1">
      <c r="A144" s="10">
        <v>1</v>
      </c>
      <c r="B144" s="33" t="s">
        <v>2058</v>
      </c>
      <c r="C144" s="41" t="s">
        <v>28</v>
      </c>
      <c r="D144" s="41" t="s">
        <v>2463</v>
      </c>
      <c r="E144" s="41" t="s">
        <v>182</v>
      </c>
      <c r="F144" s="41" t="s">
        <v>2464</v>
      </c>
      <c r="G144" s="41" t="s">
        <v>66</v>
      </c>
      <c r="H144" s="8" t="s">
        <v>67</v>
      </c>
      <c r="I144" s="70"/>
      <c r="J144" s="70" t="s">
        <v>2088</v>
      </c>
      <c r="K144" s="70"/>
      <c r="L144" s="41" t="s">
        <v>34</v>
      </c>
      <c r="M144" s="41" t="s">
        <v>80</v>
      </c>
      <c r="N144" s="68" t="s">
        <v>2465</v>
      </c>
      <c r="O144" s="8"/>
      <c r="P144" s="1"/>
    </row>
    <row r="145" spans="1:16" ht="21" customHeight="1">
      <c r="A145" s="10">
        <v>1</v>
      </c>
      <c r="B145" s="33" t="s">
        <v>2058</v>
      </c>
      <c r="C145" s="41" t="s">
        <v>28</v>
      </c>
      <c r="D145" s="41" t="s">
        <v>2466</v>
      </c>
      <c r="E145" s="41" t="s">
        <v>363</v>
      </c>
      <c r="F145" s="41" t="s">
        <v>2467</v>
      </c>
      <c r="G145" s="41" t="s">
        <v>66</v>
      </c>
      <c r="H145" s="8" t="s">
        <v>67</v>
      </c>
      <c r="I145" s="70"/>
      <c r="J145" s="70" t="s">
        <v>2088</v>
      </c>
      <c r="K145" s="70"/>
      <c r="L145" s="41" t="s">
        <v>55</v>
      </c>
      <c r="M145" s="41" t="s">
        <v>128</v>
      </c>
      <c r="N145" s="9" t="s">
        <v>2468</v>
      </c>
      <c r="O145" s="8"/>
      <c r="P145" s="1"/>
    </row>
    <row r="146" spans="1:16" ht="21" hidden="1" customHeight="1">
      <c r="A146" s="10">
        <v>1</v>
      </c>
      <c r="B146" s="33" t="s">
        <v>2058</v>
      </c>
      <c r="C146" s="41" t="s">
        <v>93</v>
      </c>
      <c r="D146" s="41" t="s">
        <v>2469</v>
      </c>
      <c r="E146" s="41" t="s">
        <v>1474</v>
      </c>
      <c r="F146" s="41" t="s">
        <v>2470</v>
      </c>
      <c r="G146" s="41" t="s">
        <v>85</v>
      </c>
      <c r="H146" s="8" t="s">
        <v>33</v>
      </c>
      <c r="I146" s="70"/>
      <c r="J146" s="70"/>
      <c r="K146" s="70"/>
      <c r="L146" s="41" t="s">
        <v>49</v>
      </c>
      <c r="M146" s="41"/>
      <c r="N146" s="9" t="s">
        <v>342</v>
      </c>
      <c r="O146" s="8"/>
      <c r="P146" s="1"/>
    </row>
    <row r="147" spans="1:16" ht="21" hidden="1" customHeight="1">
      <c r="A147" s="10">
        <v>1</v>
      </c>
      <c r="B147" s="33" t="s">
        <v>2335</v>
      </c>
      <c r="C147" s="41" t="s">
        <v>93</v>
      </c>
      <c r="D147" s="41" t="s">
        <v>2471</v>
      </c>
      <c r="E147" s="41" t="s">
        <v>2472</v>
      </c>
      <c r="F147" s="41">
        <v>51996075324</v>
      </c>
      <c r="G147" s="41" t="s">
        <v>85</v>
      </c>
      <c r="H147" s="8" t="s">
        <v>33</v>
      </c>
      <c r="I147" s="70"/>
      <c r="J147" s="70"/>
      <c r="K147" s="70"/>
      <c r="L147" s="41" t="s">
        <v>55</v>
      </c>
      <c r="M147" s="41"/>
      <c r="N147" s="9" t="s">
        <v>675</v>
      </c>
      <c r="O147" s="8"/>
      <c r="P147" s="1"/>
    </row>
    <row r="148" spans="1:16" ht="21" hidden="1" customHeight="1">
      <c r="A148" s="10">
        <v>1</v>
      </c>
      <c r="B148" s="33" t="s">
        <v>2335</v>
      </c>
      <c r="C148" s="41" t="s">
        <v>93</v>
      </c>
      <c r="D148" s="41" t="s">
        <v>2473</v>
      </c>
      <c r="E148" s="41" t="s">
        <v>1542</v>
      </c>
      <c r="F148" s="41" t="s">
        <v>2474</v>
      </c>
      <c r="G148" s="41" t="s">
        <v>41</v>
      </c>
      <c r="H148" s="8" t="s">
        <v>33</v>
      </c>
      <c r="I148" s="70"/>
      <c r="J148" s="70"/>
      <c r="K148" s="70"/>
      <c r="L148" s="41" t="s">
        <v>49</v>
      </c>
      <c r="M148" s="41"/>
      <c r="N148" s="9" t="s">
        <v>2475</v>
      </c>
      <c r="O148" s="8"/>
      <c r="P148" s="1"/>
    </row>
    <row r="149" spans="1:16" ht="21" hidden="1" customHeight="1">
      <c r="A149" s="10">
        <v>1</v>
      </c>
      <c r="B149" s="33" t="s">
        <v>2335</v>
      </c>
      <c r="C149" s="41" t="s">
        <v>93</v>
      </c>
      <c r="D149" s="41" t="s">
        <v>2476</v>
      </c>
      <c r="E149" s="41" t="s">
        <v>615</v>
      </c>
      <c r="F149" s="41" t="s">
        <v>2477</v>
      </c>
      <c r="G149" s="41" t="s">
        <v>66</v>
      </c>
      <c r="H149" s="8" t="s">
        <v>67</v>
      </c>
      <c r="I149" s="70"/>
      <c r="J149" s="70"/>
      <c r="K149" s="70"/>
      <c r="L149" s="41" t="s">
        <v>49</v>
      </c>
      <c r="M149" s="41"/>
      <c r="N149" s="9" t="s">
        <v>2478</v>
      </c>
      <c r="O149" s="8"/>
      <c r="P149" s="1"/>
    </row>
    <row r="150" spans="1:16" ht="21" customHeight="1">
      <c r="A150" s="10">
        <v>1</v>
      </c>
      <c r="B150" s="33" t="s">
        <v>2335</v>
      </c>
      <c r="C150" s="41" t="s">
        <v>28</v>
      </c>
      <c r="D150" s="41" t="s">
        <v>2479</v>
      </c>
      <c r="E150" s="41" t="s">
        <v>430</v>
      </c>
      <c r="F150" s="41" t="s">
        <v>2480</v>
      </c>
      <c r="G150" s="41" t="s">
        <v>66</v>
      </c>
      <c r="H150" s="8" t="s">
        <v>67</v>
      </c>
      <c r="I150" s="70" t="s">
        <v>2138</v>
      </c>
      <c r="J150" s="70"/>
      <c r="K150" s="70"/>
      <c r="L150" s="41" t="s">
        <v>34</v>
      </c>
      <c r="M150" s="41" t="s">
        <v>128</v>
      </c>
      <c r="N150" s="9" t="s">
        <v>484</v>
      </c>
      <c r="O150" s="8"/>
      <c r="P150" s="1"/>
    </row>
    <row r="151" spans="1:16" ht="21" customHeight="1">
      <c r="A151" s="10">
        <v>1</v>
      </c>
      <c r="B151" s="33" t="s">
        <v>2335</v>
      </c>
      <c r="C151" s="41" t="s">
        <v>28</v>
      </c>
      <c r="D151" s="41" t="s">
        <v>2481</v>
      </c>
      <c r="E151" s="41" t="s">
        <v>2482</v>
      </c>
      <c r="F151" s="41" t="s">
        <v>2483</v>
      </c>
      <c r="G151" s="41" t="s">
        <v>32</v>
      </c>
      <c r="H151" s="8" t="s">
        <v>33</v>
      </c>
      <c r="I151" s="70" t="s">
        <v>2484</v>
      </c>
      <c r="J151" s="70"/>
      <c r="K151" s="70"/>
      <c r="L151" s="41" t="s">
        <v>49</v>
      </c>
      <c r="M151" s="41" t="s">
        <v>61</v>
      </c>
      <c r="N151" s="8" t="s">
        <v>2485</v>
      </c>
      <c r="O151" s="8"/>
      <c r="P151" s="1"/>
    </row>
    <row r="152" spans="1:16" ht="21" customHeight="1">
      <c r="A152" s="10">
        <v>1</v>
      </c>
      <c r="B152" s="33" t="s">
        <v>2335</v>
      </c>
      <c r="C152" s="41" t="s">
        <v>28</v>
      </c>
      <c r="D152" s="41" t="s">
        <v>2486</v>
      </c>
      <c r="E152" s="41" t="s">
        <v>52</v>
      </c>
      <c r="F152" s="41" t="s">
        <v>2487</v>
      </c>
      <c r="G152" s="41" t="s">
        <v>53</v>
      </c>
      <c r="H152" s="8" t="s">
        <v>33</v>
      </c>
      <c r="I152" s="70" t="s">
        <v>2484</v>
      </c>
      <c r="J152" s="70"/>
      <c r="K152" s="70"/>
      <c r="L152" s="41" t="s">
        <v>49</v>
      </c>
      <c r="M152" s="41" t="s">
        <v>35</v>
      </c>
      <c r="N152" s="8" t="s">
        <v>2488</v>
      </c>
      <c r="O152" s="8"/>
      <c r="P152" s="1"/>
    </row>
    <row r="153" spans="1:16" ht="21" customHeight="1">
      <c r="A153" s="10">
        <v>1</v>
      </c>
      <c r="B153" s="33" t="s">
        <v>2335</v>
      </c>
      <c r="C153" s="41" t="s">
        <v>28</v>
      </c>
      <c r="D153" s="41" t="s">
        <v>2489</v>
      </c>
      <c r="E153" s="41" t="s">
        <v>454</v>
      </c>
      <c r="F153" s="41" t="s">
        <v>2490</v>
      </c>
      <c r="G153" s="41" t="s">
        <v>66</v>
      </c>
      <c r="H153" s="8" t="s">
        <v>67</v>
      </c>
      <c r="I153" s="70" t="s">
        <v>2491</v>
      </c>
      <c r="J153" s="70"/>
      <c r="K153" s="70"/>
      <c r="L153" s="41" t="s">
        <v>49</v>
      </c>
      <c r="M153" s="41" t="s">
        <v>128</v>
      </c>
      <c r="N153" s="8" t="s">
        <v>2206</v>
      </c>
      <c r="O153" s="8"/>
      <c r="P153" s="1"/>
    </row>
    <row r="154" spans="1:16" ht="21" customHeight="1">
      <c r="A154" s="10">
        <v>1</v>
      </c>
      <c r="B154" s="33" t="s">
        <v>2335</v>
      </c>
      <c r="C154" s="41" t="s">
        <v>28</v>
      </c>
      <c r="D154" s="41" t="s">
        <v>2492</v>
      </c>
      <c r="E154" s="41" t="s">
        <v>226</v>
      </c>
      <c r="F154" s="41" t="s">
        <v>2493</v>
      </c>
      <c r="G154" s="41" t="s">
        <v>756</v>
      </c>
      <c r="H154" s="8" t="s">
        <v>67</v>
      </c>
      <c r="I154" s="70" t="s">
        <v>2088</v>
      </c>
      <c r="J154" s="70"/>
      <c r="K154" s="70"/>
      <c r="L154" s="41" t="s">
        <v>34</v>
      </c>
      <c r="M154" s="41" t="s">
        <v>35</v>
      </c>
      <c r="N154" s="8" t="s">
        <v>2494</v>
      </c>
      <c r="O154" s="8"/>
      <c r="P154" s="1"/>
    </row>
    <row r="155" spans="1:16" ht="21" hidden="1" customHeight="1">
      <c r="A155" s="10">
        <v>1</v>
      </c>
      <c r="B155" s="33" t="s">
        <v>2335</v>
      </c>
      <c r="C155" s="41" t="s">
        <v>93</v>
      </c>
      <c r="D155" s="41" t="s">
        <v>2495</v>
      </c>
      <c r="E155" s="41" t="s">
        <v>186</v>
      </c>
      <c r="F155" s="41" t="s">
        <v>2496</v>
      </c>
      <c r="G155" s="41" t="s">
        <v>66</v>
      </c>
      <c r="H155" s="8" t="s">
        <v>67</v>
      </c>
      <c r="I155" s="70"/>
      <c r="J155" s="70"/>
      <c r="K155" s="70"/>
      <c r="L155" s="41" t="s">
        <v>49</v>
      </c>
      <c r="M155" s="41"/>
      <c r="N155" s="8" t="s">
        <v>2497</v>
      </c>
      <c r="O155" s="8"/>
      <c r="P155" s="1"/>
    </row>
    <row r="156" spans="1:16" ht="21" hidden="1" customHeight="1">
      <c r="A156" s="10">
        <v>1</v>
      </c>
      <c r="B156" s="33" t="s">
        <v>2335</v>
      </c>
      <c r="C156" s="41" t="s">
        <v>93</v>
      </c>
      <c r="D156" s="41" t="s">
        <v>2498</v>
      </c>
      <c r="E156" s="41" t="s">
        <v>2499</v>
      </c>
      <c r="F156" s="41" t="s">
        <v>2500</v>
      </c>
      <c r="G156" s="41" t="s">
        <v>85</v>
      </c>
      <c r="H156" s="8" t="s">
        <v>33</v>
      </c>
      <c r="I156" s="70"/>
      <c r="J156" s="70"/>
      <c r="K156" s="70"/>
      <c r="L156" s="41" t="s">
        <v>49</v>
      </c>
      <c r="M156" s="41"/>
      <c r="N156" s="8" t="s">
        <v>2501</v>
      </c>
      <c r="O156" s="8"/>
      <c r="P156" s="1"/>
    </row>
    <row r="157" spans="1:16" ht="21" customHeight="1">
      <c r="A157" s="10">
        <v>1</v>
      </c>
      <c r="B157" s="33" t="s">
        <v>2335</v>
      </c>
      <c r="C157" s="41" t="s">
        <v>28</v>
      </c>
      <c r="D157" s="41" t="s">
        <v>2502</v>
      </c>
      <c r="E157" s="41" t="s">
        <v>145</v>
      </c>
      <c r="F157" s="41" t="s">
        <v>2503</v>
      </c>
      <c r="G157" s="41" t="s">
        <v>85</v>
      </c>
      <c r="H157" s="8" t="s">
        <v>33</v>
      </c>
      <c r="I157" s="70" t="s">
        <v>2227</v>
      </c>
      <c r="J157" s="70"/>
      <c r="K157" s="70"/>
      <c r="L157" s="41" t="s">
        <v>34</v>
      </c>
      <c r="M157" s="41" t="s">
        <v>80</v>
      </c>
      <c r="N157" s="8" t="s">
        <v>2504</v>
      </c>
      <c r="O157" s="8"/>
      <c r="P157" s="1"/>
    </row>
    <row r="158" spans="1:16" ht="21" customHeight="1">
      <c r="A158" s="10">
        <v>1</v>
      </c>
      <c r="B158" s="33" t="s">
        <v>2335</v>
      </c>
      <c r="C158" s="41" t="s">
        <v>28</v>
      </c>
      <c r="D158" s="41" t="s">
        <v>2505</v>
      </c>
      <c r="E158" s="41" t="s">
        <v>118</v>
      </c>
      <c r="F158" s="41">
        <v>51992759052</v>
      </c>
      <c r="G158" s="41" t="s">
        <v>66</v>
      </c>
      <c r="H158" s="8" t="s">
        <v>67</v>
      </c>
      <c r="I158" s="70" t="s">
        <v>2138</v>
      </c>
      <c r="J158" s="70"/>
      <c r="K158" s="70"/>
      <c r="L158" s="41" t="s">
        <v>55</v>
      </c>
      <c r="M158" s="41" t="s">
        <v>128</v>
      </c>
      <c r="N158" s="8" t="s">
        <v>2506</v>
      </c>
      <c r="O158" s="8"/>
      <c r="P158" s="1"/>
    </row>
    <row r="159" spans="1:16" ht="21" hidden="1" customHeight="1">
      <c r="A159" s="10">
        <v>1</v>
      </c>
      <c r="B159" s="33" t="s">
        <v>2507</v>
      </c>
      <c r="C159" s="41" t="s">
        <v>93</v>
      </c>
      <c r="D159" s="41" t="s">
        <v>2508</v>
      </c>
      <c r="E159" s="41" t="s">
        <v>407</v>
      </c>
      <c r="F159" s="41" t="s">
        <v>2509</v>
      </c>
      <c r="G159" s="41" t="s">
        <v>66</v>
      </c>
      <c r="H159" s="8" t="s">
        <v>67</v>
      </c>
      <c r="I159" s="70"/>
      <c r="J159" s="70"/>
      <c r="K159" s="70"/>
      <c r="L159" s="41" t="s">
        <v>55</v>
      </c>
      <c r="M159" s="41"/>
      <c r="N159" s="8" t="s">
        <v>2510</v>
      </c>
      <c r="O159" s="8"/>
      <c r="P159" s="1"/>
    </row>
    <row r="160" spans="1:16" ht="21" hidden="1" customHeight="1">
      <c r="A160" s="10">
        <v>1</v>
      </c>
      <c r="B160" s="33" t="s">
        <v>2335</v>
      </c>
      <c r="C160" s="41" t="s">
        <v>93</v>
      </c>
      <c r="D160" s="41" t="s">
        <v>2511</v>
      </c>
      <c r="E160" s="41" t="s">
        <v>992</v>
      </c>
      <c r="F160" s="41" t="s">
        <v>2512</v>
      </c>
      <c r="G160" s="41" t="s">
        <v>66</v>
      </c>
      <c r="H160" s="8" t="s">
        <v>67</v>
      </c>
      <c r="I160" s="70"/>
      <c r="J160" s="70"/>
      <c r="K160" s="70"/>
      <c r="L160" s="41" t="s">
        <v>49</v>
      </c>
      <c r="M160" s="41"/>
      <c r="N160" s="8" t="s">
        <v>2513</v>
      </c>
      <c r="O160" s="8"/>
      <c r="P160" s="1"/>
    </row>
    <row r="161" spans="1:16" ht="21" customHeight="1">
      <c r="A161" s="10">
        <v>1</v>
      </c>
      <c r="B161" s="33" t="s">
        <v>2335</v>
      </c>
      <c r="C161" s="41" t="s">
        <v>28</v>
      </c>
      <c r="D161" s="41" t="s">
        <v>2514</v>
      </c>
      <c r="E161" s="41" t="s">
        <v>39</v>
      </c>
      <c r="F161" s="41" t="s">
        <v>2515</v>
      </c>
      <c r="G161" s="41" t="s">
        <v>41</v>
      </c>
      <c r="H161" s="8" t="s">
        <v>33</v>
      </c>
      <c r="I161" s="70" t="s">
        <v>2068</v>
      </c>
      <c r="J161" s="70"/>
      <c r="K161" s="65">
        <v>79.900000000000006</v>
      </c>
      <c r="L161" s="41" t="s">
        <v>34</v>
      </c>
      <c r="M161" s="41" t="s">
        <v>128</v>
      </c>
      <c r="N161" s="8" t="s">
        <v>2516</v>
      </c>
      <c r="O161" s="8"/>
      <c r="P161" s="1"/>
    </row>
    <row r="162" spans="1:16" ht="21" hidden="1" customHeight="1">
      <c r="A162" s="10">
        <v>1</v>
      </c>
      <c r="B162" s="33" t="s">
        <v>2335</v>
      </c>
      <c r="C162" s="41" t="s">
        <v>93</v>
      </c>
      <c r="D162" s="41" t="s">
        <v>2517</v>
      </c>
      <c r="E162" s="41" t="s">
        <v>209</v>
      </c>
      <c r="F162" s="41" t="s">
        <v>2518</v>
      </c>
      <c r="G162" s="41" t="s">
        <v>85</v>
      </c>
      <c r="H162" s="8" t="s">
        <v>33</v>
      </c>
      <c r="I162" s="70"/>
      <c r="J162" s="70"/>
      <c r="K162" s="70"/>
      <c r="L162" s="41" t="s">
        <v>49</v>
      </c>
      <c r="M162" s="41"/>
      <c r="N162" s="8" t="s">
        <v>2519</v>
      </c>
      <c r="O162" s="8"/>
      <c r="P162" s="1"/>
    </row>
    <row r="163" spans="1:16" ht="21" hidden="1" customHeight="1">
      <c r="A163" s="10">
        <v>1</v>
      </c>
      <c r="B163" s="33" t="s">
        <v>2335</v>
      </c>
      <c r="C163" s="41" t="s">
        <v>93</v>
      </c>
      <c r="D163" s="41" t="s">
        <v>2520</v>
      </c>
      <c r="E163" s="41" t="s">
        <v>145</v>
      </c>
      <c r="F163" s="41" t="s">
        <v>2521</v>
      </c>
      <c r="G163" s="41" t="s">
        <v>32</v>
      </c>
      <c r="H163" s="8" t="s">
        <v>33</v>
      </c>
      <c r="I163" s="70"/>
      <c r="J163" s="70"/>
      <c r="K163" s="70"/>
      <c r="L163" s="41" t="s">
        <v>49</v>
      </c>
      <c r="M163" s="41"/>
      <c r="N163" s="8" t="s">
        <v>2522</v>
      </c>
      <c r="O163" s="8"/>
      <c r="P163" s="1"/>
    </row>
    <row r="164" spans="1:16" ht="21" customHeight="1">
      <c r="A164" s="10">
        <v>1</v>
      </c>
      <c r="B164" s="33" t="s">
        <v>2088</v>
      </c>
      <c r="C164" s="41" t="s">
        <v>28</v>
      </c>
      <c r="D164" s="41" t="s">
        <v>2523</v>
      </c>
      <c r="E164" s="41" t="s">
        <v>182</v>
      </c>
      <c r="F164" s="41">
        <v>51993238231</v>
      </c>
      <c r="G164" s="41" t="s">
        <v>66</v>
      </c>
      <c r="H164" s="8" t="s">
        <v>67</v>
      </c>
      <c r="I164" s="70" t="s">
        <v>2138</v>
      </c>
      <c r="J164" s="70"/>
      <c r="K164" s="70"/>
      <c r="L164" s="41" t="s">
        <v>55</v>
      </c>
      <c r="M164" s="41" t="s">
        <v>61</v>
      </c>
      <c r="N164" s="10" t="s">
        <v>2524</v>
      </c>
      <c r="O164" s="8"/>
      <c r="P164" s="1"/>
    </row>
    <row r="165" spans="1:16" ht="21" hidden="1" customHeight="1">
      <c r="A165" s="10">
        <v>1</v>
      </c>
      <c r="B165" s="33" t="s">
        <v>2088</v>
      </c>
      <c r="C165" s="41" t="s">
        <v>93</v>
      </c>
      <c r="D165" s="41" t="s">
        <v>2525</v>
      </c>
      <c r="E165" s="41" t="s">
        <v>2526</v>
      </c>
      <c r="F165" s="41" t="s">
        <v>2527</v>
      </c>
      <c r="G165" s="41" t="s">
        <v>91</v>
      </c>
      <c r="H165" s="8" t="s">
        <v>67</v>
      </c>
      <c r="I165" s="70"/>
      <c r="J165" s="70"/>
      <c r="K165" s="70"/>
      <c r="L165" s="41" t="s">
        <v>55</v>
      </c>
      <c r="M165" s="41"/>
      <c r="N165" s="10" t="s">
        <v>974</v>
      </c>
      <c r="O165" s="8"/>
      <c r="P165" s="1"/>
    </row>
    <row r="166" spans="1:16" ht="21" hidden="1" customHeight="1">
      <c r="A166" s="10">
        <v>1</v>
      </c>
      <c r="B166" s="33" t="s">
        <v>2088</v>
      </c>
      <c r="C166" s="41" t="s">
        <v>93</v>
      </c>
      <c r="D166" s="41" t="s">
        <v>419</v>
      </c>
      <c r="E166" s="41" t="s">
        <v>407</v>
      </c>
      <c r="F166" s="41">
        <v>51986599829</v>
      </c>
      <c r="G166" s="41" t="s">
        <v>66</v>
      </c>
      <c r="H166" s="8" t="s">
        <v>67</v>
      </c>
      <c r="I166" s="70"/>
      <c r="J166" s="70"/>
      <c r="K166" s="70"/>
      <c r="L166" s="41" t="s">
        <v>55</v>
      </c>
      <c r="M166" s="41"/>
      <c r="N166" s="10" t="s">
        <v>2528</v>
      </c>
      <c r="O166" s="8"/>
      <c r="P166" s="1"/>
    </row>
    <row r="167" spans="1:16" ht="21" customHeight="1">
      <c r="A167" s="10">
        <v>1</v>
      </c>
      <c r="B167" s="33" t="s">
        <v>2088</v>
      </c>
      <c r="C167" s="41" t="s">
        <v>28</v>
      </c>
      <c r="D167" s="41" t="s">
        <v>2529</v>
      </c>
      <c r="E167" s="41" t="s">
        <v>454</v>
      </c>
      <c r="F167" s="41">
        <v>51981511114</v>
      </c>
      <c r="G167" s="41" t="s">
        <v>66</v>
      </c>
      <c r="H167" s="8" t="s">
        <v>67</v>
      </c>
      <c r="I167" s="70"/>
      <c r="J167" s="70"/>
      <c r="K167" s="70"/>
      <c r="L167" s="41" t="s">
        <v>55</v>
      </c>
      <c r="M167" s="41" t="s">
        <v>35</v>
      </c>
      <c r="N167" s="10" t="s">
        <v>2530</v>
      </c>
      <c r="O167" s="8"/>
      <c r="P167" s="1"/>
    </row>
    <row r="168" spans="1:16" ht="21" customHeight="1">
      <c r="A168" s="10">
        <v>1</v>
      </c>
      <c r="B168" s="33" t="s">
        <v>2088</v>
      </c>
      <c r="C168" s="41" t="s">
        <v>28</v>
      </c>
      <c r="D168" s="41" t="s">
        <v>2531</v>
      </c>
      <c r="E168" s="41" t="s">
        <v>1744</v>
      </c>
      <c r="F168" s="41">
        <v>51993358042</v>
      </c>
      <c r="G168" s="41" t="s">
        <v>147</v>
      </c>
      <c r="H168" s="8" t="s">
        <v>33</v>
      </c>
      <c r="I168" s="70" t="s">
        <v>54</v>
      </c>
      <c r="J168" s="70"/>
      <c r="K168" s="70"/>
      <c r="L168" s="41" t="s">
        <v>55</v>
      </c>
      <c r="M168" s="41" t="s">
        <v>128</v>
      </c>
      <c r="N168" s="10" t="s">
        <v>2532</v>
      </c>
      <c r="O168" s="8"/>
      <c r="P168" s="1"/>
    </row>
    <row r="169" spans="1:16" ht="21" customHeight="1">
      <c r="A169" s="10">
        <v>1</v>
      </c>
      <c r="B169" s="33" t="s">
        <v>2088</v>
      </c>
      <c r="C169" s="41" t="s">
        <v>28</v>
      </c>
      <c r="D169" s="41" t="s">
        <v>2533</v>
      </c>
      <c r="E169" s="41" t="s">
        <v>2100</v>
      </c>
      <c r="F169" s="41">
        <v>51992690804</v>
      </c>
      <c r="G169" s="41" t="s">
        <v>91</v>
      </c>
      <c r="H169" s="8" t="s">
        <v>67</v>
      </c>
      <c r="I169" s="70" t="s">
        <v>2138</v>
      </c>
      <c r="J169" s="70"/>
      <c r="K169" s="70"/>
      <c r="L169" s="41" t="s">
        <v>55</v>
      </c>
      <c r="M169" s="41" t="s">
        <v>111</v>
      </c>
      <c r="N169" s="10"/>
      <c r="O169" s="8"/>
      <c r="P169" s="1"/>
    </row>
    <row r="170" spans="1:16" ht="21" hidden="1" customHeight="1">
      <c r="A170" s="10">
        <v>1</v>
      </c>
      <c r="B170" s="33" t="s">
        <v>2088</v>
      </c>
      <c r="C170" s="41" t="s">
        <v>93</v>
      </c>
      <c r="D170" s="41" t="s">
        <v>2534</v>
      </c>
      <c r="E170" s="41" t="s">
        <v>1415</v>
      </c>
      <c r="F170" s="41">
        <v>51981866379</v>
      </c>
      <c r="G170" s="41" t="s">
        <v>66</v>
      </c>
      <c r="H170" s="8" t="s">
        <v>67</v>
      </c>
      <c r="I170" s="70"/>
      <c r="J170" s="70"/>
      <c r="K170" s="70"/>
      <c r="L170" s="41" t="s">
        <v>55</v>
      </c>
      <c r="M170" s="41"/>
      <c r="N170" s="10" t="s">
        <v>2456</v>
      </c>
      <c r="O170" s="8"/>
      <c r="P170" s="1"/>
    </row>
    <row r="171" spans="1:16" ht="21" hidden="1" customHeight="1">
      <c r="A171" s="10">
        <v>1</v>
      </c>
      <c r="B171" s="33" t="s">
        <v>2088</v>
      </c>
      <c r="C171" s="41" t="s">
        <v>93</v>
      </c>
      <c r="D171" s="41" t="s">
        <v>2535</v>
      </c>
      <c r="E171" s="41" t="s">
        <v>71</v>
      </c>
      <c r="F171" s="41" t="s">
        <v>2536</v>
      </c>
      <c r="G171" s="41" t="s">
        <v>73</v>
      </c>
      <c r="H171" s="8" t="s">
        <v>33</v>
      </c>
      <c r="I171" s="70"/>
      <c r="J171" s="70"/>
      <c r="K171" s="70"/>
      <c r="L171" s="41" t="s">
        <v>49</v>
      </c>
      <c r="M171" s="41"/>
      <c r="N171" s="10" t="s">
        <v>2537</v>
      </c>
      <c r="O171" s="8"/>
      <c r="P171" s="1"/>
    </row>
    <row r="172" spans="1:16" ht="21" hidden="1" customHeight="1">
      <c r="A172" s="10">
        <v>1</v>
      </c>
      <c r="B172" s="33" t="s">
        <v>2088</v>
      </c>
      <c r="C172" s="41" t="s">
        <v>93</v>
      </c>
      <c r="D172" s="41" t="s">
        <v>2538</v>
      </c>
      <c r="E172" s="41" t="s">
        <v>226</v>
      </c>
      <c r="F172" s="41">
        <v>51984478908</v>
      </c>
      <c r="G172" s="41" t="s">
        <v>91</v>
      </c>
      <c r="H172" s="8" t="s">
        <v>67</v>
      </c>
      <c r="I172" s="70"/>
      <c r="J172" s="70"/>
      <c r="K172" s="70"/>
      <c r="L172" s="41" t="s">
        <v>55</v>
      </c>
      <c r="M172" s="41"/>
      <c r="N172" s="10" t="s">
        <v>2539</v>
      </c>
      <c r="O172" s="8"/>
      <c r="P172" s="1"/>
    </row>
    <row r="173" spans="1:16" ht="21" customHeight="1">
      <c r="A173" s="10">
        <v>1</v>
      </c>
      <c r="B173" s="33" t="s">
        <v>2088</v>
      </c>
      <c r="C173" s="41" t="s">
        <v>28</v>
      </c>
      <c r="D173" s="41" t="s">
        <v>2540</v>
      </c>
      <c r="E173" s="41" t="s">
        <v>2541</v>
      </c>
      <c r="F173" s="41">
        <v>51980547002</v>
      </c>
      <c r="G173" s="41" t="s">
        <v>66</v>
      </c>
      <c r="H173" s="8" t="s">
        <v>67</v>
      </c>
      <c r="I173" s="70" t="s">
        <v>2227</v>
      </c>
      <c r="J173" s="70"/>
      <c r="K173" s="70"/>
      <c r="L173" s="41" t="s">
        <v>55</v>
      </c>
      <c r="M173" s="41" t="s">
        <v>128</v>
      </c>
      <c r="N173" s="10" t="s">
        <v>2542</v>
      </c>
      <c r="O173" s="8"/>
      <c r="P173" s="1"/>
    </row>
    <row r="174" spans="1:16" ht="21" customHeight="1">
      <c r="A174" s="10">
        <v>1</v>
      </c>
      <c r="B174" s="33" t="s">
        <v>2088</v>
      </c>
      <c r="C174" s="41" t="s">
        <v>28</v>
      </c>
      <c r="D174" s="41" t="s">
        <v>2543</v>
      </c>
      <c r="E174" s="41" t="s">
        <v>525</v>
      </c>
      <c r="F174" s="41">
        <v>51995883009</v>
      </c>
      <c r="G174" s="41" t="s">
        <v>85</v>
      </c>
      <c r="H174" s="8" t="s">
        <v>33</v>
      </c>
      <c r="I174" s="70" t="s">
        <v>54</v>
      </c>
      <c r="J174" s="70"/>
      <c r="K174" s="70"/>
      <c r="L174" s="41" t="s">
        <v>55</v>
      </c>
      <c r="M174" s="41" t="s">
        <v>56</v>
      </c>
      <c r="N174" s="10" t="s">
        <v>2544</v>
      </c>
      <c r="O174" s="8"/>
      <c r="P174" s="1"/>
    </row>
    <row r="175" spans="1:16" ht="21" customHeight="1">
      <c r="A175" s="10">
        <v>1</v>
      </c>
      <c r="B175" s="33" t="s">
        <v>2088</v>
      </c>
      <c r="C175" s="41" t="s">
        <v>28</v>
      </c>
      <c r="D175" s="41" t="s">
        <v>2545</v>
      </c>
      <c r="E175" s="41" t="s">
        <v>290</v>
      </c>
      <c r="F175" s="41" t="s">
        <v>2546</v>
      </c>
      <c r="G175" s="41" t="s">
        <v>91</v>
      </c>
      <c r="H175" s="8" t="s">
        <v>67</v>
      </c>
      <c r="I175" s="70" t="s">
        <v>2491</v>
      </c>
      <c r="J175" s="70"/>
      <c r="K175" s="70"/>
      <c r="L175" s="41" t="s">
        <v>49</v>
      </c>
      <c r="M175" s="41" t="s">
        <v>61</v>
      </c>
      <c r="N175" s="10" t="s">
        <v>2547</v>
      </c>
      <c r="O175" s="8"/>
      <c r="P175" s="1"/>
    </row>
    <row r="176" spans="1:16" ht="21" hidden="1" customHeight="1">
      <c r="A176" s="10">
        <v>1</v>
      </c>
      <c r="B176" s="33" t="s">
        <v>2088</v>
      </c>
      <c r="C176" s="41" t="s">
        <v>93</v>
      </c>
      <c r="D176" s="41" t="s">
        <v>2548</v>
      </c>
      <c r="E176" s="41" t="s">
        <v>108</v>
      </c>
      <c r="F176" s="41">
        <v>51992690804</v>
      </c>
      <c r="G176" s="41" t="s">
        <v>66</v>
      </c>
      <c r="H176" s="8" t="s">
        <v>67</v>
      </c>
      <c r="I176" s="70"/>
      <c r="J176" s="70"/>
      <c r="K176" s="70"/>
      <c r="L176" s="41" t="s">
        <v>55</v>
      </c>
      <c r="M176" s="41"/>
      <c r="N176" s="10" t="s">
        <v>2549</v>
      </c>
      <c r="O176" s="8"/>
      <c r="P176" s="1"/>
    </row>
    <row r="177" spans="1:16" ht="21" customHeight="1">
      <c r="A177" s="10">
        <v>1</v>
      </c>
      <c r="B177" s="33" t="s">
        <v>2088</v>
      </c>
      <c r="C177" s="41" t="s">
        <v>28</v>
      </c>
      <c r="D177" s="41" t="s">
        <v>2550</v>
      </c>
      <c r="E177" s="41" t="s">
        <v>2551</v>
      </c>
      <c r="F177" s="41">
        <v>51997087985</v>
      </c>
      <c r="G177" s="41" t="s">
        <v>79</v>
      </c>
      <c r="H177" s="8" t="s">
        <v>47</v>
      </c>
      <c r="I177" s="70"/>
      <c r="J177" s="70"/>
      <c r="K177" s="70"/>
      <c r="L177" s="41" t="s">
        <v>55</v>
      </c>
      <c r="M177" s="41" t="s">
        <v>56</v>
      </c>
      <c r="N177" s="10" t="s">
        <v>2552</v>
      </c>
      <c r="O177" s="8"/>
      <c r="P177" s="1"/>
    </row>
    <row r="178" spans="1:16" ht="21" customHeight="1">
      <c r="A178" s="10">
        <v>1</v>
      </c>
      <c r="B178" s="33" t="s">
        <v>2088</v>
      </c>
      <c r="C178" s="41" t="s">
        <v>28</v>
      </c>
      <c r="D178" s="41" t="s">
        <v>2553</v>
      </c>
      <c r="E178" s="41" t="s">
        <v>296</v>
      </c>
      <c r="F178" s="41" t="s">
        <v>2554</v>
      </c>
      <c r="G178" s="41" t="s">
        <v>66</v>
      </c>
      <c r="H178" s="8" t="s">
        <v>67</v>
      </c>
      <c r="I178" s="70" t="s">
        <v>2491</v>
      </c>
      <c r="J178" s="70"/>
      <c r="K178" s="70"/>
      <c r="L178" s="41" t="s">
        <v>49</v>
      </c>
      <c r="M178" s="41" t="s">
        <v>35</v>
      </c>
      <c r="N178" s="10" t="s">
        <v>2555</v>
      </c>
      <c r="O178" s="8"/>
      <c r="P178" s="1"/>
    </row>
    <row r="179" spans="1:16" ht="21" customHeight="1">
      <c r="A179" s="10">
        <v>1</v>
      </c>
      <c r="B179" s="33" t="s">
        <v>2088</v>
      </c>
      <c r="C179" s="41" t="s">
        <v>28</v>
      </c>
      <c r="D179" s="41" t="s">
        <v>2556</v>
      </c>
      <c r="E179" s="41" t="s">
        <v>1623</v>
      </c>
      <c r="F179" s="41" t="s">
        <v>2557</v>
      </c>
      <c r="G179" s="41" t="s">
        <v>91</v>
      </c>
      <c r="H179" s="8" t="s">
        <v>67</v>
      </c>
      <c r="I179" s="70" t="s">
        <v>2491</v>
      </c>
      <c r="J179" s="70"/>
      <c r="K179" s="70"/>
      <c r="L179" s="41" t="s">
        <v>49</v>
      </c>
      <c r="M179" s="41" t="s">
        <v>128</v>
      </c>
      <c r="N179" s="10" t="s">
        <v>2558</v>
      </c>
      <c r="O179" s="8"/>
      <c r="P179" s="1"/>
    </row>
    <row r="180" spans="1:16" ht="21" customHeight="1">
      <c r="A180" s="10">
        <v>1</v>
      </c>
      <c r="B180" s="33" t="s">
        <v>2088</v>
      </c>
      <c r="C180" s="41" t="s">
        <v>28</v>
      </c>
      <c r="D180" s="41" t="s">
        <v>2559</v>
      </c>
      <c r="E180" s="41" t="s">
        <v>315</v>
      </c>
      <c r="F180" s="41" t="s">
        <v>2560</v>
      </c>
      <c r="G180" s="41" t="s">
        <v>66</v>
      </c>
      <c r="H180" s="8" t="s">
        <v>67</v>
      </c>
      <c r="I180" s="70" t="s">
        <v>2491</v>
      </c>
      <c r="J180" s="70"/>
      <c r="K180" s="70"/>
      <c r="L180" s="41" t="s">
        <v>49</v>
      </c>
      <c r="M180" s="41" t="s">
        <v>128</v>
      </c>
      <c r="N180" s="10" t="s">
        <v>2561</v>
      </c>
      <c r="O180" s="8"/>
      <c r="P180" s="1"/>
    </row>
    <row r="181" spans="1:16" ht="21" customHeight="1">
      <c r="A181" s="10">
        <v>1</v>
      </c>
      <c r="B181" s="33" t="s">
        <v>2088</v>
      </c>
      <c r="C181" s="41" t="s">
        <v>28</v>
      </c>
      <c r="D181" s="41" t="s">
        <v>2562</v>
      </c>
      <c r="E181" s="41" t="s">
        <v>2563</v>
      </c>
      <c r="F181" s="41" t="s">
        <v>2564</v>
      </c>
      <c r="G181" s="41" t="s">
        <v>73</v>
      </c>
      <c r="H181" s="8" t="s">
        <v>33</v>
      </c>
      <c r="I181" s="70" t="s">
        <v>2565</v>
      </c>
      <c r="J181" s="70"/>
      <c r="K181" s="70"/>
      <c r="L181" s="41" t="s">
        <v>49</v>
      </c>
      <c r="M181" s="41" t="s">
        <v>35</v>
      </c>
      <c r="N181" s="10" t="s">
        <v>2566</v>
      </c>
      <c r="O181" s="8"/>
      <c r="P181" s="1"/>
    </row>
    <row r="182" spans="1:16" ht="21" hidden="1" customHeight="1">
      <c r="A182" s="10">
        <v>1</v>
      </c>
      <c r="B182" s="33" t="s">
        <v>2088</v>
      </c>
      <c r="C182" s="41" t="s">
        <v>93</v>
      </c>
      <c r="D182" s="41" t="s">
        <v>2567</v>
      </c>
      <c r="E182" s="41" t="s">
        <v>619</v>
      </c>
      <c r="F182" s="41" t="s">
        <v>2568</v>
      </c>
      <c r="G182" s="41" t="s">
        <v>66</v>
      </c>
      <c r="H182" s="8" t="s">
        <v>67</v>
      </c>
      <c r="I182" s="70"/>
      <c r="J182" s="70"/>
      <c r="K182" s="70"/>
      <c r="L182" s="41" t="s">
        <v>49</v>
      </c>
      <c r="M182" s="41"/>
      <c r="N182" s="10" t="s">
        <v>2569</v>
      </c>
      <c r="O182" s="8"/>
      <c r="P182" s="1"/>
    </row>
    <row r="183" spans="1:16" ht="21" customHeight="1">
      <c r="A183" s="10">
        <v>1</v>
      </c>
      <c r="B183" s="33" t="s">
        <v>2088</v>
      </c>
      <c r="C183" s="41" t="s">
        <v>28</v>
      </c>
      <c r="D183" s="41" t="s">
        <v>2570</v>
      </c>
      <c r="E183" s="41" t="s">
        <v>1584</v>
      </c>
      <c r="F183" s="41" t="s">
        <v>2571</v>
      </c>
      <c r="G183" s="41" t="s">
        <v>79</v>
      </c>
      <c r="H183" s="8" t="s">
        <v>47</v>
      </c>
      <c r="I183" s="70" t="s">
        <v>2068</v>
      </c>
      <c r="J183" s="70"/>
      <c r="K183" s="70"/>
      <c r="L183" s="41" t="s">
        <v>49</v>
      </c>
      <c r="M183" s="41" t="s">
        <v>133</v>
      </c>
      <c r="N183" s="10" t="s">
        <v>2572</v>
      </c>
      <c r="O183" s="8"/>
      <c r="P183" s="1"/>
    </row>
    <row r="184" spans="1:16" ht="21" customHeight="1">
      <c r="A184" s="10">
        <v>1</v>
      </c>
      <c r="B184" s="33" t="s">
        <v>2088</v>
      </c>
      <c r="C184" s="41" t="s">
        <v>28</v>
      </c>
      <c r="D184" s="41" t="s">
        <v>2573</v>
      </c>
      <c r="E184" s="41" t="s">
        <v>1474</v>
      </c>
      <c r="F184" s="41">
        <v>51997806738</v>
      </c>
      <c r="G184" s="41" t="s">
        <v>85</v>
      </c>
      <c r="H184" s="8" t="s">
        <v>33</v>
      </c>
      <c r="I184" s="70" t="s">
        <v>2068</v>
      </c>
      <c r="J184" s="70"/>
      <c r="K184" s="70"/>
      <c r="L184" s="41" t="s">
        <v>55</v>
      </c>
      <c r="M184" s="41" t="s">
        <v>111</v>
      </c>
      <c r="N184" s="10" t="s">
        <v>2574</v>
      </c>
      <c r="O184" s="8"/>
      <c r="P184" s="1"/>
    </row>
    <row r="185" spans="1:16" ht="21" customHeight="1">
      <c r="A185" s="10">
        <v>1</v>
      </c>
      <c r="B185" s="33" t="s">
        <v>2088</v>
      </c>
      <c r="C185" s="41" t="s">
        <v>28</v>
      </c>
      <c r="D185" s="41" t="s">
        <v>2575</v>
      </c>
      <c r="E185" s="41" t="s">
        <v>1554</v>
      </c>
      <c r="F185" s="41" t="s">
        <v>2576</v>
      </c>
      <c r="G185" s="41" t="s">
        <v>283</v>
      </c>
      <c r="H185" s="8" t="s">
        <v>47</v>
      </c>
      <c r="I185" s="70"/>
      <c r="J185" s="70"/>
      <c r="K185" s="70"/>
      <c r="L185" s="41" t="s">
        <v>49</v>
      </c>
      <c r="M185" s="41" t="s">
        <v>133</v>
      </c>
      <c r="N185" s="10" t="s">
        <v>2577</v>
      </c>
      <c r="O185" s="8"/>
      <c r="P185" s="1"/>
    </row>
    <row r="186" spans="1:16" ht="21" hidden="1" customHeight="1">
      <c r="A186" s="10">
        <v>1</v>
      </c>
      <c r="B186" s="33" t="s">
        <v>2088</v>
      </c>
      <c r="C186" s="41" t="s">
        <v>93</v>
      </c>
      <c r="D186" s="41" t="s">
        <v>2578</v>
      </c>
      <c r="E186" s="41" t="s">
        <v>298</v>
      </c>
      <c r="F186" s="41" t="s">
        <v>2579</v>
      </c>
      <c r="G186" s="41" t="s">
        <v>91</v>
      </c>
      <c r="H186" s="8" t="s">
        <v>67</v>
      </c>
      <c r="I186" s="70"/>
      <c r="J186" s="70"/>
      <c r="K186" s="70"/>
      <c r="L186" s="41" t="s">
        <v>49</v>
      </c>
      <c r="M186" s="41"/>
      <c r="N186" s="10" t="s">
        <v>2580</v>
      </c>
      <c r="O186" s="8"/>
      <c r="P186" s="1"/>
    </row>
    <row r="187" spans="1:16" ht="21" hidden="1" customHeight="1">
      <c r="A187" s="10">
        <v>1</v>
      </c>
      <c r="B187" s="33" t="s">
        <v>2088</v>
      </c>
      <c r="C187" s="41" t="s">
        <v>93</v>
      </c>
      <c r="D187" s="41" t="s">
        <v>2581</v>
      </c>
      <c r="E187" s="41" t="s">
        <v>817</v>
      </c>
      <c r="F187" s="41" t="s">
        <v>2582</v>
      </c>
      <c r="G187" s="41" t="s">
        <v>41</v>
      </c>
      <c r="H187" s="8" t="s">
        <v>33</v>
      </c>
      <c r="I187" s="70"/>
      <c r="J187" s="70"/>
      <c r="K187" s="70"/>
      <c r="L187" s="41" t="s">
        <v>49</v>
      </c>
      <c r="M187" s="41"/>
      <c r="N187" s="10" t="s">
        <v>2583</v>
      </c>
      <c r="O187" s="8"/>
      <c r="P187" s="1"/>
    </row>
    <row r="188" spans="1:16" ht="21" hidden="1" customHeight="1">
      <c r="A188" s="10">
        <v>1</v>
      </c>
      <c r="B188" s="33" t="s">
        <v>2088</v>
      </c>
      <c r="C188" s="41" t="s">
        <v>93</v>
      </c>
      <c r="D188" s="41" t="s">
        <v>2584</v>
      </c>
      <c r="E188" s="41" t="s">
        <v>2333</v>
      </c>
      <c r="F188" s="41">
        <v>51983047059</v>
      </c>
      <c r="G188" s="41" t="s">
        <v>91</v>
      </c>
      <c r="H188" s="8" t="s">
        <v>67</v>
      </c>
      <c r="I188" s="70"/>
      <c r="J188" s="70"/>
      <c r="K188" s="70"/>
      <c r="L188" s="41" t="s">
        <v>55</v>
      </c>
      <c r="M188" s="41"/>
      <c r="N188" s="10" t="s">
        <v>2456</v>
      </c>
      <c r="O188" s="8"/>
      <c r="P188" s="1"/>
    </row>
    <row r="189" spans="1:16" ht="21" hidden="1" customHeight="1">
      <c r="A189" s="10">
        <v>1</v>
      </c>
      <c r="B189" s="33" t="s">
        <v>2088</v>
      </c>
      <c r="C189" s="41" t="s">
        <v>93</v>
      </c>
      <c r="D189" s="41" t="s">
        <v>2585</v>
      </c>
      <c r="E189" s="41" t="s">
        <v>2586</v>
      </c>
      <c r="F189" s="41" t="s">
        <v>2587</v>
      </c>
      <c r="G189" s="41" t="s">
        <v>79</v>
      </c>
      <c r="H189" s="8" t="s">
        <v>47</v>
      </c>
      <c r="I189" s="70"/>
      <c r="J189" s="70"/>
      <c r="K189" s="70"/>
      <c r="L189" s="41" t="s">
        <v>49</v>
      </c>
      <c r="M189" s="41"/>
      <c r="N189" s="10" t="s">
        <v>2583</v>
      </c>
      <c r="O189" s="8"/>
      <c r="P189" s="1"/>
    </row>
    <row r="190" spans="1:16" ht="21" customHeight="1">
      <c r="A190" s="10">
        <v>1</v>
      </c>
      <c r="B190" s="33" t="s">
        <v>2088</v>
      </c>
      <c r="C190" s="41" t="s">
        <v>28</v>
      </c>
      <c r="D190" s="41" t="s">
        <v>2588</v>
      </c>
      <c r="E190" s="41" t="s">
        <v>384</v>
      </c>
      <c r="F190" s="41">
        <v>51995460905</v>
      </c>
      <c r="G190" s="41" t="s">
        <v>79</v>
      </c>
      <c r="H190" s="8" t="s">
        <v>47</v>
      </c>
      <c r="I190" s="70" t="s">
        <v>2589</v>
      </c>
      <c r="J190" s="70"/>
      <c r="K190" s="70"/>
      <c r="L190" s="41" t="s">
        <v>55</v>
      </c>
      <c r="M190" s="41" t="s">
        <v>128</v>
      </c>
      <c r="N190" s="10" t="s">
        <v>2590</v>
      </c>
      <c r="O190" s="8"/>
      <c r="P190" s="1"/>
    </row>
    <row r="191" spans="1:16" ht="21" customHeight="1">
      <c r="A191" s="10">
        <v>1</v>
      </c>
      <c r="B191" s="33" t="s">
        <v>2088</v>
      </c>
      <c r="C191" s="41" t="s">
        <v>28</v>
      </c>
      <c r="D191" s="41" t="s">
        <v>2591</v>
      </c>
      <c r="E191" s="41" t="s">
        <v>226</v>
      </c>
      <c r="F191" s="41" t="s">
        <v>2592</v>
      </c>
      <c r="G191" s="41" t="s">
        <v>91</v>
      </c>
      <c r="H191" s="8" t="s">
        <v>67</v>
      </c>
      <c r="I191" s="70" t="s">
        <v>2491</v>
      </c>
      <c r="J191" s="70"/>
      <c r="K191" s="70"/>
      <c r="L191" s="41" t="s">
        <v>49</v>
      </c>
      <c r="M191" s="41" t="s">
        <v>56</v>
      </c>
      <c r="N191" s="10" t="s">
        <v>2593</v>
      </c>
      <c r="O191" s="8"/>
      <c r="P191" s="1"/>
    </row>
    <row r="192" spans="1:16" ht="21" customHeight="1">
      <c r="A192" s="10">
        <v>1</v>
      </c>
      <c r="B192" s="33" t="s">
        <v>2088</v>
      </c>
      <c r="C192" s="41" t="s">
        <v>28</v>
      </c>
      <c r="D192" s="41" t="s">
        <v>2594</v>
      </c>
      <c r="E192" s="41" t="s">
        <v>1474</v>
      </c>
      <c r="F192" s="41">
        <v>51997055161</v>
      </c>
      <c r="G192" s="41" t="s">
        <v>85</v>
      </c>
      <c r="H192" s="8" t="s">
        <v>33</v>
      </c>
      <c r="I192" s="70" t="s">
        <v>2227</v>
      </c>
      <c r="J192" s="70"/>
      <c r="K192" s="70"/>
      <c r="L192" s="41" t="s">
        <v>55</v>
      </c>
      <c r="M192" s="41" t="s">
        <v>61</v>
      </c>
      <c r="N192" s="10" t="s">
        <v>2434</v>
      </c>
      <c r="O192" s="8"/>
      <c r="P192" s="1"/>
    </row>
    <row r="193" spans="1:16" ht="21" customHeight="1">
      <c r="A193" s="10">
        <v>1</v>
      </c>
      <c r="B193" s="33" t="s">
        <v>2088</v>
      </c>
      <c r="C193" s="41" t="s">
        <v>28</v>
      </c>
      <c r="D193" s="41" t="s">
        <v>2595</v>
      </c>
      <c r="E193" s="41" t="s">
        <v>71</v>
      </c>
      <c r="F193" s="41" t="s">
        <v>2596</v>
      </c>
      <c r="G193" s="41" t="s">
        <v>147</v>
      </c>
      <c r="H193" s="8" t="s">
        <v>33</v>
      </c>
      <c r="I193" s="70" t="s">
        <v>2597</v>
      </c>
      <c r="J193" s="70"/>
      <c r="K193" s="70"/>
      <c r="L193" s="41" t="s">
        <v>34</v>
      </c>
      <c r="M193" s="41" t="s">
        <v>35</v>
      </c>
      <c r="N193" s="10" t="s">
        <v>2598</v>
      </c>
      <c r="O193" s="8"/>
      <c r="P193" s="1"/>
    </row>
    <row r="194" spans="1:16" ht="21" hidden="1" customHeight="1">
      <c r="A194" s="10">
        <v>1</v>
      </c>
      <c r="B194" s="33" t="s">
        <v>2088</v>
      </c>
      <c r="C194" s="41" t="s">
        <v>93</v>
      </c>
      <c r="D194" s="41" t="s">
        <v>2599</v>
      </c>
      <c r="E194" s="41" t="s">
        <v>270</v>
      </c>
      <c r="F194" s="41" t="s">
        <v>2600</v>
      </c>
      <c r="G194" s="41" t="s">
        <v>66</v>
      </c>
      <c r="H194" s="8" t="s">
        <v>67</v>
      </c>
      <c r="I194" s="70"/>
      <c r="J194" s="70"/>
      <c r="K194" s="70"/>
      <c r="L194" s="41" t="s">
        <v>49</v>
      </c>
      <c r="M194" s="41"/>
      <c r="N194" s="10" t="s">
        <v>2601</v>
      </c>
      <c r="O194" s="8"/>
      <c r="P194" s="1"/>
    </row>
    <row r="195" spans="1:16" ht="21" customHeight="1">
      <c r="A195" s="10">
        <v>1</v>
      </c>
      <c r="B195" s="33" t="s">
        <v>2088</v>
      </c>
      <c r="C195" s="41" t="s">
        <v>28</v>
      </c>
      <c r="D195" s="41" t="s">
        <v>2602</v>
      </c>
      <c r="E195" s="41" t="s">
        <v>2603</v>
      </c>
      <c r="F195" s="41" t="s">
        <v>2604</v>
      </c>
      <c r="G195" s="41" t="s">
        <v>85</v>
      </c>
      <c r="H195" s="8" t="s">
        <v>33</v>
      </c>
      <c r="I195" s="70" t="s">
        <v>2186</v>
      </c>
      <c r="J195" s="70"/>
      <c r="K195" s="70"/>
      <c r="L195" s="41" t="s">
        <v>49</v>
      </c>
      <c r="M195" s="41" t="s">
        <v>61</v>
      </c>
      <c r="N195" s="10" t="s">
        <v>2605</v>
      </c>
      <c r="O195" s="8"/>
      <c r="P195" s="1"/>
    </row>
    <row r="196" spans="1:16" ht="21" customHeight="1">
      <c r="A196" s="10">
        <v>1</v>
      </c>
      <c r="B196" s="33" t="s">
        <v>2088</v>
      </c>
      <c r="C196" s="41" t="s">
        <v>28</v>
      </c>
      <c r="D196" s="41" t="s">
        <v>2606</v>
      </c>
      <c r="E196" s="41" t="s">
        <v>136</v>
      </c>
      <c r="F196" s="41" t="s">
        <v>2607</v>
      </c>
      <c r="G196" s="41" t="s">
        <v>420</v>
      </c>
      <c r="H196" s="8" t="s">
        <v>67</v>
      </c>
      <c r="I196" s="70" t="s">
        <v>2227</v>
      </c>
      <c r="J196" s="70"/>
      <c r="K196" s="70"/>
      <c r="L196" s="41" t="s">
        <v>34</v>
      </c>
      <c r="M196" s="41" t="s">
        <v>128</v>
      </c>
      <c r="N196" s="10" t="s">
        <v>2608</v>
      </c>
      <c r="O196" s="8"/>
      <c r="P196" s="1"/>
    </row>
    <row r="197" spans="1:16" ht="21" hidden="1" customHeight="1">
      <c r="A197" s="10">
        <v>1</v>
      </c>
      <c r="B197" s="33" t="s">
        <v>2088</v>
      </c>
      <c r="C197" s="41" t="s">
        <v>93</v>
      </c>
      <c r="D197" s="41" t="s">
        <v>2609</v>
      </c>
      <c r="E197" s="41" t="s">
        <v>1542</v>
      </c>
      <c r="F197" s="41" t="s">
        <v>2610</v>
      </c>
      <c r="G197" s="41" t="s">
        <v>85</v>
      </c>
      <c r="H197" s="8" t="s">
        <v>33</v>
      </c>
      <c r="I197" s="70" t="s">
        <v>2138</v>
      </c>
      <c r="J197" s="70"/>
      <c r="K197" s="70"/>
      <c r="L197" s="41" t="s">
        <v>34</v>
      </c>
      <c r="M197" s="41"/>
      <c r="N197" s="10" t="s">
        <v>2611</v>
      </c>
      <c r="O197" s="8"/>
      <c r="P197" s="1"/>
    </row>
    <row r="198" spans="1:16" ht="21" hidden="1" customHeight="1">
      <c r="A198" s="10">
        <v>1</v>
      </c>
      <c r="B198" s="33" t="s">
        <v>2088</v>
      </c>
      <c r="C198" s="41" t="s">
        <v>93</v>
      </c>
      <c r="D198" s="41" t="s">
        <v>2612</v>
      </c>
      <c r="E198" s="41" t="s">
        <v>2613</v>
      </c>
      <c r="F198" s="41" t="s">
        <v>2614</v>
      </c>
      <c r="G198" s="41" t="s">
        <v>41</v>
      </c>
      <c r="H198" s="8" t="s">
        <v>33</v>
      </c>
      <c r="I198" s="70" t="s">
        <v>2138</v>
      </c>
      <c r="J198" s="70"/>
      <c r="K198" s="70"/>
      <c r="L198" s="41" t="s">
        <v>34</v>
      </c>
      <c r="M198" s="41"/>
      <c r="N198" s="10" t="s">
        <v>2615</v>
      </c>
      <c r="O198" s="8"/>
      <c r="P198" s="1"/>
    </row>
    <row r="199" spans="1:16" ht="21" hidden="1" customHeight="1">
      <c r="A199" s="10">
        <v>1</v>
      </c>
      <c r="B199" s="33" t="s">
        <v>2138</v>
      </c>
      <c r="C199" s="41" t="s">
        <v>93</v>
      </c>
      <c r="D199" s="41" t="s">
        <v>2616</v>
      </c>
      <c r="E199" s="41" t="s">
        <v>39</v>
      </c>
      <c r="F199" s="41" t="s">
        <v>2617</v>
      </c>
      <c r="G199" s="41" t="s">
        <v>41</v>
      </c>
      <c r="H199" s="8" t="s">
        <v>33</v>
      </c>
      <c r="I199" s="70"/>
      <c r="J199" s="70"/>
      <c r="K199" s="70"/>
      <c r="L199" s="41" t="s">
        <v>55</v>
      </c>
      <c r="M199" s="41"/>
      <c r="N199" s="10" t="s">
        <v>2539</v>
      </c>
      <c r="O199" s="8"/>
      <c r="P199" s="1"/>
    </row>
    <row r="200" spans="1:16" ht="21" hidden="1" customHeight="1">
      <c r="A200" s="10">
        <v>1</v>
      </c>
      <c r="B200" s="33" t="s">
        <v>2138</v>
      </c>
      <c r="C200" s="41" t="s">
        <v>93</v>
      </c>
      <c r="D200" s="41" t="s">
        <v>2618</v>
      </c>
      <c r="E200" s="41" t="s">
        <v>2619</v>
      </c>
      <c r="F200" s="41">
        <v>51991975593</v>
      </c>
      <c r="G200" s="41" t="s">
        <v>310</v>
      </c>
      <c r="H200" s="8" t="s">
        <v>1479</v>
      </c>
      <c r="I200" s="70"/>
      <c r="J200" s="70"/>
      <c r="K200" s="70"/>
      <c r="L200" s="41" t="s">
        <v>55</v>
      </c>
      <c r="M200" s="41"/>
      <c r="N200" s="10" t="s">
        <v>102</v>
      </c>
      <c r="O200" s="8"/>
      <c r="P200" s="1"/>
    </row>
    <row r="201" spans="1:16" ht="21" customHeight="1">
      <c r="A201" s="10">
        <v>1</v>
      </c>
      <c r="B201" s="33" t="s">
        <v>2138</v>
      </c>
      <c r="C201" s="41" t="s">
        <v>28</v>
      </c>
      <c r="D201" s="41" t="s">
        <v>2620</v>
      </c>
      <c r="E201" s="41" t="s">
        <v>39</v>
      </c>
      <c r="F201" s="41">
        <v>51991975424</v>
      </c>
      <c r="G201" s="41" t="s">
        <v>41</v>
      </c>
      <c r="H201" s="8" t="s">
        <v>33</v>
      </c>
      <c r="I201" s="70" t="s">
        <v>54</v>
      </c>
      <c r="J201" s="70"/>
      <c r="K201" s="65">
        <v>89.9</v>
      </c>
      <c r="L201" s="41" t="s">
        <v>55</v>
      </c>
      <c r="M201" s="41" t="s">
        <v>80</v>
      </c>
      <c r="N201" s="10" t="s">
        <v>2621</v>
      </c>
      <c r="O201" s="8"/>
      <c r="P201" s="1"/>
    </row>
    <row r="202" spans="1:16" ht="21" customHeight="1">
      <c r="A202" s="10">
        <v>1</v>
      </c>
      <c r="B202" s="33" t="s">
        <v>2138</v>
      </c>
      <c r="C202" s="41" t="s">
        <v>28</v>
      </c>
      <c r="D202" s="41" t="s">
        <v>2622</v>
      </c>
      <c r="E202" s="41" t="s">
        <v>615</v>
      </c>
      <c r="F202" s="41" t="s">
        <v>2623</v>
      </c>
      <c r="G202" s="41" t="s">
        <v>66</v>
      </c>
      <c r="H202" s="8" t="s">
        <v>67</v>
      </c>
      <c r="I202" s="70"/>
      <c r="J202" s="70"/>
      <c r="K202" s="70"/>
      <c r="L202" s="41" t="s">
        <v>49</v>
      </c>
      <c r="M202" s="41" t="s">
        <v>111</v>
      </c>
      <c r="N202" s="10" t="s">
        <v>2624</v>
      </c>
      <c r="O202" s="8"/>
      <c r="P202" s="1"/>
    </row>
    <row r="203" spans="1:16" ht="21" customHeight="1">
      <c r="A203" s="10">
        <v>1</v>
      </c>
      <c r="B203" s="33" t="s">
        <v>2138</v>
      </c>
      <c r="C203" s="41" t="s">
        <v>28</v>
      </c>
      <c r="D203" s="41" t="s">
        <v>2625</v>
      </c>
      <c r="E203" s="41" t="s">
        <v>2626</v>
      </c>
      <c r="F203" s="41" t="s">
        <v>2627</v>
      </c>
      <c r="G203" s="41" t="s">
        <v>1810</v>
      </c>
      <c r="H203" s="8" t="s">
        <v>33</v>
      </c>
      <c r="I203" s="70" t="s">
        <v>54</v>
      </c>
      <c r="J203" s="70"/>
      <c r="K203" s="70"/>
      <c r="L203" s="41" t="s">
        <v>49</v>
      </c>
      <c r="M203" s="41" t="s">
        <v>111</v>
      </c>
      <c r="N203" s="10" t="s">
        <v>2628</v>
      </c>
      <c r="O203" s="8"/>
      <c r="P203" s="1"/>
    </row>
    <row r="204" spans="1:16" ht="21" customHeight="1">
      <c r="A204" s="10">
        <v>1</v>
      </c>
      <c r="B204" s="33" t="s">
        <v>2138</v>
      </c>
      <c r="C204" s="41" t="s">
        <v>28</v>
      </c>
      <c r="D204" s="41" t="s">
        <v>2629</v>
      </c>
      <c r="E204" s="41" t="s">
        <v>39</v>
      </c>
      <c r="F204" s="41" t="s">
        <v>2630</v>
      </c>
      <c r="G204" s="41" t="s">
        <v>41</v>
      </c>
      <c r="H204" s="8" t="s">
        <v>33</v>
      </c>
      <c r="I204" s="70" t="s">
        <v>2306</v>
      </c>
      <c r="J204" s="70"/>
      <c r="K204" s="65">
        <v>99.9</v>
      </c>
      <c r="L204" s="41" t="s">
        <v>49</v>
      </c>
      <c r="M204" s="41" t="s">
        <v>128</v>
      </c>
      <c r="N204" s="10" t="s">
        <v>2631</v>
      </c>
      <c r="O204" s="8"/>
      <c r="P204" s="1"/>
    </row>
    <row r="205" spans="1:16" ht="21" hidden="1" customHeight="1">
      <c r="A205" s="10">
        <v>1</v>
      </c>
      <c r="B205" s="33" t="s">
        <v>2138</v>
      </c>
      <c r="C205" s="41" t="s">
        <v>93</v>
      </c>
      <c r="D205" s="41" t="s">
        <v>2632</v>
      </c>
      <c r="E205" s="41" t="s">
        <v>454</v>
      </c>
      <c r="F205" s="41" t="s">
        <v>2633</v>
      </c>
      <c r="G205" s="41" t="s">
        <v>66</v>
      </c>
      <c r="H205" s="8" t="s">
        <v>67</v>
      </c>
      <c r="I205" s="70"/>
      <c r="J205" s="70"/>
      <c r="K205" s="70"/>
      <c r="L205" s="41" t="s">
        <v>49</v>
      </c>
      <c r="M205" s="41"/>
      <c r="N205" s="10"/>
      <c r="O205" s="8"/>
      <c r="P205" s="1"/>
    </row>
    <row r="206" spans="1:16" ht="21" customHeight="1">
      <c r="A206" s="10">
        <v>1</v>
      </c>
      <c r="B206" s="33" t="s">
        <v>2138</v>
      </c>
      <c r="C206" s="41" t="s">
        <v>28</v>
      </c>
      <c r="D206" s="41" t="s">
        <v>2634</v>
      </c>
      <c r="E206" s="41" t="s">
        <v>71</v>
      </c>
      <c r="F206" s="41">
        <v>51984065281</v>
      </c>
      <c r="G206" s="41" t="s">
        <v>2635</v>
      </c>
      <c r="H206" s="8" t="s">
        <v>33</v>
      </c>
      <c r="I206" s="70" t="s">
        <v>2068</v>
      </c>
      <c r="J206" s="70"/>
      <c r="K206" s="70"/>
      <c r="L206" s="41" t="s">
        <v>55</v>
      </c>
      <c r="M206" s="41" t="s">
        <v>35</v>
      </c>
      <c r="N206" s="10" t="s">
        <v>2636</v>
      </c>
      <c r="O206" s="8"/>
      <c r="P206" s="1"/>
    </row>
    <row r="207" spans="1:16" ht="21" customHeight="1">
      <c r="A207" s="10">
        <v>1</v>
      </c>
      <c r="B207" s="33" t="s">
        <v>2138</v>
      </c>
      <c r="C207" s="41" t="s">
        <v>28</v>
      </c>
      <c r="D207" s="41" t="s">
        <v>2637</v>
      </c>
      <c r="E207" s="41" t="s">
        <v>2638</v>
      </c>
      <c r="F207" s="41" t="s">
        <v>2639</v>
      </c>
      <c r="G207" s="41" t="s">
        <v>66</v>
      </c>
      <c r="H207" s="8" t="s">
        <v>67</v>
      </c>
      <c r="I207" s="70" t="s">
        <v>2640</v>
      </c>
      <c r="J207" s="70"/>
      <c r="K207" s="70"/>
      <c r="L207" s="41" t="s">
        <v>49</v>
      </c>
      <c r="M207" s="41" t="s">
        <v>61</v>
      </c>
      <c r="N207" s="10" t="s">
        <v>2641</v>
      </c>
      <c r="O207" s="8"/>
      <c r="P207" s="1"/>
    </row>
    <row r="208" spans="1:16" ht="21" hidden="1" customHeight="1">
      <c r="A208" s="10">
        <v>1</v>
      </c>
      <c r="B208" s="33" t="s">
        <v>2138</v>
      </c>
      <c r="C208" s="41" t="s">
        <v>93</v>
      </c>
      <c r="D208" s="41" t="s">
        <v>2642</v>
      </c>
      <c r="E208" s="41" t="s">
        <v>39</v>
      </c>
      <c r="F208" s="41" t="s">
        <v>2643</v>
      </c>
      <c r="G208" s="41" t="s">
        <v>41</v>
      </c>
      <c r="H208" s="8" t="s">
        <v>33</v>
      </c>
      <c r="I208" s="70"/>
      <c r="J208" s="70"/>
      <c r="K208" s="70"/>
      <c r="L208" s="41" t="s">
        <v>49</v>
      </c>
      <c r="M208" s="41"/>
      <c r="N208" s="10" t="s">
        <v>2644</v>
      </c>
      <c r="O208" s="8"/>
      <c r="P208" s="1"/>
    </row>
    <row r="209" spans="1:16" ht="21" customHeight="1">
      <c r="A209" s="10">
        <v>1</v>
      </c>
      <c r="B209" s="33" t="s">
        <v>2138</v>
      </c>
      <c r="C209" s="41" t="s">
        <v>28</v>
      </c>
      <c r="D209" s="41" t="s">
        <v>2645</v>
      </c>
      <c r="E209" s="41" t="s">
        <v>442</v>
      </c>
      <c r="F209" s="41">
        <v>51995003848</v>
      </c>
      <c r="G209" s="41" t="s">
        <v>53</v>
      </c>
      <c r="H209" s="8" t="s">
        <v>33</v>
      </c>
      <c r="I209" s="70" t="s">
        <v>2565</v>
      </c>
      <c r="J209" s="70"/>
      <c r="K209" s="70"/>
      <c r="L209" s="41" t="s">
        <v>55</v>
      </c>
      <c r="M209" s="41" t="s">
        <v>35</v>
      </c>
      <c r="N209" s="10" t="s">
        <v>2646</v>
      </c>
      <c r="O209" s="8"/>
      <c r="P209" s="1"/>
    </row>
    <row r="210" spans="1:16" ht="21" hidden="1" customHeight="1">
      <c r="A210" s="10">
        <v>1</v>
      </c>
      <c r="B210" s="33" t="s">
        <v>2138</v>
      </c>
      <c r="C210" s="41" t="s">
        <v>93</v>
      </c>
      <c r="D210" s="41" t="s">
        <v>2647</v>
      </c>
      <c r="E210" s="41" t="s">
        <v>2563</v>
      </c>
      <c r="F210" s="41" t="s">
        <v>2648</v>
      </c>
      <c r="G210" s="41" t="s">
        <v>73</v>
      </c>
      <c r="H210" s="8" t="s">
        <v>33</v>
      </c>
      <c r="I210" s="70"/>
      <c r="J210" s="70"/>
      <c r="K210" s="70"/>
      <c r="L210" s="41" t="s">
        <v>49</v>
      </c>
      <c r="M210" s="41"/>
      <c r="N210" s="10" t="s">
        <v>2649</v>
      </c>
      <c r="O210" s="8"/>
      <c r="P210" s="1"/>
    </row>
    <row r="211" spans="1:16" ht="21" hidden="1" customHeight="1">
      <c r="A211" s="10">
        <v>1</v>
      </c>
      <c r="B211" s="33" t="s">
        <v>2138</v>
      </c>
      <c r="C211" s="41" t="s">
        <v>93</v>
      </c>
      <c r="D211" s="41" t="s">
        <v>2650</v>
      </c>
      <c r="E211" s="41" t="s">
        <v>39</v>
      </c>
      <c r="F211" s="41" t="s">
        <v>2651</v>
      </c>
      <c r="G211" s="41" t="s">
        <v>41</v>
      </c>
      <c r="H211" s="8" t="s">
        <v>33</v>
      </c>
      <c r="I211" s="70"/>
      <c r="J211" s="70"/>
      <c r="K211" s="70"/>
      <c r="L211" s="41" t="s">
        <v>49</v>
      </c>
      <c r="M211" s="41"/>
      <c r="N211" s="10" t="s">
        <v>2652</v>
      </c>
      <c r="O211" s="8"/>
      <c r="P211" s="1"/>
    </row>
    <row r="212" spans="1:16" ht="21" customHeight="1">
      <c r="A212" s="10">
        <v>1</v>
      </c>
      <c r="B212" s="33" t="s">
        <v>2138</v>
      </c>
      <c r="C212" s="41" t="s">
        <v>28</v>
      </c>
      <c r="D212" s="41" t="s">
        <v>2653</v>
      </c>
      <c r="E212" s="41" t="s">
        <v>812</v>
      </c>
      <c r="F212" s="41" t="s">
        <v>2654</v>
      </c>
      <c r="G212" s="41" t="s">
        <v>756</v>
      </c>
      <c r="H212" s="8" t="s">
        <v>67</v>
      </c>
      <c r="I212" s="70" t="s">
        <v>2227</v>
      </c>
      <c r="J212" s="70"/>
      <c r="K212" s="70"/>
      <c r="L212" s="41" t="s">
        <v>34</v>
      </c>
      <c r="M212" s="41" t="s">
        <v>35</v>
      </c>
      <c r="N212" s="10" t="s">
        <v>2655</v>
      </c>
      <c r="O212" s="8"/>
      <c r="P212" s="1"/>
    </row>
    <row r="213" spans="1:16" ht="21" customHeight="1">
      <c r="A213" s="10">
        <v>1</v>
      </c>
      <c r="B213" s="33" t="s">
        <v>2138</v>
      </c>
      <c r="C213" s="41" t="s">
        <v>28</v>
      </c>
      <c r="D213" s="41" t="s">
        <v>2656</v>
      </c>
      <c r="E213" s="41" t="s">
        <v>812</v>
      </c>
      <c r="F213" s="41" t="s">
        <v>2657</v>
      </c>
      <c r="G213" s="41" t="s">
        <v>91</v>
      </c>
      <c r="H213" s="8" t="s">
        <v>67</v>
      </c>
      <c r="I213" s="70"/>
      <c r="J213" s="70"/>
      <c r="K213" s="70"/>
      <c r="L213" s="41" t="s">
        <v>49</v>
      </c>
      <c r="M213" s="41" t="s">
        <v>128</v>
      </c>
      <c r="N213" s="10" t="s">
        <v>2658</v>
      </c>
      <c r="O213" s="8"/>
      <c r="P213" s="1"/>
    </row>
    <row r="214" spans="1:16" ht="21" customHeight="1">
      <c r="A214" s="10">
        <v>1</v>
      </c>
      <c r="B214" s="33" t="s">
        <v>2138</v>
      </c>
      <c r="C214" s="41" t="s">
        <v>398</v>
      </c>
      <c r="D214" s="41" t="s">
        <v>2659</v>
      </c>
      <c r="E214" s="41" t="s">
        <v>226</v>
      </c>
      <c r="F214" s="41" t="s">
        <v>2660</v>
      </c>
      <c r="G214" s="41" t="s">
        <v>91</v>
      </c>
      <c r="H214" s="8" t="s">
        <v>67</v>
      </c>
      <c r="I214" s="70"/>
      <c r="J214" s="70"/>
      <c r="K214" s="70"/>
      <c r="L214" s="41" t="s">
        <v>49</v>
      </c>
      <c r="M214" s="41" t="s">
        <v>56</v>
      </c>
      <c r="N214" s="10" t="s">
        <v>2661</v>
      </c>
      <c r="O214" s="8"/>
      <c r="P214" s="1"/>
    </row>
    <row r="215" spans="1:16" ht="21" customHeight="1">
      <c r="A215" s="10">
        <v>1</v>
      </c>
      <c r="B215" s="33" t="s">
        <v>2138</v>
      </c>
      <c r="C215" s="41" t="s">
        <v>28</v>
      </c>
      <c r="D215" s="41" t="s">
        <v>2662</v>
      </c>
      <c r="E215" s="41" t="s">
        <v>71</v>
      </c>
      <c r="F215" s="41" t="s">
        <v>2663</v>
      </c>
      <c r="G215" s="41" t="s">
        <v>147</v>
      </c>
      <c r="H215" s="8" t="s">
        <v>33</v>
      </c>
      <c r="I215" s="70" t="s">
        <v>2597</v>
      </c>
      <c r="J215" s="70"/>
      <c r="K215" s="70"/>
      <c r="L215" s="41" t="s">
        <v>34</v>
      </c>
      <c r="M215" s="41" t="s">
        <v>35</v>
      </c>
      <c r="N215" s="10" t="s">
        <v>2664</v>
      </c>
      <c r="O215" s="8"/>
      <c r="P215" s="1"/>
    </row>
    <row r="216" spans="1:16" ht="21" hidden="1" customHeight="1">
      <c r="A216" s="10">
        <v>1</v>
      </c>
      <c r="B216" s="33" t="s">
        <v>2138</v>
      </c>
      <c r="C216" s="41" t="s">
        <v>93</v>
      </c>
      <c r="D216" s="41" t="s">
        <v>2665</v>
      </c>
      <c r="E216" s="41" t="s">
        <v>209</v>
      </c>
      <c r="F216" s="41">
        <v>51985703293</v>
      </c>
      <c r="G216" s="41" t="s">
        <v>85</v>
      </c>
      <c r="H216" s="8" t="s">
        <v>33</v>
      </c>
      <c r="I216" s="70"/>
      <c r="J216" s="70"/>
      <c r="K216" s="70"/>
      <c r="L216" s="41" t="s">
        <v>55</v>
      </c>
      <c r="M216" s="41"/>
      <c r="N216" s="10" t="s">
        <v>2666</v>
      </c>
      <c r="O216" s="8"/>
      <c r="P216" s="1"/>
    </row>
    <row r="217" spans="1:16" ht="21" hidden="1" customHeight="1">
      <c r="A217" s="10">
        <v>1</v>
      </c>
      <c r="B217" s="33" t="s">
        <v>2138</v>
      </c>
      <c r="C217" s="41" t="s">
        <v>93</v>
      </c>
      <c r="D217" s="41" t="s">
        <v>2667</v>
      </c>
      <c r="E217" s="41" t="s">
        <v>165</v>
      </c>
      <c r="F217" s="41" t="s">
        <v>2668</v>
      </c>
      <c r="G217" s="41" t="s">
        <v>66</v>
      </c>
      <c r="H217" s="8" t="s">
        <v>67</v>
      </c>
      <c r="I217" s="70"/>
      <c r="J217" s="70"/>
      <c r="K217" s="70"/>
      <c r="L217" s="41" t="s">
        <v>49</v>
      </c>
      <c r="M217" s="41"/>
      <c r="N217" s="10" t="s">
        <v>2669</v>
      </c>
      <c r="O217" s="8"/>
      <c r="P217" s="1"/>
    </row>
    <row r="218" spans="1:16" ht="21" hidden="1" customHeight="1">
      <c r="A218" s="10">
        <v>1</v>
      </c>
      <c r="B218" s="33" t="s">
        <v>2138</v>
      </c>
      <c r="C218" s="41" t="s">
        <v>93</v>
      </c>
      <c r="D218" s="41" t="s">
        <v>2670</v>
      </c>
      <c r="E218" s="41" t="s">
        <v>39</v>
      </c>
      <c r="F218" s="41" t="s">
        <v>2671</v>
      </c>
      <c r="G218" s="41" t="s">
        <v>41</v>
      </c>
      <c r="H218" s="8" t="s">
        <v>33</v>
      </c>
      <c r="I218" s="70"/>
      <c r="J218" s="70"/>
      <c r="K218" s="70"/>
      <c r="L218" s="41" t="s">
        <v>34</v>
      </c>
      <c r="M218" s="41"/>
      <c r="N218" s="10" t="s">
        <v>2672</v>
      </c>
      <c r="O218" s="8"/>
      <c r="P218" s="1"/>
    </row>
    <row r="219" spans="1:16" ht="21" customHeight="1">
      <c r="A219" s="10">
        <v>1</v>
      </c>
      <c r="B219" s="33" t="s">
        <v>2138</v>
      </c>
      <c r="C219" s="41" t="s">
        <v>28</v>
      </c>
      <c r="D219" s="41" t="s">
        <v>2673</v>
      </c>
      <c r="E219" s="41" t="s">
        <v>145</v>
      </c>
      <c r="F219" s="41">
        <v>51997167196</v>
      </c>
      <c r="G219" s="41" t="s">
        <v>283</v>
      </c>
      <c r="H219" s="8" t="s">
        <v>47</v>
      </c>
      <c r="I219" s="70" t="s">
        <v>2565</v>
      </c>
      <c r="J219" s="70"/>
      <c r="K219" s="70"/>
      <c r="L219" s="41" t="s">
        <v>55</v>
      </c>
      <c r="M219" s="41" t="s">
        <v>56</v>
      </c>
      <c r="N219" s="10" t="s">
        <v>2674</v>
      </c>
      <c r="O219" s="8"/>
      <c r="P219" s="1"/>
    </row>
    <row r="220" spans="1:16" ht="21" customHeight="1">
      <c r="A220" s="10">
        <v>1</v>
      </c>
      <c r="B220" s="33" t="s">
        <v>2227</v>
      </c>
      <c r="C220" s="41" t="s">
        <v>28</v>
      </c>
      <c r="D220" s="41" t="s">
        <v>2675</v>
      </c>
      <c r="E220" s="41" t="s">
        <v>1102</v>
      </c>
      <c r="F220" s="41" t="s">
        <v>2676</v>
      </c>
      <c r="G220" s="41" t="s">
        <v>79</v>
      </c>
      <c r="H220" s="8" t="s">
        <v>47</v>
      </c>
      <c r="I220" s="70"/>
      <c r="J220" s="70"/>
      <c r="K220" s="70"/>
      <c r="L220" s="41" t="s">
        <v>55</v>
      </c>
      <c r="M220" s="41" t="s">
        <v>35</v>
      </c>
      <c r="N220" s="10" t="s">
        <v>2677</v>
      </c>
      <c r="O220" s="8"/>
      <c r="P220" s="1"/>
    </row>
    <row r="221" spans="1:16" ht="21" hidden="1" customHeight="1">
      <c r="A221" s="10">
        <v>1</v>
      </c>
      <c r="B221" s="33" t="s">
        <v>2227</v>
      </c>
      <c r="C221" s="41" t="s">
        <v>93</v>
      </c>
      <c r="D221" s="41" t="s">
        <v>2678</v>
      </c>
      <c r="E221" s="41" t="s">
        <v>363</v>
      </c>
      <c r="F221" s="41">
        <v>51991330569</v>
      </c>
      <c r="G221" s="41" t="s">
        <v>66</v>
      </c>
      <c r="H221" s="8" t="s">
        <v>67</v>
      </c>
      <c r="I221" s="70"/>
      <c r="J221" s="70"/>
      <c r="K221" s="70"/>
      <c r="L221" s="41" t="s">
        <v>55</v>
      </c>
      <c r="M221" s="41"/>
      <c r="N221" s="10" t="s">
        <v>2394</v>
      </c>
      <c r="O221" s="8"/>
      <c r="P221" s="1"/>
    </row>
    <row r="222" spans="1:16" ht="21" hidden="1" customHeight="1">
      <c r="A222" s="10">
        <v>1</v>
      </c>
      <c r="B222" s="33" t="s">
        <v>2227</v>
      </c>
      <c r="C222" s="41" t="s">
        <v>93</v>
      </c>
      <c r="D222" s="41" t="s">
        <v>2679</v>
      </c>
      <c r="E222" s="41" t="s">
        <v>39</v>
      </c>
      <c r="F222" s="41">
        <v>51981901277</v>
      </c>
      <c r="G222" s="41" t="s">
        <v>41</v>
      </c>
      <c r="H222" s="8" t="s">
        <v>33</v>
      </c>
      <c r="I222" s="70"/>
      <c r="J222" s="70"/>
      <c r="K222" s="70"/>
      <c r="L222" s="41" t="s">
        <v>55</v>
      </c>
      <c r="M222" s="41"/>
      <c r="N222" s="10" t="s">
        <v>2680</v>
      </c>
      <c r="O222" s="8"/>
      <c r="P222" s="1"/>
    </row>
    <row r="223" spans="1:16" ht="21" hidden="1" customHeight="1">
      <c r="A223" s="10">
        <v>1</v>
      </c>
      <c r="B223" s="33" t="s">
        <v>2227</v>
      </c>
      <c r="C223" s="41" t="s">
        <v>93</v>
      </c>
      <c r="D223" s="41" t="s">
        <v>2681</v>
      </c>
      <c r="E223" s="41" t="s">
        <v>274</v>
      </c>
      <c r="F223" s="41" t="s">
        <v>2682</v>
      </c>
      <c r="G223" s="41" t="s">
        <v>73</v>
      </c>
      <c r="H223" s="8" t="s">
        <v>33</v>
      </c>
      <c r="I223" s="70"/>
      <c r="J223" s="70"/>
      <c r="K223" s="70"/>
      <c r="L223" s="41" t="s">
        <v>49</v>
      </c>
      <c r="M223" s="41"/>
      <c r="N223" s="10" t="s">
        <v>2683</v>
      </c>
      <c r="O223" s="8"/>
      <c r="P223" s="1"/>
    </row>
    <row r="224" spans="1:16" ht="21" hidden="1" customHeight="1">
      <c r="A224" s="10">
        <v>1</v>
      </c>
      <c r="B224" s="33" t="s">
        <v>2227</v>
      </c>
      <c r="C224" s="41" t="s">
        <v>93</v>
      </c>
      <c r="D224" s="41" t="s">
        <v>2684</v>
      </c>
      <c r="E224" s="41" t="s">
        <v>285</v>
      </c>
      <c r="F224" s="41">
        <v>51981901277</v>
      </c>
      <c r="G224" s="41" t="s">
        <v>66</v>
      </c>
      <c r="H224" s="8" t="s">
        <v>67</v>
      </c>
      <c r="I224" s="70"/>
      <c r="J224" s="70"/>
      <c r="K224" s="70"/>
      <c r="L224" s="41" t="s">
        <v>55</v>
      </c>
      <c r="M224" s="41"/>
      <c r="N224" s="10" t="s">
        <v>2685</v>
      </c>
      <c r="O224" s="8"/>
      <c r="P224" s="1"/>
    </row>
    <row r="225" spans="1:16" ht="21" customHeight="1">
      <c r="A225" s="10">
        <v>1</v>
      </c>
      <c r="B225" s="33" t="s">
        <v>2227</v>
      </c>
      <c r="C225" s="41" t="s">
        <v>28</v>
      </c>
      <c r="D225" s="41" t="s">
        <v>2686</v>
      </c>
      <c r="E225" s="41" t="s">
        <v>2687</v>
      </c>
      <c r="F225" s="41" t="s">
        <v>2688</v>
      </c>
      <c r="G225" s="41" t="s">
        <v>91</v>
      </c>
      <c r="H225" s="8" t="s">
        <v>67</v>
      </c>
      <c r="I225" s="70"/>
      <c r="J225" s="70"/>
      <c r="K225" s="70"/>
      <c r="L225" s="41" t="s">
        <v>49</v>
      </c>
      <c r="M225" s="41" t="s">
        <v>111</v>
      </c>
      <c r="N225" s="10" t="s">
        <v>2689</v>
      </c>
      <c r="O225" s="8"/>
      <c r="P225" s="1"/>
    </row>
    <row r="226" spans="1:16" ht="21" customHeight="1">
      <c r="A226" s="10">
        <v>1</v>
      </c>
      <c r="B226" s="33" t="s">
        <v>2227</v>
      </c>
      <c r="C226" s="41" t="s">
        <v>28</v>
      </c>
      <c r="D226" s="41" t="s">
        <v>2690</v>
      </c>
      <c r="E226" s="41" t="s">
        <v>2687</v>
      </c>
      <c r="F226" s="41" t="s">
        <v>2688</v>
      </c>
      <c r="G226" s="41" t="s">
        <v>91</v>
      </c>
      <c r="H226" s="8" t="s">
        <v>67</v>
      </c>
      <c r="I226" s="70"/>
      <c r="J226" s="70"/>
      <c r="K226" s="70"/>
      <c r="L226" s="41" t="s">
        <v>49</v>
      </c>
      <c r="M226" s="41" t="s">
        <v>111</v>
      </c>
      <c r="N226" s="10" t="s">
        <v>2689</v>
      </c>
      <c r="O226" s="8"/>
      <c r="P226" s="1"/>
    </row>
    <row r="227" spans="1:16" ht="21" hidden="1" customHeight="1">
      <c r="A227" s="10">
        <v>1</v>
      </c>
      <c r="B227" s="33" t="s">
        <v>2227</v>
      </c>
      <c r="C227" s="41" t="s">
        <v>93</v>
      </c>
      <c r="D227" s="41" t="s">
        <v>2691</v>
      </c>
      <c r="E227" s="41" t="s">
        <v>169</v>
      </c>
      <c r="F227" s="41" t="s">
        <v>2692</v>
      </c>
      <c r="G227" s="41" t="s">
        <v>91</v>
      </c>
      <c r="H227" s="8" t="s">
        <v>67</v>
      </c>
      <c r="I227" s="70"/>
      <c r="J227" s="70"/>
      <c r="K227" s="70"/>
      <c r="L227" s="41" t="s">
        <v>49</v>
      </c>
      <c r="M227" s="41"/>
      <c r="N227" s="10" t="s">
        <v>2693</v>
      </c>
      <c r="O227" s="8"/>
      <c r="P227" s="1"/>
    </row>
    <row r="228" spans="1:16" ht="21" customHeight="1">
      <c r="A228" s="10">
        <v>1</v>
      </c>
      <c r="B228" s="33" t="s">
        <v>2227</v>
      </c>
      <c r="C228" s="41" t="s">
        <v>28</v>
      </c>
      <c r="D228" s="41" t="s">
        <v>2694</v>
      </c>
      <c r="E228" s="41" t="s">
        <v>2695</v>
      </c>
      <c r="F228" s="41">
        <v>51980523755</v>
      </c>
      <c r="G228" s="41" t="s">
        <v>238</v>
      </c>
      <c r="H228" s="8" t="s">
        <v>47</v>
      </c>
      <c r="I228" s="70" t="s">
        <v>2565</v>
      </c>
      <c r="J228" s="70"/>
      <c r="K228" s="70"/>
      <c r="L228" s="41" t="s">
        <v>55</v>
      </c>
      <c r="M228" s="41" t="s">
        <v>128</v>
      </c>
      <c r="N228" s="10" t="s">
        <v>129</v>
      </c>
      <c r="O228" s="8"/>
      <c r="P228" s="1"/>
    </row>
    <row r="229" spans="1:16" ht="21" customHeight="1">
      <c r="A229" s="10">
        <v>1</v>
      </c>
      <c r="B229" s="33" t="s">
        <v>2227</v>
      </c>
      <c r="C229" s="41" t="s">
        <v>28</v>
      </c>
      <c r="D229" s="41" t="s">
        <v>2696</v>
      </c>
      <c r="E229" s="41" t="s">
        <v>2697</v>
      </c>
      <c r="F229" s="41" t="s">
        <v>2698</v>
      </c>
      <c r="G229" s="41" t="s">
        <v>53</v>
      </c>
      <c r="H229" s="8" t="s">
        <v>33</v>
      </c>
      <c r="I229" s="70" t="s">
        <v>2597</v>
      </c>
      <c r="J229" s="70"/>
      <c r="K229" s="70"/>
      <c r="L229" s="41" t="s">
        <v>49</v>
      </c>
      <c r="M229" s="41" t="s">
        <v>61</v>
      </c>
      <c r="N229" s="10" t="s">
        <v>2699</v>
      </c>
      <c r="O229" s="8"/>
      <c r="P229" s="1"/>
    </row>
    <row r="230" spans="1:16" ht="21" customHeight="1">
      <c r="A230" s="10">
        <v>1</v>
      </c>
      <c r="B230" s="33" t="s">
        <v>2227</v>
      </c>
      <c r="C230" s="41" t="s">
        <v>28</v>
      </c>
      <c r="D230" s="41" t="s">
        <v>2700</v>
      </c>
      <c r="E230" s="41" t="s">
        <v>2291</v>
      </c>
      <c r="F230" s="41" t="s">
        <v>2701</v>
      </c>
      <c r="G230" s="41" t="s">
        <v>53</v>
      </c>
      <c r="H230" s="8" t="s">
        <v>33</v>
      </c>
      <c r="I230" s="70" t="s">
        <v>2597</v>
      </c>
      <c r="J230" s="70"/>
      <c r="K230" s="70"/>
      <c r="L230" s="41" t="s">
        <v>49</v>
      </c>
      <c r="M230" s="41" t="s">
        <v>80</v>
      </c>
      <c r="N230" s="10" t="s">
        <v>2702</v>
      </c>
      <c r="O230" s="8"/>
      <c r="P230" s="1"/>
    </row>
    <row r="231" spans="1:16" ht="21" hidden="1" customHeight="1">
      <c r="A231" s="10">
        <v>1</v>
      </c>
      <c r="B231" s="33" t="s">
        <v>2227</v>
      </c>
      <c r="C231" s="41" t="s">
        <v>93</v>
      </c>
      <c r="D231" s="41" t="s">
        <v>2423</v>
      </c>
      <c r="E231" s="41" t="s">
        <v>817</v>
      </c>
      <c r="F231" s="41">
        <v>51995019732</v>
      </c>
      <c r="G231" s="41" t="s">
        <v>41</v>
      </c>
      <c r="H231" s="8" t="s">
        <v>33</v>
      </c>
      <c r="I231" s="70"/>
      <c r="J231" s="70"/>
      <c r="K231" s="70"/>
      <c r="L231" s="41" t="s">
        <v>55</v>
      </c>
      <c r="M231" s="41"/>
      <c r="N231" s="10" t="s">
        <v>239</v>
      </c>
      <c r="O231" s="8"/>
      <c r="P231" s="1"/>
    </row>
    <row r="232" spans="1:16" ht="21" customHeight="1">
      <c r="A232" s="10">
        <v>1</v>
      </c>
      <c r="B232" s="33" t="s">
        <v>2227</v>
      </c>
      <c r="C232" s="41" t="s">
        <v>28</v>
      </c>
      <c r="D232" s="41" t="s">
        <v>2703</v>
      </c>
      <c r="E232" s="41" t="s">
        <v>541</v>
      </c>
      <c r="F232" s="41">
        <v>51996453570</v>
      </c>
      <c r="G232" s="41" t="s">
        <v>85</v>
      </c>
      <c r="H232" s="8" t="s">
        <v>33</v>
      </c>
      <c r="I232" s="70"/>
      <c r="J232" s="70"/>
      <c r="K232" s="70"/>
      <c r="L232" s="41" t="s">
        <v>55</v>
      </c>
      <c r="M232" s="41" t="s">
        <v>128</v>
      </c>
      <c r="N232" s="10" t="s">
        <v>120</v>
      </c>
      <c r="O232" s="8"/>
      <c r="P232" s="1"/>
    </row>
    <row r="233" spans="1:16" ht="21" customHeight="1">
      <c r="A233" s="10">
        <v>1</v>
      </c>
      <c r="B233" s="33" t="s">
        <v>2227</v>
      </c>
      <c r="C233" s="41" t="s">
        <v>28</v>
      </c>
      <c r="D233" s="41" t="s">
        <v>2704</v>
      </c>
      <c r="E233" s="41" t="s">
        <v>182</v>
      </c>
      <c r="F233" s="41" t="s">
        <v>2705</v>
      </c>
      <c r="G233" s="41" t="s">
        <v>66</v>
      </c>
      <c r="H233" s="8" t="s">
        <v>67</v>
      </c>
      <c r="I233" s="70"/>
      <c r="J233" s="70"/>
      <c r="K233" s="70"/>
      <c r="L233" s="41" t="s">
        <v>49</v>
      </c>
      <c r="M233" s="41" t="s">
        <v>61</v>
      </c>
      <c r="N233" s="10" t="s">
        <v>2706</v>
      </c>
      <c r="O233" s="8"/>
      <c r="P233" s="1"/>
    </row>
    <row r="234" spans="1:16" ht="21" customHeight="1">
      <c r="A234" s="10">
        <v>1</v>
      </c>
      <c r="B234" s="33" t="s">
        <v>2227</v>
      </c>
      <c r="C234" s="41" t="s">
        <v>28</v>
      </c>
      <c r="D234" s="41" t="s">
        <v>2612</v>
      </c>
      <c r="E234" s="41" t="s">
        <v>39</v>
      </c>
      <c r="F234" s="41" t="s">
        <v>2614</v>
      </c>
      <c r="G234" s="41" t="s">
        <v>41</v>
      </c>
      <c r="H234" s="8" t="s">
        <v>33</v>
      </c>
      <c r="I234" s="70" t="s">
        <v>2306</v>
      </c>
      <c r="J234" s="70"/>
      <c r="K234" s="65">
        <v>69.900000000000006</v>
      </c>
      <c r="L234" s="41" t="s">
        <v>49</v>
      </c>
      <c r="M234" s="41" t="s">
        <v>61</v>
      </c>
      <c r="N234" s="10" t="s">
        <v>2707</v>
      </c>
      <c r="O234" s="8"/>
      <c r="P234" s="1"/>
    </row>
    <row r="235" spans="1:16" ht="21" customHeight="1">
      <c r="A235" s="10">
        <v>1</v>
      </c>
      <c r="B235" s="33" t="s">
        <v>2227</v>
      </c>
      <c r="C235" s="41" t="s">
        <v>28</v>
      </c>
      <c r="D235" s="41" t="s">
        <v>2708</v>
      </c>
      <c r="E235" s="41" t="s">
        <v>363</v>
      </c>
      <c r="F235" s="41" t="s">
        <v>2709</v>
      </c>
      <c r="G235" s="41" t="s">
        <v>66</v>
      </c>
      <c r="H235" s="8" t="s">
        <v>67</v>
      </c>
      <c r="I235" s="70" t="s">
        <v>2640</v>
      </c>
      <c r="J235" s="70"/>
      <c r="K235" s="70"/>
      <c r="L235" s="41" t="s">
        <v>49</v>
      </c>
      <c r="M235" s="41" t="s">
        <v>128</v>
      </c>
      <c r="N235" s="10" t="s">
        <v>2710</v>
      </c>
      <c r="O235" s="8"/>
      <c r="P235" s="1"/>
    </row>
    <row r="236" spans="1:16" ht="21" hidden="1" customHeight="1">
      <c r="A236" s="10">
        <v>1</v>
      </c>
      <c r="B236" s="33" t="s">
        <v>2227</v>
      </c>
      <c r="C236" s="41" t="s">
        <v>93</v>
      </c>
      <c r="D236" s="41" t="s">
        <v>2495</v>
      </c>
      <c r="E236" s="41" t="s">
        <v>186</v>
      </c>
      <c r="F236" s="41" t="s">
        <v>2496</v>
      </c>
      <c r="G236" s="41" t="s">
        <v>66</v>
      </c>
      <c r="H236" s="8" t="s">
        <v>67</v>
      </c>
      <c r="I236" s="70"/>
      <c r="J236" s="70"/>
      <c r="K236" s="70"/>
      <c r="L236" s="41" t="s">
        <v>49</v>
      </c>
      <c r="M236" s="41"/>
      <c r="N236" s="10" t="s">
        <v>2711</v>
      </c>
      <c r="O236" s="8"/>
      <c r="P236" s="1"/>
    </row>
    <row r="237" spans="1:16" ht="21" customHeight="1">
      <c r="A237" s="10">
        <v>1</v>
      </c>
      <c r="B237" s="33" t="s">
        <v>2227</v>
      </c>
      <c r="C237" s="41" t="s">
        <v>28</v>
      </c>
      <c r="D237" s="41" t="s">
        <v>2712</v>
      </c>
      <c r="E237" s="41" t="s">
        <v>2687</v>
      </c>
      <c r="F237" s="41">
        <v>51992021482</v>
      </c>
      <c r="G237" s="41" t="s">
        <v>91</v>
      </c>
      <c r="H237" s="8" t="s">
        <v>67</v>
      </c>
      <c r="I237" s="70"/>
      <c r="J237" s="70"/>
      <c r="K237" s="70"/>
      <c r="L237" s="41" t="s">
        <v>55</v>
      </c>
      <c r="M237" s="41" t="s">
        <v>35</v>
      </c>
      <c r="N237" s="10" t="s">
        <v>2713</v>
      </c>
      <c r="O237" s="8"/>
      <c r="P237" s="1"/>
    </row>
    <row r="238" spans="1:16" ht="21" customHeight="1">
      <c r="A238" s="10">
        <v>1</v>
      </c>
      <c r="B238" s="33" t="s">
        <v>2565</v>
      </c>
      <c r="C238" s="41" t="s">
        <v>28</v>
      </c>
      <c r="D238" s="41" t="s">
        <v>2714</v>
      </c>
      <c r="E238" s="41" t="s">
        <v>2715</v>
      </c>
      <c r="F238" s="41">
        <v>51994599695</v>
      </c>
      <c r="G238" s="41" t="s">
        <v>66</v>
      </c>
      <c r="H238" s="8" t="s">
        <v>67</v>
      </c>
      <c r="I238" s="70" t="s">
        <v>2640</v>
      </c>
      <c r="J238" s="70"/>
      <c r="K238" s="70"/>
      <c r="L238" s="41" t="s">
        <v>55</v>
      </c>
      <c r="M238" s="41" t="s">
        <v>56</v>
      </c>
      <c r="N238" t="s">
        <v>120</v>
      </c>
      <c r="O238" s="8"/>
      <c r="P238" s="1"/>
    </row>
    <row r="239" spans="1:16" ht="21" customHeight="1">
      <c r="A239" s="10">
        <v>1</v>
      </c>
      <c r="B239" s="33" t="s">
        <v>2565</v>
      </c>
      <c r="C239" s="41" t="s">
        <v>28</v>
      </c>
      <c r="D239" s="41" t="s">
        <v>2716</v>
      </c>
      <c r="E239" s="41" t="s">
        <v>145</v>
      </c>
      <c r="F239" s="41">
        <v>51998041031</v>
      </c>
      <c r="G239" s="41" t="s">
        <v>85</v>
      </c>
      <c r="H239" s="8" t="s">
        <v>33</v>
      </c>
      <c r="I239" s="70"/>
      <c r="J239" s="70"/>
      <c r="K239" s="70"/>
      <c r="L239" s="41" t="s">
        <v>55</v>
      </c>
      <c r="M239" s="41" t="s">
        <v>56</v>
      </c>
      <c r="N239" s="10" t="s">
        <v>2717</v>
      </c>
      <c r="O239" s="8"/>
      <c r="P239" s="1"/>
    </row>
    <row r="240" spans="1:16" ht="21" customHeight="1">
      <c r="A240" s="10">
        <v>1</v>
      </c>
      <c r="B240" s="33" t="s">
        <v>2565</v>
      </c>
      <c r="C240" s="41" t="s">
        <v>28</v>
      </c>
      <c r="D240" s="41" t="s">
        <v>2718</v>
      </c>
      <c r="E240" s="41" t="s">
        <v>2526</v>
      </c>
      <c r="F240" s="41">
        <v>51993741134</v>
      </c>
      <c r="G240" s="41" t="s">
        <v>91</v>
      </c>
      <c r="H240" s="8" t="s">
        <v>67</v>
      </c>
      <c r="I240" s="70" t="s">
        <v>2068</v>
      </c>
      <c r="J240" s="70"/>
      <c r="K240" s="70"/>
      <c r="L240" s="41" t="s">
        <v>55</v>
      </c>
      <c r="M240" s="41" t="s">
        <v>61</v>
      </c>
      <c r="N240" s="10" t="s">
        <v>599</v>
      </c>
      <c r="O240" s="8"/>
      <c r="P240" s="1"/>
    </row>
    <row r="241" spans="1:16" ht="21" hidden="1" customHeight="1">
      <c r="A241" s="10">
        <v>1</v>
      </c>
      <c r="B241" s="33" t="s">
        <v>2565</v>
      </c>
      <c r="C241" s="41" t="s">
        <v>93</v>
      </c>
      <c r="D241" s="41" t="s">
        <v>2719</v>
      </c>
      <c r="E241" s="41" t="s">
        <v>1057</v>
      </c>
      <c r="F241" s="41">
        <v>51998006155</v>
      </c>
      <c r="G241" s="41" t="s">
        <v>66</v>
      </c>
      <c r="H241" s="8" t="s">
        <v>67</v>
      </c>
      <c r="I241" s="70"/>
      <c r="J241" s="70"/>
      <c r="K241" s="70"/>
      <c r="L241" s="41" t="s">
        <v>55</v>
      </c>
      <c r="M241" s="41"/>
      <c r="N241" s="10" t="s">
        <v>2456</v>
      </c>
      <c r="O241" s="8"/>
      <c r="P241" s="1"/>
    </row>
    <row r="242" spans="1:16" ht="21" customHeight="1">
      <c r="A242" s="10">
        <v>1</v>
      </c>
      <c r="B242" s="33" t="s">
        <v>2565</v>
      </c>
      <c r="C242" s="41" t="s">
        <v>28</v>
      </c>
      <c r="D242" s="41" t="s">
        <v>2720</v>
      </c>
      <c r="E242" s="41" t="s">
        <v>407</v>
      </c>
      <c r="F242" s="41" t="s">
        <v>2721</v>
      </c>
      <c r="G242" s="41" t="s">
        <v>66</v>
      </c>
      <c r="H242" s="8" t="s">
        <v>67</v>
      </c>
      <c r="I242" s="70" t="s">
        <v>2306</v>
      </c>
      <c r="J242" s="70"/>
      <c r="K242" s="70"/>
      <c r="L242" s="41" t="s">
        <v>49</v>
      </c>
      <c r="M242" s="41" t="s">
        <v>128</v>
      </c>
      <c r="N242" s="10" t="s">
        <v>2722</v>
      </c>
      <c r="O242" s="8"/>
      <c r="P242" s="1"/>
    </row>
    <row r="243" spans="1:16" ht="21" customHeight="1">
      <c r="A243" s="10">
        <v>1</v>
      </c>
      <c r="B243" s="33" t="s">
        <v>2565</v>
      </c>
      <c r="C243" s="41" t="s">
        <v>28</v>
      </c>
      <c r="D243" s="41" t="s">
        <v>2723</v>
      </c>
      <c r="E243" s="41" t="s">
        <v>759</v>
      </c>
      <c r="F243" s="41" t="s">
        <v>2724</v>
      </c>
      <c r="G243" s="41" t="s">
        <v>280</v>
      </c>
      <c r="H243" s="8" t="s">
        <v>33</v>
      </c>
      <c r="I243" s="70" t="s">
        <v>2186</v>
      </c>
      <c r="J243" s="70"/>
      <c r="K243" s="70"/>
      <c r="L243" s="41" t="s">
        <v>49</v>
      </c>
      <c r="M243" s="41" t="s">
        <v>111</v>
      </c>
      <c r="N243" s="10" t="s">
        <v>2725</v>
      </c>
      <c r="O243" s="8"/>
      <c r="P243" s="1"/>
    </row>
    <row r="244" spans="1:16" ht="21" hidden="1" customHeight="1">
      <c r="A244" s="10">
        <v>1</v>
      </c>
      <c r="B244" s="33" t="s">
        <v>2565</v>
      </c>
      <c r="C244" s="41" t="s">
        <v>93</v>
      </c>
      <c r="D244" s="41" t="s">
        <v>2726</v>
      </c>
      <c r="E244" s="41" t="s">
        <v>182</v>
      </c>
      <c r="F244" s="41">
        <v>51996481933</v>
      </c>
      <c r="G244" s="41" t="s">
        <v>66</v>
      </c>
      <c r="H244" s="8" t="s">
        <v>67</v>
      </c>
      <c r="I244" s="70"/>
      <c r="J244" s="70"/>
      <c r="K244" s="70"/>
      <c r="L244" s="41" t="s">
        <v>55</v>
      </c>
      <c r="M244" s="41"/>
      <c r="N244" s="10" t="s">
        <v>2727</v>
      </c>
      <c r="O244" s="8"/>
      <c r="P244" s="1"/>
    </row>
    <row r="245" spans="1:16" ht="21" hidden="1" customHeight="1">
      <c r="A245" s="10">
        <v>1</v>
      </c>
      <c r="B245" s="33" t="s">
        <v>2565</v>
      </c>
      <c r="C245" s="41" t="s">
        <v>93</v>
      </c>
      <c r="D245" s="41" t="s">
        <v>2728</v>
      </c>
      <c r="E245" s="41" t="s">
        <v>992</v>
      </c>
      <c r="F245" s="41">
        <v>51995012715</v>
      </c>
      <c r="G245" s="41" t="s">
        <v>66</v>
      </c>
      <c r="H245" s="8" t="s">
        <v>67</v>
      </c>
      <c r="I245" s="70"/>
      <c r="J245" s="70"/>
      <c r="K245" s="70"/>
      <c r="L245" s="41" t="s">
        <v>55</v>
      </c>
      <c r="M245" s="41"/>
      <c r="N245" s="10" t="s">
        <v>2729</v>
      </c>
      <c r="O245" s="8"/>
      <c r="P245" s="1"/>
    </row>
    <row r="246" spans="1:16" ht="21" customHeight="1">
      <c r="A246" s="10">
        <v>1</v>
      </c>
      <c r="B246" s="33" t="s">
        <v>2565</v>
      </c>
      <c r="C246" s="41" t="s">
        <v>28</v>
      </c>
      <c r="D246" s="41" t="s">
        <v>2730</v>
      </c>
      <c r="E246" s="41" t="s">
        <v>39</v>
      </c>
      <c r="F246" s="41" t="s">
        <v>2731</v>
      </c>
      <c r="G246" s="41" t="s">
        <v>41</v>
      </c>
      <c r="H246" s="8" t="s">
        <v>33</v>
      </c>
      <c r="I246" s="70" t="s">
        <v>2306</v>
      </c>
      <c r="J246" s="70"/>
      <c r="K246" s="65">
        <v>79.900000000000006</v>
      </c>
      <c r="L246" s="41" t="s">
        <v>49</v>
      </c>
      <c r="M246" s="41" t="s">
        <v>61</v>
      </c>
      <c r="N246" s="10" t="s">
        <v>2732</v>
      </c>
      <c r="O246" s="8"/>
      <c r="P246" s="1"/>
    </row>
    <row r="247" spans="1:16" ht="21" hidden="1" customHeight="1">
      <c r="A247" s="10">
        <v>1</v>
      </c>
      <c r="B247" s="33" t="s">
        <v>2565</v>
      </c>
      <c r="C247" s="41" t="s">
        <v>93</v>
      </c>
      <c r="D247" s="41" t="s">
        <v>2733</v>
      </c>
      <c r="E247" s="41" t="s">
        <v>2734</v>
      </c>
      <c r="F247" s="41" t="s">
        <v>2735</v>
      </c>
      <c r="G247" s="41" t="s">
        <v>91</v>
      </c>
      <c r="H247" s="8" t="s">
        <v>67</v>
      </c>
      <c r="I247" s="70"/>
      <c r="J247" s="70"/>
      <c r="K247" s="70"/>
      <c r="L247" s="41" t="s">
        <v>55</v>
      </c>
      <c r="M247" s="41"/>
      <c r="N247" s="10" t="s">
        <v>2736</v>
      </c>
      <c r="O247" s="8"/>
      <c r="P247" s="1"/>
    </row>
    <row r="248" spans="1:16" ht="21" customHeight="1">
      <c r="A248" s="10">
        <v>1</v>
      </c>
      <c r="B248" s="33" t="s">
        <v>2565</v>
      </c>
      <c r="C248" s="41" t="s">
        <v>28</v>
      </c>
      <c r="D248" s="41" t="s">
        <v>2737</v>
      </c>
      <c r="E248" s="41" t="s">
        <v>39</v>
      </c>
      <c r="F248" s="41" t="s">
        <v>2738</v>
      </c>
      <c r="G248" s="41" t="s">
        <v>41</v>
      </c>
      <c r="H248" s="8" t="s">
        <v>33</v>
      </c>
      <c r="I248" s="70" t="s">
        <v>2306</v>
      </c>
      <c r="J248" s="70"/>
      <c r="K248" s="65">
        <v>59.9</v>
      </c>
      <c r="L248" s="41" t="s">
        <v>49</v>
      </c>
      <c r="M248" s="41" t="s">
        <v>35</v>
      </c>
      <c r="N248" s="10" t="s">
        <v>2739</v>
      </c>
      <c r="O248" s="8"/>
      <c r="P248" s="1"/>
    </row>
    <row r="249" spans="1:16" ht="21" hidden="1" customHeight="1">
      <c r="A249" s="10">
        <v>1</v>
      </c>
      <c r="B249" s="33" t="s">
        <v>2565</v>
      </c>
      <c r="C249" s="41" t="s">
        <v>93</v>
      </c>
      <c r="D249" s="41" t="s">
        <v>359</v>
      </c>
      <c r="E249" s="41" t="s">
        <v>145</v>
      </c>
      <c r="F249" s="41" t="s">
        <v>360</v>
      </c>
      <c r="G249" s="41" t="s">
        <v>79</v>
      </c>
      <c r="H249" s="8" t="s">
        <v>47</v>
      </c>
      <c r="I249" s="70"/>
      <c r="J249" s="70"/>
      <c r="K249" s="70"/>
      <c r="L249" s="41" t="s">
        <v>49</v>
      </c>
      <c r="M249" s="41"/>
      <c r="N249" s="10" t="s">
        <v>2740</v>
      </c>
      <c r="O249" s="8"/>
      <c r="P249" s="1"/>
    </row>
    <row r="250" spans="1:16" ht="21" customHeight="1">
      <c r="A250" s="10">
        <v>1</v>
      </c>
      <c r="B250" s="33" t="s">
        <v>2565</v>
      </c>
      <c r="C250" s="41" t="s">
        <v>28</v>
      </c>
      <c r="D250" s="41" t="s">
        <v>2741</v>
      </c>
      <c r="E250" s="41" t="s">
        <v>2742</v>
      </c>
      <c r="F250" s="41" t="s">
        <v>2743</v>
      </c>
      <c r="G250" s="41" t="s">
        <v>73</v>
      </c>
      <c r="H250" s="8" t="s">
        <v>33</v>
      </c>
      <c r="I250" s="70" t="s">
        <v>2597</v>
      </c>
      <c r="J250" s="70"/>
      <c r="K250" s="70"/>
      <c r="L250" s="41" t="s">
        <v>49</v>
      </c>
      <c r="M250" s="41" t="s">
        <v>128</v>
      </c>
      <c r="N250" s="10" t="s">
        <v>2744</v>
      </c>
      <c r="O250" s="8"/>
      <c r="P250" s="1"/>
    </row>
    <row r="251" spans="1:16" ht="21" customHeight="1">
      <c r="A251" s="10">
        <v>1</v>
      </c>
      <c r="B251" s="33" t="s">
        <v>2565</v>
      </c>
      <c r="C251" s="41" t="s">
        <v>28</v>
      </c>
      <c r="D251" s="41" t="s">
        <v>2745</v>
      </c>
      <c r="E251" s="41" t="s">
        <v>454</v>
      </c>
      <c r="F251" s="41" t="s">
        <v>2746</v>
      </c>
      <c r="G251" s="41" t="s">
        <v>66</v>
      </c>
      <c r="H251" s="8" t="s">
        <v>67</v>
      </c>
      <c r="I251" s="70" t="s">
        <v>2306</v>
      </c>
      <c r="J251" s="70"/>
      <c r="K251" s="70"/>
      <c r="L251" s="41" t="s">
        <v>49</v>
      </c>
      <c r="M251" s="41" t="s">
        <v>56</v>
      </c>
      <c r="N251" s="10" t="s">
        <v>2747</v>
      </c>
      <c r="O251" s="8"/>
      <c r="P251" s="1"/>
    </row>
    <row r="252" spans="1:16" ht="21" hidden="1" customHeight="1">
      <c r="A252" s="10">
        <v>1</v>
      </c>
      <c r="B252" s="33" t="s">
        <v>2565</v>
      </c>
      <c r="C252" s="41" t="s">
        <v>93</v>
      </c>
      <c r="D252" s="41" t="s">
        <v>2748</v>
      </c>
      <c r="E252" s="41" t="s">
        <v>39</v>
      </c>
      <c r="F252" s="41" t="s">
        <v>2749</v>
      </c>
      <c r="G252" s="41" t="s">
        <v>41</v>
      </c>
      <c r="H252" s="8" t="s">
        <v>33</v>
      </c>
      <c r="I252" s="70"/>
      <c r="J252" s="70"/>
      <c r="K252" s="70"/>
      <c r="L252" s="41" t="s">
        <v>49</v>
      </c>
      <c r="M252" s="41"/>
      <c r="N252" s="10" t="s">
        <v>2750</v>
      </c>
      <c r="O252" s="8"/>
      <c r="P252" s="1"/>
    </row>
    <row r="253" spans="1:16" ht="21" hidden="1" customHeight="1">
      <c r="A253" s="10">
        <v>1</v>
      </c>
      <c r="B253" s="33" t="s">
        <v>2565</v>
      </c>
      <c r="C253" s="41" t="s">
        <v>93</v>
      </c>
      <c r="D253" s="41" t="s">
        <v>2751</v>
      </c>
      <c r="E253" s="41" t="s">
        <v>2752</v>
      </c>
      <c r="F253" s="41">
        <v>51982016065</v>
      </c>
      <c r="G253" s="41" t="s">
        <v>66</v>
      </c>
      <c r="H253" s="8" t="s">
        <v>67</v>
      </c>
      <c r="I253" s="70"/>
      <c r="J253" s="70"/>
      <c r="K253" s="70"/>
      <c r="L253" s="41" t="s">
        <v>55</v>
      </c>
      <c r="M253" s="41"/>
      <c r="N253" s="10" t="s">
        <v>239</v>
      </c>
      <c r="O253" s="8"/>
      <c r="P253" s="1"/>
    </row>
    <row r="254" spans="1:16" ht="21" customHeight="1">
      <c r="A254" s="10">
        <v>1</v>
      </c>
      <c r="B254" s="33" t="s">
        <v>2565</v>
      </c>
      <c r="C254" s="41" t="s">
        <v>28</v>
      </c>
      <c r="D254" s="41" t="s">
        <v>2753</v>
      </c>
      <c r="E254" s="41" t="s">
        <v>2754</v>
      </c>
      <c r="F254" s="41" t="s">
        <v>2755</v>
      </c>
      <c r="G254" s="41" t="s">
        <v>310</v>
      </c>
      <c r="H254" s="8" t="s">
        <v>47</v>
      </c>
      <c r="I254" s="70" t="s">
        <v>2640</v>
      </c>
      <c r="J254" s="70"/>
      <c r="K254" s="70"/>
      <c r="L254" s="41" t="s">
        <v>34</v>
      </c>
      <c r="M254" s="41" t="s">
        <v>128</v>
      </c>
      <c r="N254" s="10" t="s">
        <v>2756</v>
      </c>
      <c r="O254" s="8"/>
      <c r="P254" s="1"/>
    </row>
    <row r="255" spans="1:16" ht="21" customHeight="1">
      <c r="A255" s="10">
        <v>1</v>
      </c>
      <c r="B255" s="33" t="s">
        <v>2565</v>
      </c>
      <c r="C255" s="41" t="s">
        <v>28</v>
      </c>
      <c r="D255" s="41" t="s">
        <v>2753</v>
      </c>
      <c r="E255" s="41" t="s">
        <v>145</v>
      </c>
      <c r="F255" s="41" t="s">
        <v>2757</v>
      </c>
      <c r="G255" s="41" t="s">
        <v>310</v>
      </c>
      <c r="H255" s="8" t="s">
        <v>47</v>
      </c>
      <c r="I255" s="70" t="s">
        <v>2640</v>
      </c>
      <c r="J255" s="70"/>
      <c r="K255" s="70"/>
      <c r="L255" s="41" t="s">
        <v>34</v>
      </c>
      <c r="M255" s="41" t="s">
        <v>128</v>
      </c>
      <c r="N255" s="10" t="s">
        <v>2758</v>
      </c>
      <c r="O255" s="8"/>
      <c r="P255" s="1"/>
    </row>
    <row r="256" spans="1:16" ht="21" customHeight="1">
      <c r="A256" s="10">
        <v>1</v>
      </c>
      <c r="B256" s="33" t="s">
        <v>2565</v>
      </c>
      <c r="C256" s="41" t="s">
        <v>28</v>
      </c>
      <c r="D256" s="41" t="s">
        <v>2759</v>
      </c>
      <c r="E256" s="41" t="s">
        <v>893</v>
      </c>
      <c r="F256" s="41">
        <v>51998427950</v>
      </c>
      <c r="G256" s="41" t="s">
        <v>280</v>
      </c>
      <c r="H256" s="8" t="s">
        <v>33</v>
      </c>
      <c r="I256" s="70" t="s">
        <v>2760</v>
      </c>
      <c r="J256" s="70"/>
      <c r="K256" s="70"/>
      <c r="L256" s="41" t="s">
        <v>55</v>
      </c>
      <c r="M256" s="41" t="s">
        <v>80</v>
      </c>
      <c r="N256" s="10" t="s">
        <v>120</v>
      </c>
      <c r="O256" s="8"/>
      <c r="P256" s="1"/>
    </row>
    <row r="257" spans="1:16" ht="21" customHeight="1">
      <c r="A257" s="10">
        <v>1</v>
      </c>
      <c r="B257" s="33" t="s">
        <v>2565</v>
      </c>
      <c r="C257" s="41" t="s">
        <v>28</v>
      </c>
      <c r="D257" s="41" t="s">
        <v>2761</v>
      </c>
      <c r="E257" s="41" t="s">
        <v>1542</v>
      </c>
      <c r="F257" s="41" t="s">
        <v>2762</v>
      </c>
      <c r="G257" s="41" t="s">
        <v>85</v>
      </c>
      <c r="H257" s="8" t="s">
        <v>33</v>
      </c>
      <c r="I257" s="70" t="s">
        <v>2186</v>
      </c>
      <c r="J257" s="70"/>
      <c r="K257" s="70"/>
      <c r="L257" s="41" t="s">
        <v>34</v>
      </c>
      <c r="M257" s="41" t="s">
        <v>128</v>
      </c>
      <c r="N257" s="10" t="s">
        <v>2763</v>
      </c>
      <c r="O257" s="8"/>
      <c r="P257" s="1"/>
    </row>
    <row r="258" spans="1:16" ht="21" customHeight="1">
      <c r="A258" s="10">
        <v>1</v>
      </c>
      <c r="B258" s="33" t="s">
        <v>2565</v>
      </c>
      <c r="C258" s="41" t="s">
        <v>28</v>
      </c>
      <c r="D258" s="41" t="s">
        <v>2439</v>
      </c>
      <c r="E258" s="41" t="s">
        <v>39</v>
      </c>
      <c r="F258" s="41" t="s">
        <v>2764</v>
      </c>
      <c r="G258" s="41" t="s">
        <v>41</v>
      </c>
      <c r="H258" s="8" t="s">
        <v>33</v>
      </c>
      <c r="I258" s="70" t="s">
        <v>2306</v>
      </c>
      <c r="J258" s="70"/>
      <c r="K258" s="65">
        <v>99.9</v>
      </c>
      <c r="L258" s="41" t="s">
        <v>34</v>
      </c>
      <c r="M258" s="41" t="s">
        <v>61</v>
      </c>
      <c r="N258" s="10" t="s">
        <v>2765</v>
      </c>
      <c r="O258" s="8"/>
      <c r="P258" s="1"/>
    </row>
    <row r="259" spans="1:16" ht="21" customHeight="1">
      <c r="A259" s="10">
        <v>1</v>
      </c>
      <c r="B259" s="33" t="s">
        <v>2068</v>
      </c>
      <c r="C259" s="41" t="s">
        <v>28</v>
      </c>
      <c r="D259" s="41" t="s">
        <v>2766</v>
      </c>
      <c r="E259" s="41" t="s">
        <v>785</v>
      </c>
      <c r="F259" s="41">
        <v>51993553971</v>
      </c>
      <c r="G259" s="41" t="s">
        <v>66</v>
      </c>
      <c r="H259" s="8" t="s">
        <v>67</v>
      </c>
      <c r="I259" s="70" t="s">
        <v>2186</v>
      </c>
      <c r="J259" s="70"/>
      <c r="K259" s="70"/>
      <c r="L259" s="41" t="s">
        <v>55</v>
      </c>
      <c r="M259" s="41" t="s">
        <v>61</v>
      </c>
      <c r="N259" s="10" t="s">
        <v>358</v>
      </c>
      <c r="O259" s="8"/>
      <c r="P259" s="1"/>
    </row>
    <row r="260" spans="1:16" ht="20.25" customHeight="1">
      <c r="A260" s="10">
        <v>1</v>
      </c>
      <c r="B260" s="33" t="s">
        <v>2068</v>
      </c>
      <c r="C260" s="41" t="s">
        <v>28</v>
      </c>
      <c r="D260" s="41" t="s">
        <v>2767</v>
      </c>
      <c r="E260" s="41" t="s">
        <v>315</v>
      </c>
      <c r="F260" s="41">
        <v>51982801002</v>
      </c>
      <c r="G260" s="41" t="s">
        <v>66</v>
      </c>
      <c r="H260" s="8" t="s">
        <v>67</v>
      </c>
      <c r="I260" s="70" t="s">
        <v>210</v>
      </c>
      <c r="J260" s="70"/>
      <c r="K260" s="70"/>
      <c r="L260" s="41" t="s">
        <v>55</v>
      </c>
      <c r="M260" s="41" t="s">
        <v>128</v>
      </c>
      <c r="N260" s="10" t="s">
        <v>129</v>
      </c>
      <c r="O260" s="8"/>
      <c r="P260" s="1"/>
    </row>
    <row r="261" spans="1:16" ht="20.25" hidden="1" customHeight="1">
      <c r="A261" s="10">
        <v>1</v>
      </c>
      <c r="B261" s="33" t="s">
        <v>2068</v>
      </c>
      <c r="C261" s="41" t="s">
        <v>93</v>
      </c>
      <c r="D261" s="41" t="s">
        <v>2768</v>
      </c>
      <c r="E261" s="41" t="s">
        <v>2769</v>
      </c>
      <c r="F261" s="41" t="s">
        <v>2770</v>
      </c>
      <c r="G261" s="41" t="s">
        <v>85</v>
      </c>
      <c r="H261" s="8" t="s">
        <v>33</v>
      </c>
      <c r="I261" s="70"/>
      <c r="J261" s="70"/>
      <c r="K261" s="70"/>
      <c r="L261" s="41" t="s">
        <v>49</v>
      </c>
      <c r="M261" s="41"/>
      <c r="N261" s="10" t="s">
        <v>2771</v>
      </c>
      <c r="O261" s="8"/>
      <c r="P261" s="1"/>
    </row>
    <row r="262" spans="1:16" ht="20.25" customHeight="1">
      <c r="A262" s="10">
        <v>1</v>
      </c>
      <c r="B262" s="33" t="s">
        <v>2068</v>
      </c>
      <c r="C262" s="41" t="s">
        <v>28</v>
      </c>
      <c r="D262" s="41" t="s">
        <v>2772</v>
      </c>
      <c r="E262" s="41" t="s">
        <v>1134</v>
      </c>
      <c r="F262" s="41">
        <v>51980130318</v>
      </c>
      <c r="G262" s="41" t="s">
        <v>41</v>
      </c>
      <c r="H262" s="8" t="s">
        <v>33</v>
      </c>
      <c r="I262" s="70" t="s">
        <v>54</v>
      </c>
      <c r="J262" s="70"/>
      <c r="K262" s="70"/>
      <c r="L262" s="41" t="s">
        <v>55</v>
      </c>
      <c r="M262" s="41" t="s">
        <v>35</v>
      </c>
      <c r="N262" s="10" t="s">
        <v>2773</v>
      </c>
      <c r="O262" s="8"/>
      <c r="P262" s="1"/>
    </row>
    <row r="263" spans="1:16" ht="20.25" customHeight="1">
      <c r="A263" s="10">
        <v>1</v>
      </c>
      <c r="B263" s="33" t="s">
        <v>2068</v>
      </c>
      <c r="C263" s="41" t="s">
        <v>28</v>
      </c>
      <c r="D263" s="41" t="s">
        <v>2774</v>
      </c>
      <c r="E263" s="41" t="s">
        <v>283</v>
      </c>
      <c r="F263" s="41">
        <v>54999786156</v>
      </c>
      <c r="G263" s="41" t="s">
        <v>283</v>
      </c>
      <c r="H263" s="8" t="s">
        <v>47</v>
      </c>
      <c r="I263" s="70" t="s">
        <v>210</v>
      </c>
      <c r="J263" s="70"/>
      <c r="K263" s="70"/>
      <c r="L263" s="41" t="s">
        <v>55</v>
      </c>
      <c r="M263" s="41" t="s">
        <v>56</v>
      </c>
      <c r="N263" s="10" t="s">
        <v>120</v>
      </c>
      <c r="O263" s="8"/>
      <c r="P263" s="1"/>
    </row>
    <row r="264" spans="1:16" ht="20.25" customHeight="1">
      <c r="A264" s="10">
        <v>1</v>
      </c>
      <c r="B264" s="33" t="s">
        <v>2068</v>
      </c>
      <c r="C264" s="41" t="s">
        <v>28</v>
      </c>
      <c r="D264" s="41" t="s">
        <v>2775</v>
      </c>
      <c r="E264" s="41" t="s">
        <v>1102</v>
      </c>
      <c r="F264" s="41" t="s">
        <v>2776</v>
      </c>
      <c r="G264" s="41" t="s">
        <v>79</v>
      </c>
      <c r="H264" s="8" t="s">
        <v>47</v>
      </c>
      <c r="I264" s="70" t="s">
        <v>210</v>
      </c>
      <c r="J264" s="70"/>
      <c r="K264" s="70"/>
      <c r="L264" s="41" t="s">
        <v>49</v>
      </c>
      <c r="M264" s="41" t="s">
        <v>128</v>
      </c>
      <c r="N264" s="10" t="s">
        <v>2777</v>
      </c>
      <c r="O264" s="8"/>
      <c r="P264" s="1"/>
    </row>
    <row r="265" spans="1:16" ht="20.25" hidden="1" customHeight="1">
      <c r="A265" s="10">
        <v>1</v>
      </c>
      <c r="B265" s="33" t="s">
        <v>2068</v>
      </c>
      <c r="C265" s="41" t="s">
        <v>93</v>
      </c>
      <c r="D265" s="41" t="s">
        <v>2778</v>
      </c>
      <c r="E265" s="41" t="s">
        <v>145</v>
      </c>
      <c r="F265" s="41" t="s">
        <v>2779</v>
      </c>
      <c r="G265" s="41" t="s">
        <v>238</v>
      </c>
      <c r="H265" s="8" t="s">
        <v>47</v>
      </c>
      <c r="I265" s="70"/>
      <c r="J265" s="70"/>
      <c r="K265" s="70"/>
      <c r="L265" s="41" t="s">
        <v>49</v>
      </c>
      <c r="M265" s="41"/>
      <c r="N265" s="10" t="s">
        <v>2780</v>
      </c>
      <c r="O265" s="8"/>
      <c r="P265" s="1"/>
    </row>
    <row r="266" spans="1:16" ht="20.25" customHeight="1">
      <c r="A266" s="10">
        <v>1</v>
      </c>
      <c r="B266" s="33" t="s">
        <v>2068</v>
      </c>
      <c r="C266" s="41" t="s">
        <v>28</v>
      </c>
      <c r="D266" s="41" t="s">
        <v>2781</v>
      </c>
      <c r="E266" s="41" t="s">
        <v>186</v>
      </c>
      <c r="F266" s="41" t="s">
        <v>2782</v>
      </c>
      <c r="G266" s="41" t="s">
        <v>66</v>
      </c>
      <c r="H266" s="8" t="s">
        <v>67</v>
      </c>
      <c r="I266" s="70" t="s">
        <v>2783</v>
      </c>
      <c r="J266" s="70"/>
      <c r="K266" s="70"/>
      <c r="L266" s="41" t="s">
        <v>49</v>
      </c>
      <c r="M266" s="41" t="s">
        <v>128</v>
      </c>
      <c r="N266" s="10" t="s">
        <v>2784</v>
      </c>
      <c r="O266" s="8"/>
      <c r="P266" s="1"/>
    </row>
    <row r="267" spans="1:16" ht="20.25" hidden="1" customHeight="1">
      <c r="A267" s="10">
        <v>1</v>
      </c>
      <c r="B267" s="33" t="s">
        <v>2068</v>
      </c>
      <c r="C267" s="41" t="s">
        <v>93</v>
      </c>
      <c r="D267" s="41" t="s">
        <v>2785</v>
      </c>
      <c r="E267" s="41" t="s">
        <v>363</v>
      </c>
      <c r="F267" s="41">
        <v>51995347868</v>
      </c>
      <c r="G267" s="41" t="s">
        <v>66</v>
      </c>
      <c r="H267" s="8" t="s">
        <v>67</v>
      </c>
      <c r="I267" s="70"/>
      <c r="J267" s="70"/>
      <c r="K267" s="70"/>
      <c r="L267" s="41" t="s">
        <v>55</v>
      </c>
      <c r="M267" s="41"/>
      <c r="N267" s="10" t="s">
        <v>2786</v>
      </c>
      <c r="O267" s="8"/>
      <c r="P267" s="1"/>
    </row>
    <row r="268" spans="1:16" ht="20.25" customHeight="1">
      <c r="A268" s="10">
        <v>1</v>
      </c>
      <c r="B268" s="33" t="s">
        <v>2068</v>
      </c>
      <c r="C268" s="41" t="s">
        <v>28</v>
      </c>
      <c r="D268" s="41" t="s">
        <v>2787</v>
      </c>
      <c r="E268" s="41" t="s">
        <v>145</v>
      </c>
      <c r="F268" s="41" t="s">
        <v>2788</v>
      </c>
      <c r="G268" s="41" t="s">
        <v>79</v>
      </c>
      <c r="H268" s="8" t="s">
        <v>47</v>
      </c>
      <c r="I268" s="70"/>
      <c r="J268" s="70"/>
      <c r="K268" s="70"/>
      <c r="L268" s="41" t="s">
        <v>49</v>
      </c>
      <c r="M268" s="41" t="s">
        <v>56</v>
      </c>
      <c r="N268" s="10" t="s">
        <v>2789</v>
      </c>
      <c r="O268" s="8"/>
      <c r="P268" s="1"/>
    </row>
    <row r="269" spans="1:16" ht="20.25" hidden="1" customHeight="1">
      <c r="A269" s="10">
        <v>1</v>
      </c>
      <c r="B269" s="33" t="s">
        <v>2068</v>
      </c>
      <c r="C269" s="41" t="s">
        <v>93</v>
      </c>
      <c r="D269" s="41" t="s">
        <v>2790</v>
      </c>
      <c r="E269" s="41" t="s">
        <v>292</v>
      </c>
      <c r="F269" s="41" t="s">
        <v>2791</v>
      </c>
      <c r="G269" s="41" t="s">
        <v>41</v>
      </c>
      <c r="H269" s="8" t="s">
        <v>33</v>
      </c>
      <c r="I269" s="70"/>
      <c r="J269" s="70"/>
      <c r="K269" s="70"/>
      <c r="L269" s="41" t="s">
        <v>49</v>
      </c>
      <c r="M269" s="41"/>
      <c r="N269" s="10" t="s">
        <v>2792</v>
      </c>
      <c r="O269" s="8"/>
      <c r="P269" s="1"/>
    </row>
    <row r="270" spans="1:16" ht="20.25" customHeight="1">
      <c r="A270" s="10">
        <v>1</v>
      </c>
      <c r="B270" s="33" t="s">
        <v>2068</v>
      </c>
      <c r="C270" s="41" t="s">
        <v>28</v>
      </c>
      <c r="D270" s="41" t="s">
        <v>2520</v>
      </c>
      <c r="E270" s="41" t="s">
        <v>145</v>
      </c>
      <c r="F270" s="41" t="s">
        <v>2521</v>
      </c>
      <c r="G270" s="41" t="s">
        <v>32</v>
      </c>
      <c r="H270" s="8" t="s">
        <v>33</v>
      </c>
      <c r="I270" s="70" t="s">
        <v>2186</v>
      </c>
      <c r="J270" s="70"/>
      <c r="K270" s="70"/>
      <c r="L270" s="41" t="s">
        <v>49</v>
      </c>
      <c r="M270" s="41" t="s">
        <v>35</v>
      </c>
      <c r="N270" s="10" t="s">
        <v>2793</v>
      </c>
      <c r="O270" s="8"/>
      <c r="P270" s="1"/>
    </row>
    <row r="271" spans="1:16" ht="20.25" customHeight="1">
      <c r="A271" s="10">
        <v>1</v>
      </c>
      <c r="B271" s="33" t="s">
        <v>2068</v>
      </c>
      <c r="C271" s="41" t="s">
        <v>28</v>
      </c>
      <c r="D271" s="41" t="s">
        <v>2794</v>
      </c>
      <c r="E271" s="41" t="s">
        <v>992</v>
      </c>
      <c r="F271" s="41"/>
      <c r="G271" s="41" t="s">
        <v>66</v>
      </c>
      <c r="H271" s="8" t="s">
        <v>67</v>
      </c>
      <c r="I271" s="70" t="s">
        <v>2306</v>
      </c>
      <c r="J271" s="70"/>
      <c r="K271" s="70"/>
      <c r="L271" s="41" t="s">
        <v>49</v>
      </c>
      <c r="M271" s="41" t="s">
        <v>35</v>
      </c>
      <c r="N271" s="10" t="s">
        <v>2795</v>
      </c>
      <c r="O271" s="8"/>
      <c r="P271" s="1"/>
    </row>
    <row r="272" spans="1:16" ht="20.25" hidden="1" customHeight="1">
      <c r="A272" s="10">
        <v>1</v>
      </c>
      <c r="B272" s="33" t="s">
        <v>2068</v>
      </c>
      <c r="C272" s="41" t="s">
        <v>93</v>
      </c>
      <c r="D272" s="41" t="s">
        <v>2796</v>
      </c>
      <c r="E272" s="41" t="s">
        <v>145</v>
      </c>
      <c r="F272" s="41">
        <v>51989486822</v>
      </c>
      <c r="G272" s="41" t="s">
        <v>79</v>
      </c>
      <c r="H272" s="8" t="s">
        <v>47</v>
      </c>
      <c r="I272" s="70"/>
      <c r="J272" s="70"/>
      <c r="K272" s="70"/>
      <c r="L272" s="41" t="s">
        <v>55</v>
      </c>
      <c r="M272" s="41"/>
      <c r="N272" s="10" t="s">
        <v>2797</v>
      </c>
      <c r="O272" s="8"/>
      <c r="P272" s="1"/>
    </row>
    <row r="273" spans="1:16" ht="20.25" hidden="1" customHeight="1">
      <c r="A273" s="10">
        <v>1</v>
      </c>
      <c r="B273" s="33" t="s">
        <v>2068</v>
      </c>
      <c r="C273" s="41" t="s">
        <v>93</v>
      </c>
      <c r="D273" s="41" t="s">
        <v>2798</v>
      </c>
      <c r="E273" s="41" t="s">
        <v>2799</v>
      </c>
      <c r="F273" s="41" t="s">
        <v>2800</v>
      </c>
      <c r="G273" s="41" t="s">
        <v>91</v>
      </c>
      <c r="H273" s="8" t="s">
        <v>67</v>
      </c>
      <c r="I273" s="70"/>
      <c r="J273" s="70"/>
      <c r="K273" s="70"/>
      <c r="L273" s="41" t="s">
        <v>49</v>
      </c>
      <c r="M273" s="41"/>
      <c r="N273" s="10" t="s">
        <v>2801</v>
      </c>
      <c r="O273" s="8"/>
      <c r="P273" s="1"/>
    </row>
    <row r="274" spans="1:16" ht="20.25" customHeight="1">
      <c r="A274" s="10">
        <v>1</v>
      </c>
      <c r="B274" s="33" t="s">
        <v>2068</v>
      </c>
      <c r="C274" s="41" t="s">
        <v>28</v>
      </c>
      <c r="D274" s="41" t="s">
        <v>2802</v>
      </c>
      <c r="E274" s="41" t="s">
        <v>39</v>
      </c>
      <c r="F274" s="41" t="s">
        <v>2803</v>
      </c>
      <c r="G274" s="41" t="s">
        <v>41</v>
      </c>
      <c r="H274" s="8" t="s">
        <v>33</v>
      </c>
      <c r="I274" s="70" t="s">
        <v>2306</v>
      </c>
      <c r="J274" s="70"/>
      <c r="K274" s="65">
        <v>79.900000000000006</v>
      </c>
      <c r="L274" s="41" t="s">
        <v>49</v>
      </c>
      <c r="M274" s="41" t="s">
        <v>35</v>
      </c>
      <c r="N274" s="10" t="s">
        <v>2804</v>
      </c>
      <c r="O274" s="8"/>
      <c r="P274" s="1"/>
    </row>
    <row r="275" spans="1:16" ht="20.25" customHeight="1">
      <c r="A275" s="10">
        <v>1</v>
      </c>
      <c r="B275" s="33" t="s">
        <v>2068</v>
      </c>
      <c r="C275" s="41" t="s">
        <v>28</v>
      </c>
      <c r="D275" s="41" t="s">
        <v>2805</v>
      </c>
      <c r="E275" s="41" t="s">
        <v>2638</v>
      </c>
      <c r="F275" s="41" t="s">
        <v>2806</v>
      </c>
      <c r="G275" s="41" t="s">
        <v>66</v>
      </c>
      <c r="H275" s="8" t="s">
        <v>67</v>
      </c>
      <c r="I275" s="70" t="s">
        <v>2306</v>
      </c>
      <c r="J275" s="70"/>
      <c r="K275" s="70"/>
      <c r="L275" s="41" t="s">
        <v>49</v>
      </c>
      <c r="M275" s="41" t="s">
        <v>80</v>
      </c>
      <c r="N275" s="10" t="s">
        <v>2807</v>
      </c>
      <c r="O275" s="8"/>
      <c r="P275" s="1"/>
    </row>
    <row r="276" spans="1:16" ht="21" hidden="1" customHeight="1">
      <c r="A276" s="10">
        <v>1</v>
      </c>
      <c r="B276" s="33" t="s">
        <v>2068</v>
      </c>
      <c r="C276" s="41" t="s">
        <v>93</v>
      </c>
      <c r="D276" s="41" t="s">
        <v>2808</v>
      </c>
      <c r="E276" s="41" t="s">
        <v>305</v>
      </c>
      <c r="F276" s="41">
        <v>51995052872</v>
      </c>
      <c r="G276" s="41" t="s">
        <v>305</v>
      </c>
      <c r="H276" s="8" t="s">
        <v>33</v>
      </c>
      <c r="I276" s="70"/>
      <c r="J276" s="70"/>
      <c r="K276" s="70"/>
      <c r="L276" s="41" t="s">
        <v>55</v>
      </c>
      <c r="M276" s="41"/>
      <c r="N276" s="10" t="s">
        <v>102</v>
      </c>
      <c r="O276" s="8"/>
      <c r="P276" s="1"/>
    </row>
    <row r="277" spans="1:16" ht="21" hidden="1" customHeight="1">
      <c r="A277" s="10">
        <v>1</v>
      </c>
      <c r="B277" s="33" t="s">
        <v>2068</v>
      </c>
      <c r="C277" s="41" t="s">
        <v>93</v>
      </c>
      <c r="D277" s="41" t="s">
        <v>2809</v>
      </c>
      <c r="E277" s="41" t="s">
        <v>363</v>
      </c>
      <c r="F277" s="41" t="s">
        <v>2810</v>
      </c>
      <c r="G277" s="41" t="s">
        <v>66</v>
      </c>
      <c r="H277" s="8" t="s">
        <v>67</v>
      </c>
      <c r="I277" s="70"/>
      <c r="J277" s="70"/>
      <c r="K277" s="70"/>
      <c r="L277" s="41" t="s">
        <v>49</v>
      </c>
      <c r="M277" s="41"/>
      <c r="N277" s="10" t="s">
        <v>2811</v>
      </c>
      <c r="O277" s="8"/>
      <c r="P277" s="1"/>
    </row>
    <row r="278" spans="1:16" ht="21" hidden="1" customHeight="1">
      <c r="A278" s="75">
        <v>1</v>
      </c>
      <c r="B278" s="107" t="s">
        <v>2068</v>
      </c>
      <c r="C278" s="41" t="s">
        <v>93</v>
      </c>
      <c r="D278" s="41" t="s">
        <v>2812</v>
      </c>
      <c r="E278" s="41" t="s">
        <v>2541</v>
      </c>
      <c r="F278" s="41">
        <v>51993311029</v>
      </c>
      <c r="G278" s="41" t="s">
        <v>66</v>
      </c>
      <c r="H278" s="8" t="s">
        <v>67</v>
      </c>
      <c r="I278" s="70"/>
      <c r="J278" s="70"/>
      <c r="K278" s="70"/>
      <c r="L278" s="41" t="s">
        <v>55</v>
      </c>
      <c r="M278" s="41"/>
      <c r="N278" s="10" t="s">
        <v>2685</v>
      </c>
      <c r="O278" s="8"/>
      <c r="P278" s="1"/>
    </row>
    <row r="279" spans="1:16" ht="21" customHeight="1">
      <c r="A279" s="10">
        <v>1</v>
      </c>
      <c r="B279" s="33" t="s">
        <v>2068</v>
      </c>
      <c r="C279" s="41" t="s">
        <v>28</v>
      </c>
      <c r="D279" s="41" t="s">
        <v>2813</v>
      </c>
      <c r="E279" s="41" t="s">
        <v>238</v>
      </c>
      <c r="F279" s="41" t="s">
        <v>2814</v>
      </c>
      <c r="G279" s="41" t="s">
        <v>238</v>
      </c>
      <c r="H279" s="8" t="s">
        <v>47</v>
      </c>
      <c r="I279" s="70" t="s">
        <v>210</v>
      </c>
      <c r="J279" s="70"/>
      <c r="K279" s="70"/>
      <c r="L279" s="41" t="s">
        <v>34</v>
      </c>
      <c r="M279" s="41" t="s">
        <v>35</v>
      </c>
      <c r="N279" s="10" t="s">
        <v>2815</v>
      </c>
      <c r="O279" s="8"/>
      <c r="P279" s="1"/>
    </row>
    <row r="280" spans="1:16" ht="21" customHeight="1">
      <c r="A280" s="10">
        <v>1</v>
      </c>
      <c r="B280" s="33" t="s">
        <v>2640</v>
      </c>
      <c r="C280" s="41" t="s">
        <v>28</v>
      </c>
      <c r="D280" s="41" t="s">
        <v>2816</v>
      </c>
      <c r="E280" s="41" t="s">
        <v>759</v>
      </c>
      <c r="F280" s="41" t="s">
        <v>2817</v>
      </c>
      <c r="G280" s="41" t="s">
        <v>53</v>
      </c>
      <c r="H280" s="8" t="s">
        <v>33</v>
      </c>
      <c r="I280" s="70" t="s">
        <v>2597</v>
      </c>
      <c r="J280" s="70"/>
      <c r="K280" s="70"/>
      <c r="L280" s="41" t="s">
        <v>49</v>
      </c>
      <c r="M280" s="41" t="s">
        <v>61</v>
      </c>
      <c r="N280" s="10" t="s">
        <v>2818</v>
      </c>
      <c r="O280" s="8"/>
      <c r="P280" s="1"/>
    </row>
    <row r="281" spans="1:16" ht="21" customHeight="1">
      <c r="A281" s="10">
        <v>1</v>
      </c>
      <c r="B281" s="33" t="s">
        <v>2640</v>
      </c>
      <c r="C281" s="41" t="s">
        <v>28</v>
      </c>
      <c r="D281" s="41" t="s">
        <v>2819</v>
      </c>
      <c r="E281" s="41" t="s">
        <v>446</v>
      </c>
      <c r="F281" s="41" t="s">
        <v>2820</v>
      </c>
      <c r="G281" s="41" t="s">
        <v>66</v>
      </c>
      <c r="H281" s="8" t="s">
        <v>67</v>
      </c>
      <c r="I281" s="70" t="s">
        <v>2306</v>
      </c>
      <c r="J281" s="70"/>
      <c r="K281" s="70"/>
      <c r="L281" s="41" t="s">
        <v>49</v>
      </c>
      <c r="M281" s="41" t="s">
        <v>128</v>
      </c>
      <c r="N281" s="10" t="s">
        <v>2821</v>
      </c>
      <c r="O281" s="8"/>
      <c r="P281" s="1"/>
    </row>
    <row r="282" spans="1:16" ht="21" hidden="1" customHeight="1">
      <c r="A282" s="10">
        <v>1</v>
      </c>
      <c r="B282" s="33" t="s">
        <v>2640</v>
      </c>
      <c r="C282" s="41" t="s">
        <v>93</v>
      </c>
      <c r="D282" s="41" t="s">
        <v>2822</v>
      </c>
      <c r="E282" s="41" t="s">
        <v>89</v>
      </c>
      <c r="F282" s="41" t="s">
        <v>2823</v>
      </c>
      <c r="G282" s="41" t="s">
        <v>91</v>
      </c>
      <c r="H282" s="8" t="s">
        <v>67</v>
      </c>
      <c r="I282" s="70"/>
      <c r="J282" s="70"/>
      <c r="K282" s="70"/>
      <c r="L282" s="41" t="s">
        <v>49</v>
      </c>
      <c r="M282" s="41"/>
      <c r="N282" s="10" t="s">
        <v>2824</v>
      </c>
      <c r="O282" s="8"/>
      <c r="P282" s="1"/>
    </row>
    <row r="283" spans="1:16" ht="21" hidden="1" customHeight="1">
      <c r="A283" s="10">
        <v>1</v>
      </c>
      <c r="B283" s="33" t="s">
        <v>2640</v>
      </c>
      <c r="C283" s="41" t="s">
        <v>93</v>
      </c>
      <c r="D283" s="41" t="s">
        <v>2825</v>
      </c>
      <c r="E283" s="41" t="s">
        <v>136</v>
      </c>
      <c r="F283" s="41" t="s">
        <v>2826</v>
      </c>
      <c r="G283" s="41" t="s">
        <v>66</v>
      </c>
      <c r="H283" s="8" t="s">
        <v>67</v>
      </c>
      <c r="I283" s="70"/>
      <c r="J283" s="70"/>
      <c r="K283" s="70"/>
      <c r="L283" s="41" t="s">
        <v>49</v>
      </c>
      <c r="M283" s="41"/>
      <c r="N283" s="10" t="s">
        <v>2827</v>
      </c>
      <c r="O283" s="8"/>
      <c r="P283" s="1"/>
    </row>
    <row r="284" spans="1:16" ht="21" hidden="1" customHeight="1">
      <c r="A284" s="10">
        <v>1</v>
      </c>
      <c r="B284" s="33" t="s">
        <v>2640</v>
      </c>
      <c r="C284" s="41" t="s">
        <v>93</v>
      </c>
      <c r="D284" s="41" t="s">
        <v>2828</v>
      </c>
      <c r="E284" s="41" t="s">
        <v>145</v>
      </c>
      <c r="F284" s="41" t="s">
        <v>2829</v>
      </c>
      <c r="G284" s="41" t="s">
        <v>283</v>
      </c>
      <c r="H284" s="8" t="s">
        <v>47</v>
      </c>
      <c r="I284" s="70"/>
      <c r="J284" s="70"/>
      <c r="K284" s="70"/>
      <c r="L284" s="41" t="s">
        <v>49</v>
      </c>
      <c r="M284" s="41"/>
      <c r="N284" s="10" t="s">
        <v>2830</v>
      </c>
      <c r="O284" s="8"/>
      <c r="P284" s="1"/>
    </row>
    <row r="285" spans="1:16" ht="21" customHeight="1">
      <c r="A285" s="10">
        <v>1</v>
      </c>
      <c r="B285" s="33" t="s">
        <v>2640</v>
      </c>
      <c r="C285" s="41" t="s">
        <v>28</v>
      </c>
      <c r="D285" s="41" t="s">
        <v>2831</v>
      </c>
      <c r="E285" s="41" t="s">
        <v>315</v>
      </c>
      <c r="F285" s="41" t="s">
        <v>2832</v>
      </c>
      <c r="G285" s="41" t="s">
        <v>66</v>
      </c>
      <c r="H285" s="8" t="s">
        <v>67</v>
      </c>
      <c r="I285" s="70" t="s">
        <v>2833</v>
      </c>
      <c r="J285" s="70"/>
      <c r="K285" s="70"/>
      <c r="L285" s="41" t="s">
        <v>49</v>
      </c>
      <c r="M285" s="41" t="s">
        <v>128</v>
      </c>
      <c r="N285" s="10" t="s">
        <v>2834</v>
      </c>
      <c r="O285" s="8"/>
      <c r="P285" s="1"/>
    </row>
    <row r="286" spans="1:16" ht="21" hidden="1" customHeight="1">
      <c r="A286" s="10">
        <v>1</v>
      </c>
      <c r="B286" s="33" t="s">
        <v>2640</v>
      </c>
      <c r="C286" s="41" t="s">
        <v>93</v>
      </c>
      <c r="D286" s="41" t="s">
        <v>2835</v>
      </c>
      <c r="E286" s="41" t="s">
        <v>446</v>
      </c>
      <c r="F286" s="41" t="s">
        <v>2836</v>
      </c>
      <c r="G286" s="41" t="s">
        <v>66</v>
      </c>
      <c r="H286" s="8" t="s">
        <v>67</v>
      </c>
      <c r="I286" s="70"/>
      <c r="J286" s="70"/>
      <c r="K286" s="70"/>
      <c r="L286" s="41" t="s">
        <v>49</v>
      </c>
      <c r="M286" s="41"/>
      <c r="N286" s="10" t="s">
        <v>2837</v>
      </c>
      <c r="O286" s="8"/>
      <c r="P286" s="1"/>
    </row>
    <row r="287" spans="1:16" ht="21" hidden="1" customHeight="1">
      <c r="A287" s="10">
        <v>1</v>
      </c>
      <c r="B287" s="33" t="s">
        <v>2640</v>
      </c>
      <c r="C287" s="41" t="s">
        <v>93</v>
      </c>
      <c r="D287" s="41" t="s">
        <v>2838</v>
      </c>
      <c r="E287" s="41" t="s">
        <v>157</v>
      </c>
      <c r="F287" s="41" t="s">
        <v>2839</v>
      </c>
      <c r="G287" s="41" t="s">
        <v>73</v>
      </c>
      <c r="H287" s="8" t="s">
        <v>33</v>
      </c>
      <c r="I287" s="70"/>
      <c r="J287" s="70"/>
      <c r="K287" s="70"/>
      <c r="L287" s="41" t="s">
        <v>49</v>
      </c>
      <c r="M287" s="41"/>
      <c r="N287" s="10" t="s">
        <v>2840</v>
      </c>
      <c r="O287" s="8"/>
      <c r="P287" s="1"/>
    </row>
    <row r="288" spans="1:16" ht="21" hidden="1" customHeight="1">
      <c r="A288" s="10">
        <v>1</v>
      </c>
      <c r="B288" s="33" t="s">
        <v>2640</v>
      </c>
      <c r="C288" s="41" t="s">
        <v>93</v>
      </c>
      <c r="D288" s="41" t="s">
        <v>2841</v>
      </c>
      <c r="E288" s="41" t="s">
        <v>615</v>
      </c>
      <c r="F288" s="41" t="s">
        <v>2842</v>
      </c>
      <c r="G288" s="41" t="s">
        <v>66</v>
      </c>
      <c r="H288" s="8" t="s">
        <v>67</v>
      </c>
      <c r="I288" s="70"/>
      <c r="J288" s="70"/>
      <c r="K288" s="70"/>
      <c r="L288" s="41" t="s">
        <v>49</v>
      </c>
      <c r="M288" s="41"/>
      <c r="N288" s="10" t="s">
        <v>2843</v>
      </c>
      <c r="O288" s="8"/>
      <c r="P288" s="1"/>
    </row>
    <row r="289" spans="1:16" ht="21" customHeight="1">
      <c r="A289" s="10">
        <v>1</v>
      </c>
      <c r="B289" s="33" t="s">
        <v>2640</v>
      </c>
      <c r="C289" s="41" t="s">
        <v>28</v>
      </c>
      <c r="D289" s="41" t="s">
        <v>2517</v>
      </c>
      <c r="E289" s="41" t="s">
        <v>209</v>
      </c>
      <c r="F289" s="41" t="s">
        <v>2518</v>
      </c>
      <c r="G289" s="41" t="s">
        <v>85</v>
      </c>
      <c r="H289" s="8" t="s">
        <v>33</v>
      </c>
      <c r="I289" s="70" t="s">
        <v>27</v>
      </c>
      <c r="J289" s="70"/>
      <c r="K289" s="70"/>
      <c r="L289" s="41" t="s">
        <v>49</v>
      </c>
      <c r="M289" s="41" t="s">
        <v>61</v>
      </c>
      <c r="N289" s="10" t="s">
        <v>2844</v>
      </c>
      <c r="O289" s="8"/>
      <c r="P289" s="1"/>
    </row>
    <row r="290" spans="1:16" ht="21" customHeight="1">
      <c r="A290" s="10">
        <v>1</v>
      </c>
      <c r="B290" s="33" t="s">
        <v>2640</v>
      </c>
      <c r="C290" s="41" t="s">
        <v>28</v>
      </c>
      <c r="D290" s="41" t="s">
        <v>2845</v>
      </c>
      <c r="E290" s="41" t="s">
        <v>145</v>
      </c>
      <c r="F290" s="41" t="s">
        <v>2846</v>
      </c>
      <c r="G290" s="41" t="s">
        <v>85</v>
      </c>
      <c r="H290" s="8" t="s">
        <v>33</v>
      </c>
      <c r="I290" s="70"/>
      <c r="J290" s="70"/>
      <c r="K290" s="70"/>
      <c r="L290" s="41" t="s">
        <v>49</v>
      </c>
      <c r="M290" s="41" t="s">
        <v>56</v>
      </c>
      <c r="N290" s="10" t="s">
        <v>2847</v>
      </c>
      <c r="O290" s="8"/>
      <c r="P290" s="1"/>
    </row>
    <row r="291" spans="1:16" ht="21" customHeight="1">
      <c r="A291" s="10">
        <v>1</v>
      </c>
      <c r="B291" s="33" t="s">
        <v>2640</v>
      </c>
      <c r="C291" s="41" t="s">
        <v>28</v>
      </c>
      <c r="D291" s="41" t="s">
        <v>2848</v>
      </c>
      <c r="E291" s="41" t="s">
        <v>1710</v>
      </c>
      <c r="F291" s="41" t="s">
        <v>2849</v>
      </c>
      <c r="G291" s="41" t="s">
        <v>85</v>
      </c>
      <c r="H291" s="8" t="s">
        <v>33</v>
      </c>
      <c r="I291" s="70" t="s">
        <v>27</v>
      </c>
      <c r="J291" s="70"/>
      <c r="K291" s="70"/>
      <c r="L291" s="41" t="s">
        <v>49</v>
      </c>
      <c r="M291" s="41" t="s">
        <v>128</v>
      </c>
      <c r="N291" s="10" t="s">
        <v>2834</v>
      </c>
      <c r="O291" s="8"/>
      <c r="P291" s="1"/>
    </row>
    <row r="292" spans="1:16" ht="21" hidden="1" customHeight="1">
      <c r="A292" s="10">
        <v>1</v>
      </c>
      <c r="B292" s="33" t="s">
        <v>2640</v>
      </c>
      <c r="C292" s="41" t="s">
        <v>93</v>
      </c>
      <c r="D292" s="41" t="s">
        <v>2850</v>
      </c>
      <c r="E292" s="41" t="s">
        <v>400</v>
      </c>
      <c r="F292" s="41" t="s">
        <v>2851</v>
      </c>
      <c r="G292" s="41" t="s">
        <v>79</v>
      </c>
      <c r="H292" s="8" t="s">
        <v>47</v>
      </c>
      <c r="I292" s="70"/>
      <c r="J292" s="70"/>
      <c r="K292" s="70"/>
      <c r="L292" s="41" t="s">
        <v>49</v>
      </c>
      <c r="M292" s="41"/>
      <c r="N292" s="10" t="s">
        <v>2852</v>
      </c>
      <c r="O292" s="8"/>
      <c r="P292" s="1"/>
    </row>
    <row r="293" spans="1:16" ht="21" hidden="1" customHeight="1">
      <c r="A293" s="10">
        <v>1</v>
      </c>
      <c r="B293" s="33" t="s">
        <v>210</v>
      </c>
      <c r="C293" s="41" t="s">
        <v>93</v>
      </c>
      <c r="D293" s="41" t="s">
        <v>2853</v>
      </c>
      <c r="E293" s="41" t="s">
        <v>39</v>
      </c>
      <c r="F293" s="41">
        <v>51981671409</v>
      </c>
      <c r="G293" s="41" t="s">
        <v>41</v>
      </c>
      <c r="H293" s="8" t="s">
        <v>33</v>
      </c>
      <c r="I293" s="70"/>
      <c r="J293" s="70"/>
      <c r="K293" s="70"/>
      <c r="L293" s="41" t="s">
        <v>55</v>
      </c>
      <c r="M293" s="41"/>
      <c r="N293" s="10" t="s">
        <v>974</v>
      </c>
      <c r="O293" s="8"/>
      <c r="P293" s="1"/>
    </row>
    <row r="294" spans="1:16" ht="21" hidden="1" customHeight="1">
      <c r="A294" s="10">
        <v>1</v>
      </c>
      <c r="B294" s="33" t="s">
        <v>210</v>
      </c>
      <c r="C294" s="41" t="s">
        <v>93</v>
      </c>
      <c r="D294" s="41" t="s">
        <v>2854</v>
      </c>
      <c r="E294" s="41" t="s">
        <v>290</v>
      </c>
      <c r="F294" s="41">
        <v>51996481933</v>
      </c>
      <c r="G294" s="41" t="s">
        <v>91</v>
      </c>
      <c r="H294" s="8" t="s">
        <v>67</v>
      </c>
      <c r="I294" s="70"/>
      <c r="J294" s="70"/>
      <c r="K294" s="70"/>
      <c r="L294" s="41" t="s">
        <v>55</v>
      </c>
      <c r="M294" s="41"/>
      <c r="N294" s="10" t="s">
        <v>2855</v>
      </c>
      <c r="O294" s="8"/>
      <c r="P294" s="1"/>
    </row>
    <row r="295" spans="1:16" ht="21" customHeight="1">
      <c r="A295" s="10">
        <v>1</v>
      </c>
      <c r="B295" s="33" t="s">
        <v>210</v>
      </c>
      <c r="C295" s="41" t="s">
        <v>28</v>
      </c>
      <c r="D295" s="41" t="s">
        <v>2856</v>
      </c>
      <c r="E295" s="41" t="s">
        <v>108</v>
      </c>
      <c r="F295" s="41">
        <v>51993655872</v>
      </c>
      <c r="G295" s="41" t="s">
        <v>66</v>
      </c>
      <c r="H295" s="8" t="s">
        <v>67</v>
      </c>
      <c r="I295" s="70" t="s">
        <v>2186</v>
      </c>
      <c r="J295" s="70"/>
      <c r="K295" s="70"/>
      <c r="L295" s="41" t="s">
        <v>55</v>
      </c>
      <c r="M295" s="41" t="s">
        <v>128</v>
      </c>
      <c r="N295" s="10" t="s">
        <v>129</v>
      </c>
      <c r="O295" s="8"/>
      <c r="P295" s="1"/>
    </row>
    <row r="296" spans="1:16" ht="21" customHeight="1">
      <c r="A296" s="10">
        <v>1</v>
      </c>
      <c r="B296" s="33" t="s">
        <v>210</v>
      </c>
      <c r="C296" s="41" t="s">
        <v>28</v>
      </c>
      <c r="D296" s="41" t="s">
        <v>2857</v>
      </c>
      <c r="E296" s="41" t="s">
        <v>2858</v>
      </c>
      <c r="F296" s="41">
        <v>51997288928</v>
      </c>
      <c r="G296" s="41" t="s">
        <v>85</v>
      </c>
      <c r="H296" s="8" t="s">
        <v>33</v>
      </c>
      <c r="I296" s="70" t="s">
        <v>54</v>
      </c>
      <c r="J296" s="70"/>
      <c r="K296" s="70"/>
      <c r="L296" s="41" t="s">
        <v>55</v>
      </c>
      <c r="M296" s="41" t="s">
        <v>35</v>
      </c>
      <c r="N296" s="10" t="s">
        <v>2859</v>
      </c>
      <c r="O296" s="8"/>
      <c r="P296" s="1"/>
    </row>
    <row r="297" spans="1:16" ht="21" customHeight="1">
      <c r="A297" s="10">
        <v>1</v>
      </c>
      <c r="B297" s="33" t="s">
        <v>210</v>
      </c>
      <c r="C297" s="41" t="s">
        <v>28</v>
      </c>
      <c r="D297" s="41" t="s">
        <v>2798</v>
      </c>
      <c r="E297" s="41" t="s">
        <v>2860</v>
      </c>
      <c r="F297" s="41">
        <v>51999805511</v>
      </c>
      <c r="G297" s="41" t="s">
        <v>91</v>
      </c>
      <c r="H297" s="8" t="s">
        <v>67</v>
      </c>
      <c r="I297" s="70" t="s">
        <v>2597</v>
      </c>
      <c r="J297" s="70"/>
      <c r="K297" s="70"/>
      <c r="L297" s="41" t="s">
        <v>55</v>
      </c>
      <c r="M297" s="41" t="s">
        <v>35</v>
      </c>
      <c r="N297" s="10" t="s">
        <v>120</v>
      </c>
      <c r="O297" s="8"/>
      <c r="P297" s="1"/>
    </row>
    <row r="298" spans="1:16" ht="21" hidden="1" customHeight="1">
      <c r="A298" s="10">
        <v>1</v>
      </c>
      <c r="B298" s="33" t="s">
        <v>210</v>
      </c>
      <c r="C298" s="41" t="s">
        <v>93</v>
      </c>
      <c r="D298" s="41" t="s">
        <v>2861</v>
      </c>
      <c r="E298" s="41" t="s">
        <v>2862</v>
      </c>
      <c r="F298" s="41">
        <v>51981540230</v>
      </c>
      <c r="G298" s="41" t="s">
        <v>79</v>
      </c>
      <c r="H298" s="8" t="s">
        <v>47</v>
      </c>
      <c r="I298" s="70"/>
      <c r="J298" s="70"/>
      <c r="K298" s="70"/>
      <c r="L298" s="41" t="s">
        <v>55</v>
      </c>
      <c r="M298" s="41"/>
      <c r="N298" s="10" t="s">
        <v>2863</v>
      </c>
      <c r="O298" s="8"/>
      <c r="P298" s="1"/>
    </row>
    <row r="299" spans="1:16" ht="21" customHeight="1">
      <c r="A299" s="10">
        <v>1</v>
      </c>
      <c r="B299" s="33" t="s">
        <v>210</v>
      </c>
      <c r="C299" s="41" t="s">
        <v>28</v>
      </c>
      <c r="D299" s="41" t="s">
        <v>2864</v>
      </c>
      <c r="E299" s="41" t="s">
        <v>1250</v>
      </c>
      <c r="F299" s="41" t="s">
        <v>2865</v>
      </c>
      <c r="G299" s="41" t="s">
        <v>41</v>
      </c>
      <c r="H299" s="8" t="s">
        <v>33</v>
      </c>
      <c r="I299" s="70" t="s">
        <v>2306</v>
      </c>
      <c r="J299" s="70"/>
      <c r="K299" s="70"/>
      <c r="L299" s="41" t="s">
        <v>34</v>
      </c>
      <c r="M299" s="41" t="s">
        <v>35</v>
      </c>
      <c r="N299" s="56" t="s">
        <v>2866</v>
      </c>
      <c r="O299" s="8"/>
      <c r="P299" s="1"/>
    </row>
    <row r="300" spans="1:16" ht="21" customHeight="1">
      <c r="A300" s="10">
        <v>1</v>
      </c>
      <c r="B300" s="33" t="s">
        <v>210</v>
      </c>
      <c r="C300" s="41" t="s">
        <v>28</v>
      </c>
      <c r="D300" s="41" t="s">
        <v>2867</v>
      </c>
      <c r="E300" s="41" t="s">
        <v>315</v>
      </c>
      <c r="F300" s="41" t="s">
        <v>2868</v>
      </c>
      <c r="G300" s="41" t="s">
        <v>66</v>
      </c>
      <c r="H300" s="8" t="s">
        <v>67</v>
      </c>
      <c r="I300" s="70"/>
      <c r="J300" s="70"/>
      <c r="K300" s="70"/>
      <c r="L300" s="41" t="s">
        <v>49</v>
      </c>
      <c r="M300" s="41" t="s">
        <v>128</v>
      </c>
      <c r="N300" s="10" t="s">
        <v>2869</v>
      </c>
      <c r="O300" s="8"/>
      <c r="P300" s="1"/>
    </row>
    <row r="301" spans="1:16" ht="21" customHeight="1">
      <c r="A301" s="10">
        <v>1</v>
      </c>
      <c r="B301" s="33" t="s">
        <v>210</v>
      </c>
      <c r="C301" s="41" t="s">
        <v>28</v>
      </c>
      <c r="D301" s="41" t="s">
        <v>2870</v>
      </c>
      <c r="E301" s="41" t="s">
        <v>653</v>
      </c>
      <c r="F301" s="41">
        <v>51992097049</v>
      </c>
      <c r="G301" s="41" t="s">
        <v>2871</v>
      </c>
      <c r="H301" s="8" t="s">
        <v>33</v>
      </c>
      <c r="I301" s="70" t="s">
        <v>2306</v>
      </c>
      <c r="J301" s="70"/>
      <c r="K301" s="70"/>
      <c r="L301" s="41" t="s">
        <v>55</v>
      </c>
      <c r="M301" s="41" t="s">
        <v>61</v>
      </c>
      <c r="N301" s="10" t="s">
        <v>589</v>
      </c>
      <c r="O301" s="8"/>
      <c r="P301" s="1"/>
    </row>
    <row r="302" spans="1:16" ht="21" customHeight="1">
      <c r="A302" s="10">
        <v>1</v>
      </c>
      <c r="B302" s="33" t="s">
        <v>210</v>
      </c>
      <c r="C302" s="41" t="s">
        <v>28</v>
      </c>
      <c r="D302" s="41" t="s">
        <v>2872</v>
      </c>
      <c r="E302" s="41" t="s">
        <v>213</v>
      </c>
      <c r="F302" s="41" t="s">
        <v>2873</v>
      </c>
      <c r="G302" s="41" t="s">
        <v>32</v>
      </c>
      <c r="H302" s="8" t="s">
        <v>33</v>
      </c>
      <c r="I302" s="70" t="s">
        <v>2491</v>
      </c>
      <c r="J302" s="70"/>
      <c r="K302" s="70"/>
      <c r="L302" s="41" t="s">
        <v>49</v>
      </c>
      <c r="M302" s="41" t="s">
        <v>128</v>
      </c>
      <c r="N302" s="10" t="s">
        <v>2874</v>
      </c>
      <c r="O302" s="8"/>
      <c r="P302" s="1"/>
    </row>
    <row r="303" spans="1:16" ht="21" customHeight="1">
      <c r="A303" s="10">
        <v>1</v>
      </c>
      <c r="B303" s="33" t="s">
        <v>210</v>
      </c>
      <c r="C303" s="41" t="s">
        <v>28</v>
      </c>
      <c r="D303" s="41" t="s">
        <v>2875</v>
      </c>
      <c r="E303" s="41" t="s">
        <v>169</v>
      </c>
      <c r="F303" s="41" t="s">
        <v>2876</v>
      </c>
      <c r="G303" s="41" t="s">
        <v>91</v>
      </c>
      <c r="H303" s="8" t="s">
        <v>67</v>
      </c>
      <c r="I303" s="70"/>
      <c r="J303" s="70"/>
      <c r="K303" s="70"/>
      <c r="L303" s="41" t="s">
        <v>49</v>
      </c>
      <c r="M303" s="41" t="s">
        <v>128</v>
      </c>
      <c r="N303" s="10" t="s">
        <v>2877</v>
      </c>
      <c r="O303" s="8"/>
      <c r="P303" s="1"/>
    </row>
    <row r="304" spans="1:16" ht="21" customHeight="1">
      <c r="A304" s="10">
        <v>1</v>
      </c>
      <c r="B304" s="33" t="s">
        <v>210</v>
      </c>
      <c r="C304" s="41" t="s">
        <v>28</v>
      </c>
      <c r="D304" s="41" t="s">
        <v>2878</v>
      </c>
      <c r="E304" s="41" t="s">
        <v>2879</v>
      </c>
      <c r="F304" s="41">
        <v>51997345175</v>
      </c>
      <c r="G304" s="41" t="s">
        <v>310</v>
      </c>
      <c r="H304" s="8" t="s">
        <v>47</v>
      </c>
      <c r="I304" s="70" t="s">
        <v>2306</v>
      </c>
      <c r="J304" s="70"/>
      <c r="K304" s="70"/>
      <c r="L304" s="41" t="s">
        <v>55</v>
      </c>
      <c r="M304" s="41" t="s">
        <v>111</v>
      </c>
      <c r="N304" s="10"/>
      <c r="O304" s="8"/>
      <c r="P304" s="1"/>
    </row>
    <row r="305" spans="1:16" ht="21" customHeight="1">
      <c r="A305" s="10">
        <v>1</v>
      </c>
      <c r="B305" s="33" t="s">
        <v>210</v>
      </c>
      <c r="C305" s="41" t="s">
        <v>28</v>
      </c>
      <c r="D305" s="41" t="s">
        <v>2880</v>
      </c>
      <c r="E305" s="41" t="s">
        <v>552</v>
      </c>
      <c r="F305" s="41">
        <v>51996481333</v>
      </c>
      <c r="G305" s="41" t="s">
        <v>91</v>
      </c>
      <c r="H305" s="8" t="s">
        <v>67</v>
      </c>
      <c r="I305" s="70" t="s">
        <v>2597</v>
      </c>
      <c r="J305" s="70"/>
      <c r="K305" s="70"/>
      <c r="L305" s="41" t="s">
        <v>55</v>
      </c>
      <c r="M305" s="41" t="s">
        <v>133</v>
      </c>
      <c r="N305" s="10" t="s">
        <v>2881</v>
      </c>
      <c r="O305" s="8"/>
      <c r="P305" s="1"/>
    </row>
    <row r="306" spans="1:16" ht="21" hidden="1" customHeight="1">
      <c r="A306" s="10">
        <v>1</v>
      </c>
      <c r="B306" s="33" t="s">
        <v>210</v>
      </c>
      <c r="C306" s="41" t="s">
        <v>93</v>
      </c>
      <c r="D306" s="41" t="s">
        <v>2882</v>
      </c>
      <c r="E306" s="41" t="s">
        <v>182</v>
      </c>
      <c r="F306" s="41">
        <v>51989520872</v>
      </c>
      <c r="G306" s="41" t="s">
        <v>66</v>
      </c>
      <c r="H306" s="8" t="s">
        <v>67</v>
      </c>
      <c r="I306" s="70"/>
      <c r="J306" s="70"/>
      <c r="K306" s="70"/>
      <c r="L306" s="41" t="s">
        <v>55</v>
      </c>
      <c r="M306" s="41"/>
      <c r="N306" s="10" t="s">
        <v>2883</v>
      </c>
      <c r="O306" s="8"/>
      <c r="P306" s="1"/>
    </row>
    <row r="307" spans="1:16" ht="21" customHeight="1">
      <c r="A307" s="10">
        <v>1</v>
      </c>
      <c r="B307" s="33" t="s">
        <v>210</v>
      </c>
      <c r="C307" s="41" t="s">
        <v>28</v>
      </c>
      <c r="D307" s="41" t="s">
        <v>2884</v>
      </c>
      <c r="E307" s="41" t="s">
        <v>292</v>
      </c>
      <c r="F307" s="41">
        <v>51991136170</v>
      </c>
      <c r="G307" s="41" t="s">
        <v>313</v>
      </c>
      <c r="H307" s="8" t="s">
        <v>33</v>
      </c>
      <c r="I307" s="70"/>
      <c r="J307" s="70"/>
      <c r="K307" s="70"/>
      <c r="L307" s="41" t="s">
        <v>55</v>
      </c>
      <c r="M307" s="41" t="s">
        <v>133</v>
      </c>
      <c r="N307" s="10" t="s">
        <v>133</v>
      </c>
      <c r="O307" s="8"/>
      <c r="P307" s="1"/>
    </row>
    <row r="308" spans="1:16" ht="21" customHeight="1">
      <c r="A308" s="10">
        <v>1</v>
      </c>
      <c r="B308" s="33" t="s">
        <v>210</v>
      </c>
      <c r="C308" s="41" t="s">
        <v>28</v>
      </c>
      <c r="D308" s="41" t="s">
        <v>2885</v>
      </c>
      <c r="E308" s="41" t="s">
        <v>2472</v>
      </c>
      <c r="F308" s="41" t="s">
        <v>2886</v>
      </c>
      <c r="G308" s="41" t="s">
        <v>85</v>
      </c>
      <c r="H308" s="8" t="s">
        <v>33</v>
      </c>
      <c r="I308" s="70" t="s">
        <v>2491</v>
      </c>
      <c r="J308" s="70"/>
      <c r="K308" s="70"/>
      <c r="L308" s="41" t="s">
        <v>49</v>
      </c>
      <c r="M308" s="41" t="s">
        <v>61</v>
      </c>
      <c r="N308" s="10" t="s">
        <v>2887</v>
      </c>
      <c r="O308" s="8"/>
      <c r="P308" s="1"/>
    </row>
    <row r="309" spans="1:16" ht="21" customHeight="1">
      <c r="A309" s="10">
        <v>1</v>
      </c>
      <c r="B309" s="33" t="s">
        <v>210</v>
      </c>
      <c r="C309" s="41" t="s">
        <v>28</v>
      </c>
      <c r="D309" s="41" t="s">
        <v>2888</v>
      </c>
      <c r="E309" s="41" t="s">
        <v>285</v>
      </c>
      <c r="F309" s="41">
        <v>51991136170</v>
      </c>
      <c r="G309" s="41" t="s">
        <v>66</v>
      </c>
      <c r="H309" s="8" t="s">
        <v>67</v>
      </c>
      <c r="I309" s="70" t="s">
        <v>2138</v>
      </c>
      <c r="J309" s="70"/>
      <c r="K309" s="70"/>
      <c r="L309" s="41" t="s">
        <v>55</v>
      </c>
      <c r="M309" s="41" t="s">
        <v>56</v>
      </c>
      <c r="N309" s="10" t="s">
        <v>2889</v>
      </c>
      <c r="O309" s="8"/>
      <c r="P309" s="1"/>
    </row>
    <row r="310" spans="1:16" ht="21" customHeight="1">
      <c r="A310" s="10">
        <v>1</v>
      </c>
      <c r="B310" s="33" t="s">
        <v>210</v>
      </c>
      <c r="C310" s="41" t="s">
        <v>28</v>
      </c>
      <c r="D310" s="41" t="s">
        <v>2890</v>
      </c>
      <c r="E310" s="41" t="s">
        <v>454</v>
      </c>
      <c r="F310" s="41" t="s">
        <v>2891</v>
      </c>
      <c r="G310" s="41" t="s">
        <v>66</v>
      </c>
      <c r="H310" s="8" t="s">
        <v>67</v>
      </c>
      <c r="I310" s="70" t="s">
        <v>2491</v>
      </c>
      <c r="J310" s="70"/>
      <c r="K310" s="70"/>
      <c r="L310" s="41" t="s">
        <v>49</v>
      </c>
      <c r="M310" s="41" t="s">
        <v>35</v>
      </c>
      <c r="N310" s="10" t="s">
        <v>2892</v>
      </c>
      <c r="O310" s="8"/>
      <c r="P310" s="1"/>
    </row>
    <row r="311" spans="1:16" ht="21" hidden="1" customHeight="1">
      <c r="A311" s="10">
        <v>1</v>
      </c>
      <c r="B311" s="33" t="s">
        <v>210</v>
      </c>
      <c r="C311" s="41" t="s">
        <v>93</v>
      </c>
      <c r="D311" s="41" t="s">
        <v>2893</v>
      </c>
      <c r="E311" s="41" t="s">
        <v>1313</v>
      </c>
      <c r="F311" s="41" t="s">
        <v>2894</v>
      </c>
      <c r="G311" s="41" t="s">
        <v>85</v>
      </c>
      <c r="H311" s="8" t="s">
        <v>33</v>
      </c>
      <c r="I311" s="70"/>
      <c r="J311" s="70"/>
      <c r="K311" s="70"/>
      <c r="L311" s="41" t="s">
        <v>49</v>
      </c>
      <c r="M311" s="41"/>
      <c r="N311" s="10" t="s">
        <v>2895</v>
      </c>
      <c r="O311" s="8"/>
      <c r="P311" s="1"/>
    </row>
    <row r="312" spans="1:16" ht="21" hidden="1" customHeight="1">
      <c r="A312" s="10">
        <v>1</v>
      </c>
      <c r="B312" s="33" t="s">
        <v>210</v>
      </c>
      <c r="C312" s="41" t="s">
        <v>93</v>
      </c>
      <c r="D312" s="41" t="s">
        <v>2896</v>
      </c>
      <c r="E312" s="41" t="s">
        <v>1584</v>
      </c>
      <c r="F312" s="41">
        <v>27998302116</v>
      </c>
      <c r="G312" s="41" t="s">
        <v>79</v>
      </c>
      <c r="H312" s="8" t="s">
        <v>47</v>
      </c>
      <c r="I312" s="70"/>
      <c r="J312" s="70"/>
      <c r="K312" s="70"/>
      <c r="L312" s="41" t="s">
        <v>55</v>
      </c>
      <c r="M312" s="41"/>
      <c r="N312" s="10" t="s">
        <v>2394</v>
      </c>
      <c r="O312" s="8"/>
      <c r="P312" s="1"/>
    </row>
    <row r="313" spans="1:16" ht="21" customHeight="1">
      <c r="A313" s="10">
        <v>1</v>
      </c>
      <c r="B313" s="33" t="s">
        <v>210</v>
      </c>
      <c r="C313" s="41" t="s">
        <v>28</v>
      </c>
      <c r="D313" s="41" t="s">
        <v>2070</v>
      </c>
      <c r="E313" s="41" t="s">
        <v>2071</v>
      </c>
      <c r="F313" s="41">
        <v>51996526087</v>
      </c>
      <c r="G313" s="41" t="s">
        <v>85</v>
      </c>
      <c r="H313" s="8" t="s">
        <v>33</v>
      </c>
      <c r="I313" s="70" t="s">
        <v>2491</v>
      </c>
      <c r="J313" s="70"/>
      <c r="K313" s="70"/>
      <c r="L313" s="41" t="s">
        <v>55</v>
      </c>
      <c r="M313" s="41" t="s">
        <v>61</v>
      </c>
      <c r="N313" s="10" t="s">
        <v>211</v>
      </c>
      <c r="O313" s="8"/>
      <c r="P313" s="1"/>
    </row>
    <row r="314" spans="1:16" ht="21" customHeight="1">
      <c r="A314" s="10">
        <v>1</v>
      </c>
      <c r="B314" s="33" t="s">
        <v>210</v>
      </c>
      <c r="C314" s="41" t="s">
        <v>28</v>
      </c>
      <c r="D314" s="41" t="s">
        <v>2897</v>
      </c>
      <c r="E314" s="41" t="s">
        <v>2898</v>
      </c>
      <c r="F314" s="41">
        <v>51999387568</v>
      </c>
      <c r="G314" s="41" t="s">
        <v>66</v>
      </c>
      <c r="H314" s="8" t="s">
        <v>67</v>
      </c>
      <c r="I314" s="70"/>
      <c r="J314" s="70"/>
      <c r="K314" s="70"/>
      <c r="L314" s="41" t="s">
        <v>55</v>
      </c>
      <c r="M314" s="41" t="s">
        <v>128</v>
      </c>
      <c r="N314" s="10" t="s">
        <v>129</v>
      </c>
      <c r="O314" s="8"/>
      <c r="P314" s="1"/>
    </row>
    <row r="315" spans="1:16" ht="21" hidden="1" customHeight="1">
      <c r="A315" s="10">
        <v>1</v>
      </c>
      <c r="B315" s="33" t="s">
        <v>210</v>
      </c>
      <c r="C315" s="41" t="s">
        <v>93</v>
      </c>
      <c r="D315" s="41" t="s">
        <v>2899</v>
      </c>
      <c r="E315" s="41" t="s">
        <v>1438</v>
      </c>
      <c r="F315" s="41">
        <v>51996731508</v>
      </c>
      <c r="G315" s="41" t="s">
        <v>66</v>
      </c>
      <c r="H315" s="8" t="s">
        <v>67</v>
      </c>
      <c r="I315" s="70"/>
      <c r="J315" s="70"/>
      <c r="K315" s="70"/>
      <c r="L315" s="41" t="s">
        <v>55</v>
      </c>
      <c r="M315" s="41"/>
      <c r="N315" s="10" t="s">
        <v>2900</v>
      </c>
      <c r="O315" s="8"/>
      <c r="P315" s="1"/>
    </row>
    <row r="316" spans="1:16" ht="21" hidden="1" customHeight="1">
      <c r="A316" s="10">
        <v>1</v>
      </c>
      <c r="B316" s="33" t="s">
        <v>210</v>
      </c>
      <c r="C316" s="41" t="s">
        <v>93</v>
      </c>
      <c r="D316" s="41" t="s">
        <v>103</v>
      </c>
      <c r="E316" s="41" t="s">
        <v>39</v>
      </c>
      <c r="F316" s="41" t="s">
        <v>104</v>
      </c>
      <c r="G316" s="41" t="s">
        <v>41</v>
      </c>
      <c r="H316" s="8" t="s">
        <v>33</v>
      </c>
      <c r="I316" s="70"/>
      <c r="J316" s="70"/>
      <c r="K316" s="70"/>
      <c r="L316" s="41" t="s">
        <v>49</v>
      </c>
      <c r="M316" s="41"/>
      <c r="N316" s="10" t="s">
        <v>2901</v>
      </c>
      <c r="O316" s="8"/>
      <c r="P316" s="1"/>
    </row>
    <row r="317" spans="1:16" ht="21" hidden="1" customHeight="1">
      <c r="A317" s="10">
        <v>1</v>
      </c>
      <c r="B317" s="33" t="s">
        <v>210</v>
      </c>
      <c r="C317" s="41" t="s">
        <v>93</v>
      </c>
      <c r="D317" s="41" t="s">
        <v>2902</v>
      </c>
      <c r="E317" s="41" t="s">
        <v>1313</v>
      </c>
      <c r="F317" s="41" t="s">
        <v>2903</v>
      </c>
      <c r="G317" s="41" t="s">
        <v>85</v>
      </c>
      <c r="H317" s="8" t="s">
        <v>33</v>
      </c>
      <c r="I317" s="70"/>
      <c r="J317" s="70"/>
      <c r="K317" s="70"/>
      <c r="L317" s="41" t="s">
        <v>49</v>
      </c>
      <c r="M317" s="41"/>
      <c r="N317" s="10" t="s">
        <v>2904</v>
      </c>
      <c r="O317" s="8"/>
      <c r="P317" s="1"/>
    </row>
    <row r="318" spans="1:16" ht="21" customHeight="1">
      <c r="A318" s="10">
        <v>1</v>
      </c>
      <c r="B318" s="33" t="s">
        <v>210</v>
      </c>
      <c r="C318" s="41" t="s">
        <v>28</v>
      </c>
      <c r="D318" s="41" t="s">
        <v>2905</v>
      </c>
      <c r="E318" s="41" t="s">
        <v>1313</v>
      </c>
      <c r="F318" s="41" t="s">
        <v>2906</v>
      </c>
      <c r="G318" s="41" t="s">
        <v>85</v>
      </c>
      <c r="H318" s="8" t="s">
        <v>33</v>
      </c>
      <c r="I318" s="70" t="s">
        <v>2491</v>
      </c>
      <c r="J318" s="70"/>
      <c r="K318" s="70"/>
      <c r="L318" s="41" t="s">
        <v>49</v>
      </c>
      <c r="M318" s="41" t="s">
        <v>56</v>
      </c>
      <c r="N318" s="10" t="s">
        <v>2907</v>
      </c>
      <c r="O318" s="8"/>
      <c r="P318" s="1"/>
    </row>
    <row r="319" spans="1:16" ht="21" hidden="1" customHeight="1">
      <c r="A319" s="10">
        <v>1</v>
      </c>
      <c r="B319" s="33" t="s">
        <v>210</v>
      </c>
      <c r="C319" s="41" t="s">
        <v>93</v>
      </c>
      <c r="D319" s="41" t="s">
        <v>2908</v>
      </c>
      <c r="E319" s="41" t="s">
        <v>512</v>
      </c>
      <c r="F319" s="41" t="s">
        <v>2909</v>
      </c>
      <c r="G319" s="41" t="s">
        <v>91</v>
      </c>
      <c r="H319" s="8" t="s">
        <v>67</v>
      </c>
      <c r="I319" s="70"/>
      <c r="J319" s="70"/>
      <c r="K319" s="70"/>
      <c r="L319" s="41" t="s">
        <v>49</v>
      </c>
      <c r="M319" s="41"/>
      <c r="N319" s="10" t="s">
        <v>2910</v>
      </c>
      <c r="O319" s="8"/>
      <c r="P319" s="1"/>
    </row>
    <row r="320" spans="1:16" ht="21" customHeight="1">
      <c r="A320" s="10">
        <v>1</v>
      </c>
      <c r="B320" s="33" t="s">
        <v>210</v>
      </c>
      <c r="C320" s="41" t="s">
        <v>28</v>
      </c>
      <c r="D320" s="41" t="s">
        <v>2911</v>
      </c>
      <c r="E320" s="41" t="s">
        <v>290</v>
      </c>
      <c r="F320" s="41" t="s">
        <v>2912</v>
      </c>
      <c r="G320" s="41" t="s">
        <v>91</v>
      </c>
      <c r="H320" s="8" t="s">
        <v>67</v>
      </c>
      <c r="I320" s="70" t="s">
        <v>2589</v>
      </c>
      <c r="J320" s="70"/>
      <c r="K320" s="70"/>
      <c r="L320" s="41" t="s">
        <v>49</v>
      </c>
      <c r="M320" s="41" t="s">
        <v>128</v>
      </c>
      <c r="N320" s="10" t="s">
        <v>2913</v>
      </c>
      <c r="O320" s="8"/>
      <c r="P320" s="1"/>
    </row>
    <row r="321" spans="1:16" ht="21" hidden="1" customHeight="1">
      <c r="A321" s="10">
        <v>1</v>
      </c>
      <c r="B321" s="33" t="s">
        <v>210</v>
      </c>
      <c r="C321" s="41" t="s">
        <v>93</v>
      </c>
      <c r="D321" s="41" t="s">
        <v>2914</v>
      </c>
      <c r="E321" s="41" t="s">
        <v>39</v>
      </c>
      <c r="F321" s="41" t="s">
        <v>2915</v>
      </c>
      <c r="G321" s="41" t="s">
        <v>2916</v>
      </c>
      <c r="H321" s="8" t="s">
        <v>33</v>
      </c>
      <c r="I321" s="70"/>
      <c r="J321" s="70"/>
      <c r="K321" s="70"/>
      <c r="L321" s="41" t="s">
        <v>34</v>
      </c>
      <c r="M321" s="41"/>
      <c r="N321" s="10" t="s">
        <v>2917</v>
      </c>
      <c r="O321" s="8"/>
      <c r="P321" s="1"/>
    </row>
    <row r="322" spans="1:16" ht="21" hidden="1" customHeight="1">
      <c r="A322" s="10">
        <v>1</v>
      </c>
      <c r="B322" s="33" t="s">
        <v>210</v>
      </c>
      <c r="C322" s="41" t="s">
        <v>93</v>
      </c>
      <c r="D322" s="41" t="s">
        <v>2918</v>
      </c>
      <c r="E322" s="41" t="s">
        <v>2919</v>
      </c>
      <c r="F322" s="41" t="s">
        <v>2920</v>
      </c>
      <c r="G322" s="41" t="s">
        <v>756</v>
      </c>
      <c r="H322" s="8" t="s">
        <v>67</v>
      </c>
      <c r="I322" s="70"/>
      <c r="J322" s="70"/>
      <c r="K322" s="70"/>
      <c r="L322" s="41" t="s">
        <v>34</v>
      </c>
      <c r="M322" s="41"/>
      <c r="N322" s="10" t="s">
        <v>2921</v>
      </c>
      <c r="O322" s="8"/>
      <c r="P322" s="1"/>
    </row>
    <row r="323" spans="1:16" ht="21" customHeight="1">
      <c r="A323" s="10">
        <v>1</v>
      </c>
      <c r="B323" s="33" t="s">
        <v>210</v>
      </c>
      <c r="C323" s="41" t="s">
        <v>28</v>
      </c>
      <c r="D323" s="41" t="s">
        <v>2922</v>
      </c>
      <c r="E323" s="41" t="s">
        <v>145</v>
      </c>
      <c r="F323" s="41" t="s">
        <v>2923</v>
      </c>
      <c r="G323" s="41" t="s">
        <v>32</v>
      </c>
      <c r="H323" s="8" t="s">
        <v>33</v>
      </c>
      <c r="I323" s="70"/>
      <c r="J323" s="70"/>
      <c r="K323" s="70"/>
      <c r="L323" s="41" t="s">
        <v>34</v>
      </c>
      <c r="M323" s="41" t="s">
        <v>35</v>
      </c>
      <c r="N323" s="10" t="s">
        <v>2924</v>
      </c>
      <c r="O323" s="8"/>
      <c r="P323" s="1"/>
    </row>
    <row r="324" spans="1:16" ht="21" customHeight="1">
      <c r="A324" s="10">
        <v>1</v>
      </c>
      <c r="B324" s="33" t="s">
        <v>2484</v>
      </c>
      <c r="C324" s="41" t="s">
        <v>28</v>
      </c>
      <c r="D324" s="41" t="s">
        <v>2925</v>
      </c>
      <c r="E324" s="41" t="s">
        <v>2926</v>
      </c>
      <c r="F324" s="41">
        <v>51993655872</v>
      </c>
      <c r="G324" s="41" t="s">
        <v>91</v>
      </c>
      <c r="H324" s="8" t="s">
        <v>67</v>
      </c>
      <c r="I324" s="70" t="s">
        <v>2597</v>
      </c>
      <c r="J324" s="70"/>
      <c r="K324" s="70"/>
      <c r="L324" s="41" t="s">
        <v>55</v>
      </c>
      <c r="M324" s="41" t="s">
        <v>35</v>
      </c>
      <c r="N324" s="10" t="s">
        <v>120</v>
      </c>
      <c r="O324" s="8"/>
      <c r="P324" s="1"/>
    </row>
    <row r="325" spans="1:16" ht="21" customHeight="1">
      <c r="A325" s="10">
        <v>1</v>
      </c>
      <c r="B325" s="33" t="s">
        <v>2484</v>
      </c>
      <c r="C325" s="41" t="s">
        <v>28</v>
      </c>
      <c r="D325" s="41" t="s">
        <v>2927</v>
      </c>
      <c r="E325" s="41" t="s">
        <v>39</v>
      </c>
      <c r="F325" s="41">
        <v>51982245216</v>
      </c>
      <c r="G325" s="41" t="s">
        <v>41</v>
      </c>
      <c r="H325" s="8" t="s">
        <v>33</v>
      </c>
      <c r="I325" s="70" t="s">
        <v>54</v>
      </c>
      <c r="J325" s="70"/>
      <c r="K325" s="65">
        <v>79.900000000000006</v>
      </c>
      <c r="L325" s="41" t="s">
        <v>55</v>
      </c>
      <c r="M325" s="41" t="s">
        <v>35</v>
      </c>
      <c r="N325" s="10" t="s">
        <v>120</v>
      </c>
      <c r="O325" s="8"/>
      <c r="P325" s="1"/>
    </row>
    <row r="326" spans="1:16" ht="21" hidden="1" customHeight="1">
      <c r="A326" s="10">
        <v>1</v>
      </c>
      <c r="B326" s="33" t="s">
        <v>2484</v>
      </c>
      <c r="C326" s="41" t="s">
        <v>93</v>
      </c>
      <c r="D326" s="41" t="s">
        <v>289</v>
      </c>
      <c r="E326" s="41" t="s">
        <v>290</v>
      </c>
      <c r="F326" s="41">
        <v>51984508315</v>
      </c>
      <c r="G326" s="41" t="s">
        <v>66</v>
      </c>
      <c r="H326" s="8" t="s">
        <v>67</v>
      </c>
      <c r="I326" s="70"/>
      <c r="J326" s="70"/>
      <c r="K326" s="70"/>
      <c r="L326" s="41" t="s">
        <v>55</v>
      </c>
      <c r="M326" s="41"/>
      <c r="N326" s="10" t="s">
        <v>102</v>
      </c>
      <c r="O326" s="8"/>
      <c r="P326" s="1"/>
    </row>
    <row r="327" spans="1:16" ht="21" customHeight="1">
      <c r="A327" s="10">
        <v>1</v>
      </c>
      <c r="B327" s="33" t="s">
        <v>2484</v>
      </c>
      <c r="C327" s="41" t="s">
        <v>28</v>
      </c>
      <c r="D327" s="41" t="s">
        <v>2928</v>
      </c>
      <c r="E327" s="41" t="s">
        <v>1816</v>
      </c>
      <c r="F327" s="41">
        <v>51996342332</v>
      </c>
      <c r="G327" s="41" t="s">
        <v>415</v>
      </c>
      <c r="H327" s="8" t="s">
        <v>33</v>
      </c>
      <c r="I327" s="70" t="s">
        <v>2929</v>
      </c>
      <c r="J327" s="70"/>
      <c r="K327" s="70"/>
      <c r="L327" s="41" t="s">
        <v>55</v>
      </c>
      <c r="M327" s="41" t="s">
        <v>35</v>
      </c>
      <c r="N327" s="10" t="s">
        <v>120</v>
      </c>
      <c r="O327" s="8"/>
      <c r="P327" s="1"/>
    </row>
    <row r="328" spans="1:16" ht="21" hidden="1" customHeight="1">
      <c r="A328" s="10">
        <v>1</v>
      </c>
      <c r="B328" s="33" t="s">
        <v>2484</v>
      </c>
      <c r="C328" s="41" t="s">
        <v>93</v>
      </c>
      <c r="D328" s="41" t="s">
        <v>2838</v>
      </c>
      <c r="E328" s="41" t="s">
        <v>157</v>
      </c>
      <c r="F328" s="41">
        <v>51998242902</v>
      </c>
      <c r="G328" s="41" t="s">
        <v>147</v>
      </c>
      <c r="H328" s="8" t="s">
        <v>33</v>
      </c>
      <c r="I328" s="70"/>
      <c r="J328" s="70"/>
      <c r="K328" s="70"/>
      <c r="L328" s="41" t="s">
        <v>55</v>
      </c>
      <c r="M328" s="41"/>
      <c r="N328" s="10" t="s">
        <v>239</v>
      </c>
      <c r="O328" s="8"/>
      <c r="P328" s="1"/>
    </row>
    <row r="329" spans="1:16" ht="21" customHeight="1">
      <c r="A329" s="10">
        <v>1</v>
      </c>
      <c r="B329" s="33" t="s">
        <v>2484</v>
      </c>
      <c r="C329" s="41" t="s">
        <v>28</v>
      </c>
      <c r="D329" s="41" t="s">
        <v>2930</v>
      </c>
      <c r="E329" s="41" t="s">
        <v>182</v>
      </c>
      <c r="F329" s="41" t="s">
        <v>2931</v>
      </c>
      <c r="G329" s="41" t="s">
        <v>53</v>
      </c>
      <c r="H329" s="8" t="s">
        <v>33</v>
      </c>
      <c r="I329" s="70" t="s">
        <v>54</v>
      </c>
      <c r="J329" s="70"/>
      <c r="K329" s="70"/>
      <c r="L329" s="41" t="s">
        <v>55</v>
      </c>
      <c r="M329" s="41" t="s">
        <v>35</v>
      </c>
      <c r="N329" s="10"/>
      <c r="O329" s="8"/>
      <c r="P329" s="1"/>
    </row>
    <row r="330" spans="1:16" ht="21" customHeight="1">
      <c r="A330" s="10">
        <v>1</v>
      </c>
      <c r="B330" s="33" t="s">
        <v>2484</v>
      </c>
      <c r="C330" s="41" t="s">
        <v>28</v>
      </c>
      <c r="D330" s="41" t="s">
        <v>2932</v>
      </c>
      <c r="E330" s="41" t="s">
        <v>161</v>
      </c>
      <c r="F330" s="41" t="s">
        <v>2933</v>
      </c>
      <c r="G330" s="41" t="s">
        <v>66</v>
      </c>
      <c r="H330" s="8" t="s">
        <v>67</v>
      </c>
      <c r="I330" s="70" t="s">
        <v>2934</v>
      </c>
      <c r="J330" s="70"/>
      <c r="K330" s="70"/>
      <c r="L330" s="41" t="s">
        <v>49</v>
      </c>
      <c r="M330" s="41" t="s">
        <v>128</v>
      </c>
      <c r="N330" s="10" t="s">
        <v>2935</v>
      </c>
      <c r="O330" s="8"/>
      <c r="P330" s="1"/>
    </row>
    <row r="331" spans="1:16" ht="21" customHeight="1">
      <c r="A331" s="10">
        <v>1</v>
      </c>
      <c r="B331" s="33" t="s">
        <v>2484</v>
      </c>
      <c r="C331" s="41" t="s">
        <v>28</v>
      </c>
      <c r="D331" s="41" t="s">
        <v>2936</v>
      </c>
      <c r="E331" s="41" t="s">
        <v>157</v>
      </c>
      <c r="F331" s="41" t="s">
        <v>2937</v>
      </c>
      <c r="G331" s="41" t="s">
        <v>147</v>
      </c>
      <c r="H331" s="8" t="s">
        <v>33</v>
      </c>
      <c r="I331" s="70" t="s">
        <v>2938</v>
      </c>
      <c r="J331" s="70"/>
      <c r="K331" s="70"/>
      <c r="L331" s="41" t="s">
        <v>49</v>
      </c>
      <c r="M331" s="41" t="s">
        <v>61</v>
      </c>
      <c r="N331" s="10" t="s">
        <v>2939</v>
      </c>
      <c r="O331" s="8"/>
      <c r="P331" s="1"/>
    </row>
    <row r="332" spans="1:16" ht="21" hidden="1" customHeight="1">
      <c r="A332" s="10">
        <v>1</v>
      </c>
      <c r="B332" s="33" t="s">
        <v>2484</v>
      </c>
      <c r="C332" s="41" t="s">
        <v>93</v>
      </c>
      <c r="D332" s="41" t="s">
        <v>2778</v>
      </c>
      <c r="E332" s="41" t="s">
        <v>145</v>
      </c>
      <c r="F332" s="41" t="s">
        <v>2779</v>
      </c>
      <c r="G332" s="41" t="s">
        <v>238</v>
      </c>
      <c r="H332" s="8" t="s">
        <v>47</v>
      </c>
      <c r="I332" s="70"/>
      <c r="J332" s="70"/>
      <c r="K332" s="70"/>
      <c r="L332" s="41" t="s">
        <v>49</v>
      </c>
      <c r="M332" s="41"/>
      <c r="N332" s="10" t="s">
        <v>2940</v>
      </c>
      <c r="O332" s="8"/>
      <c r="P332" s="1"/>
    </row>
    <row r="333" spans="1:16" ht="21" hidden="1" customHeight="1">
      <c r="A333" s="10">
        <v>1</v>
      </c>
      <c r="B333" s="33" t="s">
        <v>2484</v>
      </c>
      <c r="C333" s="41" t="s">
        <v>93</v>
      </c>
      <c r="D333" s="41" t="s">
        <v>2941</v>
      </c>
      <c r="E333" s="41" t="s">
        <v>615</v>
      </c>
      <c r="F333" s="41" t="s">
        <v>2942</v>
      </c>
      <c r="G333" s="41" t="s">
        <v>66</v>
      </c>
      <c r="H333" s="8" t="s">
        <v>67</v>
      </c>
      <c r="I333" s="70"/>
      <c r="J333" s="70"/>
      <c r="K333" s="70"/>
      <c r="L333" s="41" t="s">
        <v>49</v>
      </c>
      <c r="M333" s="41"/>
      <c r="N333" s="10" t="s">
        <v>2943</v>
      </c>
      <c r="O333" s="8"/>
      <c r="P333" s="1"/>
    </row>
    <row r="334" spans="1:16" ht="21" hidden="1" customHeight="1">
      <c r="A334" s="10">
        <v>1</v>
      </c>
      <c r="B334" s="33" t="s">
        <v>2484</v>
      </c>
      <c r="C334" s="41" t="s">
        <v>93</v>
      </c>
      <c r="D334" s="41" t="s">
        <v>2944</v>
      </c>
      <c r="E334" s="41" t="s">
        <v>512</v>
      </c>
      <c r="F334" s="41" t="s">
        <v>2945</v>
      </c>
      <c r="G334" s="41" t="s">
        <v>91</v>
      </c>
      <c r="H334" s="8" t="s">
        <v>67</v>
      </c>
      <c r="I334" s="70"/>
      <c r="J334" s="70"/>
      <c r="K334" s="70"/>
      <c r="L334" s="41" t="s">
        <v>49</v>
      </c>
      <c r="M334" s="41"/>
      <c r="N334" s="10" t="s">
        <v>2946</v>
      </c>
      <c r="O334" s="8"/>
      <c r="P334" s="1"/>
    </row>
    <row r="335" spans="1:16" ht="21" customHeight="1">
      <c r="A335" s="10">
        <v>1</v>
      </c>
      <c r="B335" s="33" t="s">
        <v>2484</v>
      </c>
      <c r="C335" s="41" t="s">
        <v>28</v>
      </c>
      <c r="D335" s="41" t="s">
        <v>2947</v>
      </c>
      <c r="E335" s="41" t="s">
        <v>165</v>
      </c>
      <c r="F335" s="41" t="s">
        <v>2948</v>
      </c>
      <c r="G335" s="41" t="s">
        <v>66</v>
      </c>
      <c r="H335" s="8" t="s">
        <v>67</v>
      </c>
      <c r="I335" s="70"/>
      <c r="J335" s="70"/>
      <c r="K335" s="70"/>
      <c r="L335" s="41" t="s">
        <v>34</v>
      </c>
      <c r="M335" s="41" t="s">
        <v>35</v>
      </c>
      <c r="N335" s="10" t="s">
        <v>2949</v>
      </c>
      <c r="O335" s="8"/>
      <c r="P335" s="1"/>
    </row>
    <row r="336" spans="1:16" ht="21" customHeight="1">
      <c r="A336" s="10">
        <v>1</v>
      </c>
      <c r="B336" s="33" t="s">
        <v>2484</v>
      </c>
      <c r="C336" s="41" t="s">
        <v>28</v>
      </c>
      <c r="D336" s="41" t="s">
        <v>2768</v>
      </c>
      <c r="E336" s="41" t="s">
        <v>2769</v>
      </c>
      <c r="F336" s="41" t="s">
        <v>2770</v>
      </c>
      <c r="G336" s="41" t="s">
        <v>85</v>
      </c>
      <c r="H336" s="8" t="s">
        <v>33</v>
      </c>
      <c r="I336" s="70" t="s">
        <v>27</v>
      </c>
      <c r="J336" s="70"/>
      <c r="K336" s="70"/>
      <c r="L336" s="41" t="s">
        <v>49</v>
      </c>
      <c r="M336" s="41" t="s">
        <v>128</v>
      </c>
      <c r="N336" s="10" t="s">
        <v>2950</v>
      </c>
      <c r="O336" s="8"/>
      <c r="P336" s="1"/>
    </row>
    <row r="337" spans="1:16" ht="21" hidden="1" customHeight="1">
      <c r="A337" s="10">
        <v>1</v>
      </c>
      <c r="B337" s="33" t="s">
        <v>2484</v>
      </c>
      <c r="C337" s="41" t="s">
        <v>93</v>
      </c>
      <c r="D337" s="41" t="s">
        <v>2951</v>
      </c>
      <c r="E337" s="41" t="s">
        <v>1182</v>
      </c>
      <c r="F337" s="41" t="s">
        <v>2952</v>
      </c>
      <c r="G337" s="41" t="s">
        <v>73</v>
      </c>
      <c r="H337" s="8" t="s">
        <v>33</v>
      </c>
      <c r="I337" s="70"/>
      <c r="J337" s="70"/>
      <c r="K337" s="70"/>
      <c r="L337" s="41" t="s">
        <v>49</v>
      </c>
      <c r="M337" s="41"/>
      <c r="N337" s="10" t="s">
        <v>2953</v>
      </c>
      <c r="O337" s="8"/>
      <c r="P337" s="1"/>
    </row>
    <row r="338" spans="1:16" ht="21" customHeight="1">
      <c r="A338" s="10">
        <v>1</v>
      </c>
      <c r="B338" s="33" t="s">
        <v>2484</v>
      </c>
      <c r="C338" s="41" t="s">
        <v>28</v>
      </c>
      <c r="D338" s="41" t="s">
        <v>2954</v>
      </c>
      <c r="E338" s="41" t="s">
        <v>2879</v>
      </c>
      <c r="F338" s="41" t="s">
        <v>2955</v>
      </c>
      <c r="G338" s="41" t="s">
        <v>79</v>
      </c>
      <c r="H338" s="8" t="s">
        <v>47</v>
      </c>
      <c r="I338" s="70" t="s">
        <v>2186</v>
      </c>
      <c r="J338" s="70"/>
      <c r="K338" s="70"/>
      <c r="L338" s="41" t="s">
        <v>49</v>
      </c>
      <c r="M338" s="41" t="s">
        <v>35</v>
      </c>
      <c r="N338" s="10" t="s">
        <v>2956</v>
      </c>
      <c r="O338" s="8"/>
      <c r="P338" s="1"/>
    </row>
    <row r="339" spans="1:16" ht="21" hidden="1" customHeight="1">
      <c r="A339" s="10">
        <v>1</v>
      </c>
      <c r="B339" s="33" t="s">
        <v>2484</v>
      </c>
      <c r="C339" s="41" t="s">
        <v>93</v>
      </c>
      <c r="D339" s="41" t="s">
        <v>2957</v>
      </c>
      <c r="E339" s="41" t="s">
        <v>951</v>
      </c>
      <c r="F339" s="41" t="s">
        <v>2958</v>
      </c>
      <c r="G339" s="41" t="s">
        <v>53</v>
      </c>
      <c r="H339" s="8" t="s">
        <v>33</v>
      </c>
      <c r="I339" s="70"/>
      <c r="J339" s="70"/>
      <c r="K339" s="70"/>
      <c r="L339" s="41" t="s">
        <v>49</v>
      </c>
      <c r="M339" s="41"/>
      <c r="N339" s="10" t="s">
        <v>2959</v>
      </c>
      <c r="O339" s="8"/>
      <c r="P339" s="1"/>
    </row>
    <row r="340" spans="1:16" ht="21" customHeight="1">
      <c r="A340" s="10">
        <v>1</v>
      </c>
      <c r="B340" s="33" t="s">
        <v>2484</v>
      </c>
      <c r="C340" s="41" t="s">
        <v>28</v>
      </c>
      <c r="D340" s="41" t="s">
        <v>2960</v>
      </c>
      <c r="E340" s="41" t="s">
        <v>182</v>
      </c>
      <c r="F340" s="41" t="s">
        <v>2961</v>
      </c>
      <c r="G340" s="41" t="s">
        <v>53</v>
      </c>
      <c r="H340" s="8" t="s">
        <v>33</v>
      </c>
      <c r="I340" s="70" t="s">
        <v>2938</v>
      </c>
      <c r="J340" s="70"/>
      <c r="K340" s="70"/>
      <c r="L340" s="41" t="s">
        <v>34</v>
      </c>
      <c r="M340" s="41" t="s">
        <v>128</v>
      </c>
      <c r="N340" s="10"/>
      <c r="O340" s="8"/>
      <c r="P340" s="1"/>
    </row>
    <row r="341" spans="1:16" ht="21" hidden="1" customHeight="1">
      <c r="A341" s="10">
        <v>1</v>
      </c>
      <c r="B341" s="33" t="s">
        <v>2484</v>
      </c>
      <c r="C341" s="41" t="s">
        <v>93</v>
      </c>
      <c r="D341" s="41" t="s">
        <v>2962</v>
      </c>
      <c r="E341" s="41" t="s">
        <v>285</v>
      </c>
      <c r="F341" s="41">
        <v>51989391528</v>
      </c>
      <c r="G341" s="41" t="s">
        <v>66</v>
      </c>
      <c r="H341" s="8" t="s">
        <v>67</v>
      </c>
      <c r="I341" s="70"/>
      <c r="J341" s="70"/>
      <c r="K341" s="70"/>
      <c r="L341" s="41" t="s">
        <v>55</v>
      </c>
      <c r="M341" s="41"/>
      <c r="N341" s="10" t="s">
        <v>2963</v>
      </c>
      <c r="O341" s="8"/>
      <c r="P341" s="1"/>
    </row>
    <row r="342" spans="1:16" ht="21" customHeight="1">
      <c r="A342" s="10">
        <v>1</v>
      </c>
      <c r="B342" s="33" t="s">
        <v>2484</v>
      </c>
      <c r="C342" s="41" t="s">
        <v>28</v>
      </c>
      <c r="D342" s="41" t="s">
        <v>2964</v>
      </c>
      <c r="E342" s="41" t="s">
        <v>39</v>
      </c>
      <c r="F342" s="41" t="s">
        <v>2965</v>
      </c>
      <c r="G342" s="41" t="s">
        <v>41</v>
      </c>
      <c r="H342" s="8" t="s">
        <v>33</v>
      </c>
      <c r="I342" s="70" t="s">
        <v>2929</v>
      </c>
      <c r="J342" s="70"/>
      <c r="K342" s="65">
        <v>59.9</v>
      </c>
      <c r="L342" s="41" t="s">
        <v>49</v>
      </c>
      <c r="M342" s="41" t="s">
        <v>80</v>
      </c>
      <c r="N342" s="10" t="s">
        <v>2966</v>
      </c>
      <c r="O342" s="8"/>
      <c r="P342" s="1"/>
    </row>
    <row r="343" spans="1:16" ht="21" hidden="1" customHeight="1">
      <c r="A343" s="10">
        <v>1</v>
      </c>
      <c r="B343" s="33" t="s">
        <v>2484</v>
      </c>
      <c r="C343" s="41" t="s">
        <v>93</v>
      </c>
      <c r="D343" s="41" t="s">
        <v>2967</v>
      </c>
      <c r="E343" s="41" t="s">
        <v>2526</v>
      </c>
      <c r="F343" s="41">
        <v>51989905050</v>
      </c>
      <c r="G343" s="41" t="s">
        <v>66</v>
      </c>
      <c r="H343" s="8" t="s">
        <v>67</v>
      </c>
      <c r="I343" s="70"/>
      <c r="J343" s="70"/>
      <c r="K343" s="70"/>
      <c r="L343" s="41" t="s">
        <v>55</v>
      </c>
      <c r="M343" s="41"/>
      <c r="N343" s="10" t="s">
        <v>239</v>
      </c>
      <c r="O343" s="8"/>
      <c r="P343" s="1"/>
    </row>
    <row r="344" spans="1:16" ht="21" hidden="1" customHeight="1">
      <c r="A344" s="10">
        <v>1</v>
      </c>
      <c r="B344" s="33" t="s">
        <v>2484</v>
      </c>
      <c r="C344" s="41" t="s">
        <v>93</v>
      </c>
      <c r="D344" s="41" t="s">
        <v>2968</v>
      </c>
      <c r="E344" s="41" t="s">
        <v>39</v>
      </c>
      <c r="F344" s="41" t="s">
        <v>2969</v>
      </c>
      <c r="G344" s="41" t="s">
        <v>41</v>
      </c>
      <c r="H344" s="8" t="s">
        <v>33</v>
      </c>
      <c r="I344" s="70"/>
      <c r="J344" s="70"/>
      <c r="K344" s="70"/>
      <c r="L344" s="41" t="s">
        <v>34</v>
      </c>
      <c r="M344" s="41"/>
      <c r="N344" s="10" t="s">
        <v>2970</v>
      </c>
      <c r="O344" s="8"/>
      <c r="P344" s="1"/>
    </row>
    <row r="345" spans="1:16" ht="21" customHeight="1">
      <c r="A345" s="10">
        <v>1</v>
      </c>
      <c r="B345" s="33" t="s">
        <v>2484</v>
      </c>
      <c r="C345" s="41" t="s">
        <v>28</v>
      </c>
      <c r="D345" s="41" t="s">
        <v>2971</v>
      </c>
      <c r="E345" s="41" t="s">
        <v>39</v>
      </c>
      <c r="F345" s="41" t="s">
        <v>2972</v>
      </c>
      <c r="G345" s="41" t="s">
        <v>41</v>
      </c>
      <c r="H345" s="8" t="s">
        <v>33</v>
      </c>
      <c r="I345" s="70"/>
      <c r="J345" s="70"/>
      <c r="K345" s="65">
        <v>99.9</v>
      </c>
      <c r="L345" s="41" t="s">
        <v>34</v>
      </c>
      <c r="M345" s="41" t="s">
        <v>35</v>
      </c>
      <c r="N345" s="10" t="s">
        <v>2973</v>
      </c>
      <c r="O345" s="8"/>
      <c r="P345" s="1"/>
    </row>
    <row r="346" spans="1:16" ht="21" customHeight="1">
      <c r="A346" s="10">
        <v>1</v>
      </c>
      <c r="B346" s="33" t="s">
        <v>2484</v>
      </c>
      <c r="C346" s="41" t="s">
        <v>28</v>
      </c>
      <c r="D346" s="41" t="s">
        <v>2974</v>
      </c>
      <c r="E346" s="41" t="s">
        <v>285</v>
      </c>
      <c r="F346" s="41" t="s">
        <v>2975</v>
      </c>
      <c r="G346" s="41" t="s">
        <v>66</v>
      </c>
      <c r="H346" s="8" t="s">
        <v>67</v>
      </c>
      <c r="I346" s="70" t="s">
        <v>572</v>
      </c>
      <c r="J346" s="70"/>
      <c r="K346" s="70"/>
      <c r="L346" s="41" t="s">
        <v>34</v>
      </c>
      <c r="M346" s="41" t="s">
        <v>61</v>
      </c>
      <c r="N346" s="10" t="s">
        <v>120</v>
      </c>
      <c r="O346" s="8"/>
      <c r="P346" s="1"/>
    </row>
    <row r="347" spans="1:16" ht="21" customHeight="1">
      <c r="A347" s="10">
        <v>1</v>
      </c>
      <c r="B347" s="33" t="s">
        <v>2186</v>
      </c>
      <c r="C347" s="41" t="s">
        <v>28</v>
      </c>
      <c r="D347" s="41" t="s">
        <v>2976</v>
      </c>
      <c r="E347" s="41" t="s">
        <v>157</v>
      </c>
      <c r="F347" s="41">
        <v>51998689212</v>
      </c>
      <c r="G347" s="41" t="s">
        <v>147</v>
      </c>
      <c r="H347" s="8" t="s">
        <v>33</v>
      </c>
      <c r="I347" s="70" t="s">
        <v>54</v>
      </c>
      <c r="J347" s="70"/>
      <c r="K347" s="70"/>
      <c r="L347" s="41" t="s">
        <v>55</v>
      </c>
      <c r="M347" s="41" t="s">
        <v>35</v>
      </c>
      <c r="N347" s="10" t="s">
        <v>120</v>
      </c>
      <c r="O347" s="8"/>
      <c r="P347" s="1"/>
    </row>
    <row r="348" spans="1:16" ht="21" customHeight="1">
      <c r="A348" s="10">
        <v>1</v>
      </c>
      <c r="B348" s="33" t="s">
        <v>2186</v>
      </c>
      <c r="C348" s="41" t="s">
        <v>28</v>
      </c>
      <c r="D348" s="41" t="s">
        <v>2977</v>
      </c>
      <c r="E348" s="41" t="s">
        <v>285</v>
      </c>
      <c r="F348" s="41">
        <v>51998210869</v>
      </c>
      <c r="G348" s="41" t="s">
        <v>66</v>
      </c>
      <c r="H348" s="8" t="s">
        <v>67</v>
      </c>
      <c r="I348" s="70" t="s">
        <v>2306</v>
      </c>
      <c r="J348" s="70"/>
      <c r="K348" s="70"/>
      <c r="L348" s="41" t="s">
        <v>55</v>
      </c>
      <c r="M348" s="41" t="s">
        <v>128</v>
      </c>
      <c r="N348" s="10" t="s">
        <v>468</v>
      </c>
      <c r="O348" s="8"/>
      <c r="P348" s="1"/>
    </row>
    <row r="349" spans="1:16" ht="21" hidden="1" customHeight="1">
      <c r="A349" s="10">
        <v>1</v>
      </c>
      <c r="B349" s="33" t="s">
        <v>2186</v>
      </c>
      <c r="C349" s="41" t="s">
        <v>93</v>
      </c>
      <c r="D349" s="41" t="s">
        <v>2978</v>
      </c>
      <c r="E349" s="41" t="s">
        <v>1083</v>
      </c>
      <c r="F349" s="41">
        <v>51998003549</v>
      </c>
      <c r="G349" s="41" t="s">
        <v>85</v>
      </c>
      <c r="H349" s="8" t="s">
        <v>33</v>
      </c>
      <c r="I349" s="70"/>
      <c r="J349" s="70"/>
      <c r="K349" s="70"/>
      <c r="L349" s="41" t="s">
        <v>55</v>
      </c>
      <c r="M349" s="41"/>
      <c r="N349" s="10" t="s">
        <v>102</v>
      </c>
      <c r="O349" s="8"/>
      <c r="P349" s="1"/>
    </row>
    <row r="350" spans="1:16" ht="21" hidden="1" customHeight="1">
      <c r="A350" s="10">
        <v>1</v>
      </c>
      <c r="B350" s="33" t="s">
        <v>2186</v>
      </c>
      <c r="C350" s="41" t="s">
        <v>93</v>
      </c>
      <c r="D350" s="41" t="s">
        <v>2979</v>
      </c>
      <c r="E350" s="41" t="s">
        <v>2980</v>
      </c>
      <c r="F350" s="41" t="s">
        <v>2981</v>
      </c>
      <c r="G350" s="41" t="s">
        <v>79</v>
      </c>
      <c r="H350" s="8" t="s">
        <v>47</v>
      </c>
      <c r="I350" s="70"/>
      <c r="J350" s="70"/>
      <c r="K350" s="70"/>
      <c r="L350" s="41" t="s">
        <v>49</v>
      </c>
      <c r="M350" s="41"/>
      <c r="N350" s="10" t="s">
        <v>342</v>
      </c>
      <c r="O350" s="8"/>
      <c r="P350" s="1"/>
    </row>
    <row r="351" spans="1:16" ht="21" customHeight="1">
      <c r="A351" s="10">
        <v>1</v>
      </c>
      <c r="B351" s="33" t="s">
        <v>2186</v>
      </c>
      <c r="C351" s="41" t="s">
        <v>28</v>
      </c>
      <c r="D351" s="41" t="s">
        <v>2982</v>
      </c>
      <c r="E351" s="41" t="s">
        <v>1313</v>
      </c>
      <c r="F351" s="41">
        <v>51999855021</v>
      </c>
      <c r="G351" s="41" t="s">
        <v>85</v>
      </c>
      <c r="H351" s="8" t="s">
        <v>33</v>
      </c>
      <c r="I351" s="70" t="s">
        <v>54</v>
      </c>
      <c r="J351" s="70"/>
      <c r="K351" s="70"/>
      <c r="L351" s="41" t="s">
        <v>55</v>
      </c>
      <c r="M351" s="41" t="s">
        <v>61</v>
      </c>
      <c r="N351" s="10" t="s">
        <v>2773</v>
      </c>
      <c r="O351" s="8"/>
      <c r="P351" s="1"/>
    </row>
    <row r="352" spans="1:16" ht="21" customHeight="1">
      <c r="A352" s="10">
        <v>1</v>
      </c>
      <c r="B352" s="33" t="s">
        <v>2186</v>
      </c>
      <c r="C352" s="41" t="s">
        <v>28</v>
      </c>
      <c r="D352" s="41" t="s">
        <v>2983</v>
      </c>
      <c r="E352" s="41" t="s">
        <v>145</v>
      </c>
      <c r="F352" s="41" t="s">
        <v>2955</v>
      </c>
      <c r="G352" s="41" t="s">
        <v>79</v>
      </c>
      <c r="H352" s="8" t="s">
        <v>47</v>
      </c>
      <c r="I352" s="70"/>
      <c r="J352" s="70"/>
      <c r="K352" s="70"/>
      <c r="L352" s="41" t="s">
        <v>49</v>
      </c>
      <c r="M352" s="41" t="s">
        <v>35</v>
      </c>
      <c r="N352" s="10" t="s">
        <v>2984</v>
      </c>
      <c r="O352" s="8"/>
      <c r="P352" s="1"/>
    </row>
    <row r="353" spans="1:16" ht="21" customHeight="1">
      <c r="A353" s="10">
        <v>1</v>
      </c>
      <c r="B353" s="33" t="s">
        <v>2186</v>
      </c>
      <c r="C353" s="41" t="s">
        <v>28</v>
      </c>
      <c r="D353" s="41" t="s">
        <v>2985</v>
      </c>
      <c r="E353" s="41" t="s">
        <v>39</v>
      </c>
      <c r="F353" s="41" t="s">
        <v>2986</v>
      </c>
      <c r="G353" s="41" t="s">
        <v>41</v>
      </c>
      <c r="H353" s="8" t="s">
        <v>33</v>
      </c>
      <c r="I353" s="70"/>
      <c r="J353" s="70"/>
      <c r="K353" s="65">
        <v>59.9</v>
      </c>
      <c r="L353" s="41" t="s">
        <v>49</v>
      </c>
      <c r="M353" s="41" t="s">
        <v>61</v>
      </c>
      <c r="N353" s="10" t="s">
        <v>2987</v>
      </c>
      <c r="O353" s="8"/>
      <c r="P353" s="1"/>
    </row>
    <row r="354" spans="1:16" ht="21" customHeight="1">
      <c r="A354" s="10">
        <v>1</v>
      </c>
      <c r="B354" s="33" t="s">
        <v>2186</v>
      </c>
      <c r="C354" s="41" t="s">
        <v>28</v>
      </c>
      <c r="D354" s="41" t="s">
        <v>2988</v>
      </c>
      <c r="E354" s="41" t="s">
        <v>39</v>
      </c>
      <c r="F354" s="41" t="s">
        <v>2989</v>
      </c>
      <c r="G354" s="41" t="s">
        <v>41</v>
      </c>
      <c r="H354" s="8" t="s">
        <v>33</v>
      </c>
      <c r="I354" s="70"/>
      <c r="J354" s="70"/>
      <c r="K354" s="65">
        <v>69.900000000000006</v>
      </c>
      <c r="L354" s="41" t="s">
        <v>49</v>
      </c>
      <c r="M354" s="41" t="s">
        <v>61</v>
      </c>
      <c r="N354" s="10" t="s">
        <v>2990</v>
      </c>
      <c r="O354" s="8"/>
      <c r="P354" s="1"/>
    </row>
    <row r="355" spans="1:16" ht="21" hidden="1" customHeight="1">
      <c r="A355" s="10">
        <v>1</v>
      </c>
      <c r="B355" s="33" t="s">
        <v>2186</v>
      </c>
      <c r="C355" s="41" t="s">
        <v>93</v>
      </c>
      <c r="D355" s="41" t="s">
        <v>2991</v>
      </c>
      <c r="E355" s="41" t="s">
        <v>334</v>
      </c>
      <c r="F355" s="41" t="s">
        <v>2992</v>
      </c>
      <c r="G355" s="41" t="s">
        <v>66</v>
      </c>
      <c r="H355" s="8" t="s">
        <v>67</v>
      </c>
      <c r="I355" s="70"/>
      <c r="J355" s="70"/>
      <c r="K355" s="70"/>
      <c r="L355" s="41" t="s">
        <v>49</v>
      </c>
      <c r="M355" s="41"/>
      <c r="N355" s="10" t="s">
        <v>2993</v>
      </c>
      <c r="O355" s="8"/>
      <c r="P355" s="1"/>
    </row>
    <row r="356" spans="1:16" ht="21" customHeight="1">
      <c r="A356" s="10">
        <v>1</v>
      </c>
      <c r="B356" s="33" t="s">
        <v>2186</v>
      </c>
      <c r="C356" s="41" t="s">
        <v>28</v>
      </c>
      <c r="D356" s="41" t="s">
        <v>2994</v>
      </c>
      <c r="E356" s="41" t="s">
        <v>39</v>
      </c>
      <c r="F356" s="41">
        <v>51994451959</v>
      </c>
      <c r="G356" s="41" t="s">
        <v>41</v>
      </c>
      <c r="H356" s="8" t="s">
        <v>33</v>
      </c>
      <c r="I356" s="70" t="s">
        <v>54</v>
      </c>
      <c r="J356" s="70"/>
      <c r="K356" s="65">
        <v>59.9</v>
      </c>
      <c r="L356" s="41" t="s">
        <v>55</v>
      </c>
      <c r="M356" s="41" t="s">
        <v>61</v>
      </c>
      <c r="N356" s="10" t="s">
        <v>358</v>
      </c>
      <c r="O356" s="8"/>
      <c r="P356" s="1"/>
    </row>
    <row r="357" spans="1:16" ht="21" customHeight="1">
      <c r="A357" s="10">
        <v>1</v>
      </c>
      <c r="B357" s="33" t="s">
        <v>2186</v>
      </c>
      <c r="C357" s="41" t="s">
        <v>28</v>
      </c>
      <c r="D357" s="41" t="s">
        <v>2995</v>
      </c>
      <c r="E357" s="41" t="s">
        <v>2996</v>
      </c>
      <c r="F357" s="41" t="s">
        <v>2997</v>
      </c>
      <c r="G357" s="41" t="s">
        <v>85</v>
      </c>
      <c r="H357" s="8" t="s">
        <v>33</v>
      </c>
      <c r="I357" s="70" t="s">
        <v>2491</v>
      </c>
      <c r="J357" s="70"/>
      <c r="K357" s="70"/>
      <c r="L357" s="41" t="s">
        <v>34</v>
      </c>
      <c r="M357" s="41" t="s">
        <v>61</v>
      </c>
      <c r="N357" s="10" t="s">
        <v>358</v>
      </c>
      <c r="O357" s="8"/>
      <c r="P357" s="1"/>
    </row>
    <row r="358" spans="1:16" ht="21" customHeight="1">
      <c r="A358" s="10">
        <v>1</v>
      </c>
      <c r="B358" s="33" t="s">
        <v>2186</v>
      </c>
      <c r="C358" s="41" t="s">
        <v>398</v>
      </c>
      <c r="D358" s="41" t="s">
        <v>2998</v>
      </c>
      <c r="E358" s="41" t="s">
        <v>623</v>
      </c>
      <c r="F358" s="41">
        <v>51995552145</v>
      </c>
      <c r="G358" s="41" t="s">
        <v>280</v>
      </c>
      <c r="H358" s="8" t="s">
        <v>33</v>
      </c>
      <c r="I358" s="70"/>
      <c r="J358" s="70"/>
      <c r="K358" s="70"/>
      <c r="L358" s="41" t="s">
        <v>55</v>
      </c>
      <c r="M358" s="41"/>
      <c r="N358" s="10" t="s">
        <v>2661</v>
      </c>
      <c r="O358" s="8"/>
      <c r="P358" s="1"/>
    </row>
    <row r="359" spans="1:16" ht="21" hidden="1" customHeight="1">
      <c r="A359" s="10">
        <v>1</v>
      </c>
      <c r="B359" s="33" t="s">
        <v>2186</v>
      </c>
      <c r="C359" s="41" t="s">
        <v>93</v>
      </c>
      <c r="D359" s="41" t="s">
        <v>2999</v>
      </c>
      <c r="E359" s="41" t="s">
        <v>39</v>
      </c>
      <c r="F359" s="41" t="s">
        <v>3000</v>
      </c>
      <c r="G359" s="41" t="s">
        <v>41</v>
      </c>
      <c r="H359" s="8" t="s">
        <v>33</v>
      </c>
      <c r="I359" s="70"/>
      <c r="J359" s="70"/>
      <c r="K359" s="70"/>
      <c r="L359" s="41" t="s">
        <v>49</v>
      </c>
      <c r="M359" s="41"/>
      <c r="N359" s="10" t="s">
        <v>3001</v>
      </c>
      <c r="O359" s="8"/>
      <c r="P359" s="1"/>
    </row>
    <row r="360" spans="1:16" ht="21" customHeight="1">
      <c r="A360" s="10">
        <v>1</v>
      </c>
      <c r="B360" s="33" t="s">
        <v>2186</v>
      </c>
      <c r="C360" s="41" t="s">
        <v>28</v>
      </c>
      <c r="D360" s="41" t="s">
        <v>3002</v>
      </c>
      <c r="E360" s="41" t="s">
        <v>939</v>
      </c>
      <c r="F360" s="41" t="s">
        <v>3003</v>
      </c>
      <c r="G360" s="41" t="s">
        <v>79</v>
      </c>
      <c r="H360" s="8" t="s">
        <v>47</v>
      </c>
      <c r="I360" s="70" t="s">
        <v>2783</v>
      </c>
      <c r="J360" s="70"/>
      <c r="K360" s="70"/>
      <c r="L360" s="41" t="s">
        <v>49</v>
      </c>
      <c r="M360" s="41" t="s">
        <v>61</v>
      </c>
      <c r="N360" s="10" t="s">
        <v>3004</v>
      </c>
      <c r="O360" s="8"/>
      <c r="P360" s="1"/>
    </row>
    <row r="361" spans="1:16" ht="21" hidden="1" customHeight="1">
      <c r="A361" s="10">
        <v>1</v>
      </c>
      <c r="B361" s="33" t="s">
        <v>2186</v>
      </c>
      <c r="C361" s="41" t="s">
        <v>93</v>
      </c>
      <c r="D361" s="41" t="s">
        <v>3005</v>
      </c>
      <c r="E361" s="41" t="s">
        <v>39</v>
      </c>
      <c r="F361" s="41" t="s">
        <v>3006</v>
      </c>
      <c r="G361" s="41" t="s">
        <v>3007</v>
      </c>
      <c r="H361" s="8" t="s">
        <v>33</v>
      </c>
      <c r="I361" s="70"/>
      <c r="J361" s="70"/>
      <c r="K361" s="70"/>
      <c r="L361" s="41" t="s">
        <v>34</v>
      </c>
      <c r="M361" s="41"/>
      <c r="N361" s="10" t="s">
        <v>3008</v>
      </c>
      <c r="O361" s="8"/>
      <c r="P361" s="1"/>
    </row>
    <row r="362" spans="1:16" ht="21" customHeight="1">
      <c r="A362" s="10">
        <v>1</v>
      </c>
      <c r="B362" s="33" t="s">
        <v>2186</v>
      </c>
      <c r="C362" s="41" t="s">
        <v>28</v>
      </c>
      <c r="D362" s="41" t="s">
        <v>3009</v>
      </c>
      <c r="E362" s="41" t="s">
        <v>325</v>
      </c>
      <c r="F362" s="41" t="s">
        <v>3010</v>
      </c>
      <c r="G362" s="41" t="s">
        <v>73</v>
      </c>
      <c r="H362" s="8" t="s">
        <v>33</v>
      </c>
      <c r="I362" s="70" t="s">
        <v>2938</v>
      </c>
      <c r="J362" s="70"/>
      <c r="K362" s="70"/>
      <c r="L362" s="41" t="s">
        <v>49</v>
      </c>
      <c r="M362" s="41" t="s">
        <v>61</v>
      </c>
      <c r="N362" s="10" t="s">
        <v>3011</v>
      </c>
      <c r="O362" s="8"/>
      <c r="P362" s="1"/>
    </row>
    <row r="363" spans="1:16" ht="21" customHeight="1">
      <c r="A363" s="10">
        <v>1</v>
      </c>
      <c r="B363" s="33" t="s">
        <v>2186</v>
      </c>
      <c r="C363" s="41" t="s">
        <v>28</v>
      </c>
      <c r="D363" s="41" t="s">
        <v>3012</v>
      </c>
      <c r="E363" s="41" t="s">
        <v>161</v>
      </c>
      <c r="F363" s="41" t="s">
        <v>3013</v>
      </c>
      <c r="G363" s="41" t="s">
        <v>66</v>
      </c>
      <c r="H363" s="8" t="s">
        <v>67</v>
      </c>
      <c r="I363" s="70" t="s">
        <v>2491</v>
      </c>
      <c r="J363" s="70"/>
      <c r="K363" s="70"/>
      <c r="L363" s="41" t="s">
        <v>49</v>
      </c>
      <c r="M363" s="41" t="s">
        <v>80</v>
      </c>
      <c r="N363" s="10" t="s">
        <v>3014</v>
      </c>
      <c r="O363" s="8"/>
      <c r="P363" s="1"/>
    </row>
    <row r="364" spans="1:16" ht="21" customHeight="1">
      <c r="A364" s="10">
        <v>1</v>
      </c>
      <c r="B364" s="33" t="s">
        <v>2186</v>
      </c>
      <c r="C364" s="41" t="s">
        <v>28</v>
      </c>
      <c r="D364" s="41" t="s">
        <v>3015</v>
      </c>
      <c r="E364" s="41" t="s">
        <v>145</v>
      </c>
      <c r="F364" s="41" t="s">
        <v>3016</v>
      </c>
      <c r="G364" s="41" t="s">
        <v>283</v>
      </c>
      <c r="H364" s="8" t="s">
        <v>47</v>
      </c>
      <c r="I364" s="70" t="s">
        <v>2783</v>
      </c>
      <c r="J364" s="70"/>
      <c r="K364" s="70"/>
      <c r="L364" s="41" t="s">
        <v>49</v>
      </c>
      <c r="M364" s="41" t="s">
        <v>128</v>
      </c>
      <c r="N364" s="10" t="s">
        <v>3017</v>
      </c>
      <c r="O364" s="8"/>
      <c r="P364" s="1"/>
    </row>
    <row r="365" spans="1:16" ht="21" customHeight="1">
      <c r="A365" s="10">
        <v>1</v>
      </c>
      <c r="B365" s="33" t="s">
        <v>2186</v>
      </c>
      <c r="C365" s="41" t="s">
        <v>28</v>
      </c>
      <c r="D365" s="41" t="s">
        <v>3018</v>
      </c>
      <c r="E365" s="41" t="s">
        <v>71</v>
      </c>
      <c r="F365" s="41" t="s">
        <v>3019</v>
      </c>
      <c r="G365" s="41" t="s">
        <v>147</v>
      </c>
      <c r="H365" s="8" t="s">
        <v>33</v>
      </c>
      <c r="I365" s="70"/>
      <c r="J365" s="70"/>
      <c r="K365" s="70"/>
      <c r="L365" s="41" t="s">
        <v>34</v>
      </c>
      <c r="M365" s="41" t="s">
        <v>128</v>
      </c>
      <c r="N365" s="10" t="s">
        <v>3020</v>
      </c>
      <c r="O365" s="8"/>
      <c r="P365" s="1"/>
    </row>
    <row r="366" spans="1:16" ht="21" hidden="1" customHeight="1">
      <c r="A366" s="10">
        <v>1</v>
      </c>
      <c r="B366" s="33" t="s">
        <v>2186</v>
      </c>
      <c r="C366" s="41" t="s">
        <v>93</v>
      </c>
      <c r="D366" s="41" t="s">
        <v>3021</v>
      </c>
      <c r="E366" s="41" t="s">
        <v>1710</v>
      </c>
      <c r="F366" s="41" t="s">
        <v>3022</v>
      </c>
      <c r="G366" s="41" t="s">
        <v>85</v>
      </c>
      <c r="H366" s="8" t="s">
        <v>33</v>
      </c>
      <c r="I366" s="70"/>
      <c r="J366" s="70"/>
      <c r="K366" s="70"/>
      <c r="L366" s="41" t="s">
        <v>34</v>
      </c>
      <c r="M366" s="41"/>
      <c r="N366" s="10" t="s">
        <v>3023</v>
      </c>
      <c r="O366" s="8"/>
      <c r="P366" s="1"/>
    </row>
    <row r="367" spans="1:16" ht="21" customHeight="1">
      <c r="A367" s="10">
        <v>1</v>
      </c>
      <c r="B367" s="33" t="s">
        <v>2597</v>
      </c>
      <c r="C367" s="41" t="s">
        <v>28</v>
      </c>
      <c r="D367" s="41" t="s">
        <v>3024</v>
      </c>
      <c r="E367" s="41" t="s">
        <v>2526</v>
      </c>
      <c r="F367" s="41">
        <v>51999171874</v>
      </c>
      <c r="G367" s="41" t="s">
        <v>91</v>
      </c>
      <c r="H367" s="8" t="s">
        <v>67</v>
      </c>
      <c r="I367" s="70" t="s">
        <v>2783</v>
      </c>
      <c r="J367" s="70"/>
      <c r="K367" s="70"/>
      <c r="L367" s="41" t="s">
        <v>55</v>
      </c>
      <c r="M367" s="41" t="s">
        <v>61</v>
      </c>
      <c r="N367" s="10" t="s">
        <v>358</v>
      </c>
      <c r="O367" s="8"/>
      <c r="P367" s="1"/>
    </row>
    <row r="368" spans="1:16" ht="21" customHeight="1">
      <c r="A368" s="10">
        <v>1</v>
      </c>
      <c r="B368" s="33" t="s">
        <v>2597</v>
      </c>
      <c r="C368" s="41" t="s">
        <v>28</v>
      </c>
      <c r="D368" s="41" t="s">
        <v>3025</v>
      </c>
      <c r="E368" s="41" t="s">
        <v>430</v>
      </c>
      <c r="F368" s="41">
        <v>48991768404</v>
      </c>
      <c r="G368" s="41" t="s">
        <v>66</v>
      </c>
      <c r="H368" s="8" t="s">
        <v>67</v>
      </c>
      <c r="I368" s="70" t="s">
        <v>2783</v>
      </c>
      <c r="J368" s="70"/>
      <c r="K368" s="70"/>
      <c r="L368" s="41" t="s">
        <v>55</v>
      </c>
      <c r="M368" s="41" t="s">
        <v>80</v>
      </c>
      <c r="N368" s="10" t="s">
        <v>2039</v>
      </c>
      <c r="O368" s="8"/>
      <c r="P368" s="1"/>
    </row>
    <row r="369" spans="1:16" ht="21" hidden="1" customHeight="1">
      <c r="A369" s="10">
        <v>1</v>
      </c>
      <c r="B369" s="33" t="s">
        <v>2597</v>
      </c>
      <c r="C369" s="41" t="s">
        <v>93</v>
      </c>
      <c r="D369" s="108" t="s">
        <v>734</v>
      </c>
      <c r="E369" s="41" t="s">
        <v>3026</v>
      </c>
      <c r="F369" s="41">
        <v>51994730441</v>
      </c>
      <c r="G369" s="41" t="s">
        <v>66</v>
      </c>
      <c r="H369" s="8" t="s">
        <v>67</v>
      </c>
      <c r="I369" s="70"/>
      <c r="J369" s="70"/>
      <c r="K369" s="70"/>
      <c r="L369" s="41" t="s">
        <v>55</v>
      </c>
      <c r="M369" s="41"/>
      <c r="N369" s="10" t="s">
        <v>3027</v>
      </c>
      <c r="O369" s="8"/>
      <c r="P369" s="1"/>
    </row>
    <row r="370" spans="1:16" ht="21" customHeight="1">
      <c r="A370" s="10">
        <v>1</v>
      </c>
      <c r="B370" s="33" t="s">
        <v>2597</v>
      </c>
      <c r="C370" s="41" t="s">
        <v>28</v>
      </c>
      <c r="D370" s="41" t="s">
        <v>3028</v>
      </c>
      <c r="E370" s="41" t="s">
        <v>315</v>
      </c>
      <c r="F370" s="41" t="s">
        <v>3029</v>
      </c>
      <c r="G370" s="41" t="s">
        <v>66</v>
      </c>
      <c r="H370" s="8" t="s">
        <v>67</v>
      </c>
      <c r="I370" s="70" t="s">
        <v>2589</v>
      </c>
      <c r="J370" s="70"/>
      <c r="K370" s="70"/>
      <c r="L370" s="41" t="s">
        <v>49</v>
      </c>
      <c r="M370" s="41" t="s">
        <v>61</v>
      </c>
      <c r="N370" s="10" t="s">
        <v>3030</v>
      </c>
      <c r="O370" s="8"/>
      <c r="P370" s="1"/>
    </row>
    <row r="371" spans="1:16" ht="21" customHeight="1">
      <c r="A371" s="10">
        <v>1</v>
      </c>
      <c r="B371" s="33" t="s">
        <v>2597</v>
      </c>
      <c r="C371" s="41" t="s">
        <v>28</v>
      </c>
      <c r="D371" s="41" t="s">
        <v>3031</v>
      </c>
      <c r="E371" s="41" t="s">
        <v>157</v>
      </c>
      <c r="F371" s="41">
        <v>51997404707</v>
      </c>
      <c r="G371" s="41" t="s">
        <v>147</v>
      </c>
      <c r="H371" s="8" t="s">
        <v>33</v>
      </c>
      <c r="I371" s="70" t="s">
        <v>177</v>
      </c>
      <c r="J371" s="70"/>
      <c r="K371" s="70"/>
      <c r="L371" s="41" t="s">
        <v>55</v>
      </c>
      <c r="M371" s="41" t="s">
        <v>61</v>
      </c>
      <c r="N371" s="10" t="s">
        <v>120</v>
      </c>
      <c r="O371" s="8"/>
      <c r="P371" s="1"/>
    </row>
    <row r="372" spans="1:16" ht="21" customHeight="1">
      <c r="A372" s="10">
        <v>1</v>
      </c>
      <c r="B372" s="33" t="s">
        <v>2597</v>
      </c>
      <c r="C372" s="41" t="s">
        <v>28</v>
      </c>
      <c r="D372" s="41" t="s">
        <v>3032</v>
      </c>
      <c r="E372" s="41" t="s">
        <v>653</v>
      </c>
      <c r="F372" s="41" t="s">
        <v>3033</v>
      </c>
      <c r="G372" s="41" t="s">
        <v>730</v>
      </c>
      <c r="H372" s="8" t="s">
        <v>33</v>
      </c>
      <c r="I372" s="70" t="s">
        <v>105</v>
      </c>
      <c r="J372" s="70"/>
      <c r="K372" s="70"/>
      <c r="L372" s="41" t="s">
        <v>49</v>
      </c>
      <c r="M372" s="41" t="s">
        <v>80</v>
      </c>
      <c r="N372" s="10" t="s">
        <v>3034</v>
      </c>
      <c r="O372" s="8"/>
      <c r="P372" s="1"/>
    </row>
    <row r="373" spans="1:16" ht="21" hidden="1" customHeight="1">
      <c r="A373" s="10">
        <v>1</v>
      </c>
      <c r="B373" s="33" t="s">
        <v>2597</v>
      </c>
      <c r="C373" s="41" t="s">
        <v>93</v>
      </c>
      <c r="D373" s="41" t="s">
        <v>3035</v>
      </c>
      <c r="E373" s="41" t="s">
        <v>39</v>
      </c>
      <c r="F373" s="41" t="s">
        <v>3036</v>
      </c>
      <c r="G373" s="41" t="s">
        <v>41</v>
      </c>
      <c r="H373" s="8" t="s">
        <v>33</v>
      </c>
      <c r="I373" s="70"/>
      <c r="J373" s="70"/>
      <c r="K373" s="70"/>
      <c r="L373" s="41" t="s">
        <v>49</v>
      </c>
      <c r="M373" s="41"/>
      <c r="N373" s="10" t="s">
        <v>3037</v>
      </c>
      <c r="O373" s="8"/>
      <c r="P373" s="1"/>
    </row>
    <row r="374" spans="1:16" ht="21" hidden="1" customHeight="1">
      <c r="A374" s="10">
        <v>1</v>
      </c>
      <c r="B374" s="33" t="s">
        <v>2597</v>
      </c>
      <c r="C374" s="41" t="s">
        <v>93</v>
      </c>
      <c r="D374" s="41" t="s">
        <v>3038</v>
      </c>
      <c r="E374" s="41" t="s">
        <v>39</v>
      </c>
      <c r="F374" s="41" t="s">
        <v>3039</v>
      </c>
      <c r="G374" s="41" t="s">
        <v>41</v>
      </c>
      <c r="H374" s="8" t="s">
        <v>33</v>
      </c>
      <c r="I374" s="70"/>
      <c r="J374" s="70"/>
      <c r="K374" s="70"/>
      <c r="L374" s="41" t="s">
        <v>49</v>
      </c>
      <c r="M374" s="41"/>
      <c r="N374" s="10" t="s">
        <v>3040</v>
      </c>
      <c r="O374" s="8"/>
      <c r="P374" s="1"/>
    </row>
    <row r="375" spans="1:16" ht="21" customHeight="1">
      <c r="A375" s="10">
        <v>1</v>
      </c>
      <c r="B375" s="33" t="s">
        <v>2597</v>
      </c>
      <c r="C375" s="41" t="s">
        <v>28</v>
      </c>
      <c r="D375" s="41" t="s">
        <v>3041</v>
      </c>
      <c r="E375" s="41" t="s">
        <v>3042</v>
      </c>
      <c r="F375" s="41" t="s">
        <v>3043</v>
      </c>
      <c r="G375" s="41" t="s">
        <v>283</v>
      </c>
      <c r="H375" s="8" t="s">
        <v>47</v>
      </c>
      <c r="I375" s="70" t="s">
        <v>572</v>
      </c>
      <c r="J375" s="70"/>
      <c r="K375" s="70"/>
      <c r="L375" s="41" t="s">
        <v>49</v>
      </c>
      <c r="M375" s="41" t="s">
        <v>56</v>
      </c>
      <c r="N375" s="10" t="s">
        <v>3044</v>
      </c>
      <c r="O375" s="8"/>
      <c r="P375" s="1"/>
    </row>
    <row r="376" spans="1:16" ht="21" customHeight="1">
      <c r="A376" s="10">
        <v>1</v>
      </c>
      <c r="B376" s="33" t="s">
        <v>2597</v>
      </c>
      <c r="C376" s="41" t="s">
        <v>28</v>
      </c>
      <c r="D376" s="41" t="s">
        <v>3045</v>
      </c>
      <c r="E376" s="41" t="s">
        <v>817</v>
      </c>
      <c r="F376" s="41" t="s">
        <v>3046</v>
      </c>
      <c r="G376" s="41" t="s">
        <v>41</v>
      </c>
      <c r="H376" s="8" t="s">
        <v>33</v>
      </c>
      <c r="I376" s="70" t="s">
        <v>2929</v>
      </c>
      <c r="J376" s="70"/>
      <c r="K376" s="70"/>
      <c r="L376" s="41" t="s">
        <v>49</v>
      </c>
      <c r="M376" s="41" t="s">
        <v>61</v>
      </c>
      <c r="N376" s="10" t="s">
        <v>3047</v>
      </c>
      <c r="O376" s="8"/>
      <c r="P376" s="1"/>
    </row>
    <row r="377" spans="1:16" ht="21" hidden="1" customHeight="1">
      <c r="A377" s="10">
        <v>1</v>
      </c>
      <c r="B377" s="33" t="s">
        <v>2597</v>
      </c>
      <c r="C377" s="41" t="s">
        <v>93</v>
      </c>
      <c r="D377" s="41" t="s">
        <v>3048</v>
      </c>
      <c r="E377" s="41" t="s">
        <v>145</v>
      </c>
      <c r="F377" s="41" t="s">
        <v>3049</v>
      </c>
      <c r="G377" s="41" t="s">
        <v>73</v>
      </c>
      <c r="H377" s="8" t="s">
        <v>33</v>
      </c>
      <c r="I377" s="70"/>
      <c r="J377" s="70"/>
      <c r="K377" s="70"/>
      <c r="L377" s="41" t="s">
        <v>49</v>
      </c>
      <c r="M377" s="41"/>
      <c r="N377" s="10" t="s">
        <v>3050</v>
      </c>
      <c r="O377" s="8"/>
      <c r="P377" s="1"/>
    </row>
    <row r="378" spans="1:16" ht="21" hidden="1" customHeight="1">
      <c r="A378" s="10">
        <v>1</v>
      </c>
      <c r="B378" s="33" t="s">
        <v>2597</v>
      </c>
      <c r="C378" s="41" t="s">
        <v>93</v>
      </c>
      <c r="D378" s="41" t="s">
        <v>3051</v>
      </c>
      <c r="E378" s="41" t="s">
        <v>1997</v>
      </c>
      <c r="F378" s="41" t="s">
        <v>3052</v>
      </c>
      <c r="G378" s="41" t="s">
        <v>280</v>
      </c>
      <c r="H378" s="8" t="s">
        <v>33</v>
      </c>
      <c r="I378" s="70"/>
      <c r="J378" s="70"/>
      <c r="K378" s="70"/>
      <c r="L378" s="41" t="s">
        <v>49</v>
      </c>
      <c r="M378" s="41"/>
      <c r="N378" s="10" t="s">
        <v>3053</v>
      </c>
      <c r="O378" s="8"/>
      <c r="P378" s="1"/>
    </row>
    <row r="379" spans="1:16" ht="21" hidden="1" customHeight="1">
      <c r="A379" s="10">
        <v>1</v>
      </c>
      <c r="B379" s="33" t="s">
        <v>2597</v>
      </c>
      <c r="C379" s="41" t="s">
        <v>93</v>
      </c>
      <c r="D379" s="41" t="s">
        <v>3054</v>
      </c>
      <c r="E379" s="41" t="s">
        <v>145</v>
      </c>
      <c r="F379" s="41" t="s">
        <v>3055</v>
      </c>
      <c r="G379" s="41" t="s">
        <v>85</v>
      </c>
      <c r="H379" s="8" t="s">
        <v>33</v>
      </c>
      <c r="I379" s="70"/>
      <c r="J379" s="70"/>
      <c r="K379" s="70"/>
      <c r="L379" s="41" t="s">
        <v>49</v>
      </c>
      <c r="M379" s="41"/>
      <c r="N379" s="10" t="s">
        <v>3056</v>
      </c>
      <c r="O379" s="8"/>
      <c r="P379" s="1"/>
    </row>
    <row r="380" spans="1:16" ht="21" customHeight="1">
      <c r="A380" s="10">
        <v>1</v>
      </c>
      <c r="B380" s="33" t="s">
        <v>2597</v>
      </c>
      <c r="C380" s="41" t="s">
        <v>28</v>
      </c>
      <c r="D380" s="41" t="s">
        <v>3057</v>
      </c>
      <c r="E380" s="41" t="s">
        <v>1997</v>
      </c>
      <c r="F380" s="41" t="s">
        <v>3058</v>
      </c>
      <c r="G380" s="41" t="s">
        <v>85</v>
      </c>
      <c r="H380" s="8" t="s">
        <v>33</v>
      </c>
      <c r="I380" s="70" t="s">
        <v>2491</v>
      </c>
      <c r="J380" s="70"/>
      <c r="K380" s="70"/>
      <c r="L380" s="41" t="s">
        <v>34</v>
      </c>
      <c r="M380" s="41" t="s">
        <v>61</v>
      </c>
      <c r="N380" s="10" t="s">
        <v>3059</v>
      </c>
      <c r="O380" s="8"/>
      <c r="P380" s="1"/>
    </row>
    <row r="381" spans="1:16" ht="21" hidden="1" customHeight="1">
      <c r="A381" s="10">
        <v>1</v>
      </c>
      <c r="B381" s="33" t="s">
        <v>2597</v>
      </c>
      <c r="C381" s="41" t="s">
        <v>93</v>
      </c>
      <c r="D381" s="41" t="s">
        <v>3060</v>
      </c>
      <c r="E381" s="41" t="s">
        <v>1542</v>
      </c>
      <c r="F381" s="41">
        <v>51992498485</v>
      </c>
      <c r="G381" s="41" t="s">
        <v>85</v>
      </c>
      <c r="H381" s="8" t="s">
        <v>33</v>
      </c>
      <c r="I381" s="70"/>
      <c r="J381" s="70"/>
      <c r="K381" s="70"/>
      <c r="L381" s="41" t="s">
        <v>55</v>
      </c>
      <c r="M381" s="41"/>
      <c r="N381" s="10" t="s">
        <v>3061</v>
      </c>
      <c r="O381" s="8"/>
      <c r="P381" s="1"/>
    </row>
    <row r="382" spans="1:16" ht="21" hidden="1" customHeight="1">
      <c r="A382" s="10">
        <v>1</v>
      </c>
      <c r="B382" s="33" t="s">
        <v>2597</v>
      </c>
      <c r="C382" s="41" t="s">
        <v>93</v>
      </c>
      <c r="D382" s="41" t="s">
        <v>3062</v>
      </c>
      <c r="E382" s="41" t="s">
        <v>1623</v>
      </c>
      <c r="F382" s="41" t="s">
        <v>3063</v>
      </c>
      <c r="G382" s="41" t="s">
        <v>91</v>
      </c>
      <c r="H382" s="8" t="s">
        <v>67</v>
      </c>
      <c r="I382" s="70"/>
      <c r="J382" s="70"/>
      <c r="K382" s="70"/>
      <c r="L382" s="41" t="s">
        <v>49</v>
      </c>
      <c r="M382" s="41"/>
      <c r="N382" s="10" t="s">
        <v>3064</v>
      </c>
      <c r="O382" s="8"/>
      <c r="P382" s="1"/>
    </row>
    <row r="383" spans="1:16" ht="21" customHeight="1">
      <c r="A383" s="10">
        <v>1</v>
      </c>
      <c r="B383" s="33" t="s">
        <v>2597</v>
      </c>
      <c r="C383" s="41" t="s">
        <v>28</v>
      </c>
      <c r="D383" s="41" t="s">
        <v>3065</v>
      </c>
      <c r="E383" s="41" t="s">
        <v>3066</v>
      </c>
      <c r="F383" s="41" t="s">
        <v>3067</v>
      </c>
      <c r="G383" s="41" t="s">
        <v>85</v>
      </c>
      <c r="H383" s="8" t="s">
        <v>33</v>
      </c>
      <c r="I383" s="70" t="s">
        <v>27</v>
      </c>
      <c r="J383" s="70"/>
      <c r="K383" s="70"/>
      <c r="L383" s="41" t="s">
        <v>49</v>
      </c>
      <c r="M383" s="41" t="s">
        <v>61</v>
      </c>
      <c r="N383" s="10" t="s">
        <v>3068</v>
      </c>
      <c r="O383" s="8"/>
      <c r="P383" s="1"/>
    </row>
    <row r="384" spans="1:16" ht="21" customHeight="1">
      <c r="A384" s="10">
        <v>1</v>
      </c>
      <c r="B384" s="33" t="s">
        <v>2597</v>
      </c>
      <c r="C384" s="41" t="s">
        <v>28</v>
      </c>
      <c r="D384" s="41" t="s">
        <v>3069</v>
      </c>
      <c r="E384" s="41" t="s">
        <v>118</v>
      </c>
      <c r="F384" s="41" t="s">
        <v>3070</v>
      </c>
      <c r="G384" s="41" t="s">
        <v>66</v>
      </c>
      <c r="H384" s="8" t="s">
        <v>67</v>
      </c>
      <c r="I384" s="70" t="s">
        <v>572</v>
      </c>
      <c r="J384" s="70"/>
      <c r="K384" s="70"/>
      <c r="L384" s="41" t="s">
        <v>34</v>
      </c>
      <c r="M384" s="41" t="s">
        <v>128</v>
      </c>
      <c r="N384" s="10" t="s">
        <v>3071</v>
      </c>
      <c r="O384" s="8"/>
      <c r="P384" s="1"/>
    </row>
    <row r="385" spans="1:16" ht="21" customHeight="1">
      <c r="A385" s="10">
        <v>1</v>
      </c>
      <c r="B385" s="33" t="s">
        <v>2306</v>
      </c>
      <c r="C385" s="41" t="s">
        <v>28</v>
      </c>
      <c r="D385" s="41" t="s">
        <v>3072</v>
      </c>
      <c r="E385" s="41" t="s">
        <v>817</v>
      </c>
      <c r="F385" s="41">
        <v>51989031612</v>
      </c>
      <c r="G385" s="41" t="s">
        <v>41</v>
      </c>
      <c r="H385" s="8" t="s">
        <v>33</v>
      </c>
      <c r="I385" s="70" t="s">
        <v>54</v>
      </c>
      <c r="J385" s="70"/>
      <c r="K385" s="70"/>
      <c r="L385" s="41" t="s">
        <v>55</v>
      </c>
      <c r="M385" s="41" t="s">
        <v>35</v>
      </c>
      <c r="N385" s="10" t="s">
        <v>120</v>
      </c>
      <c r="O385" s="8"/>
      <c r="P385" s="1"/>
    </row>
    <row r="386" spans="1:16" ht="21" customHeight="1">
      <c r="A386" s="10">
        <v>1</v>
      </c>
      <c r="B386" s="33" t="s">
        <v>2306</v>
      </c>
      <c r="C386" s="41" t="s">
        <v>28</v>
      </c>
      <c r="D386" s="41" t="s">
        <v>3073</v>
      </c>
      <c r="E386" s="41" t="s">
        <v>3074</v>
      </c>
      <c r="F386" s="41">
        <v>51992414334</v>
      </c>
      <c r="G386" s="41" t="s">
        <v>415</v>
      </c>
      <c r="H386" s="8" t="s">
        <v>33</v>
      </c>
      <c r="I386" s="70" t="s">
        <v>54</v>
      </c>
      <c r="J386" s="70"/>
      <c r="K386" s="70"/>
      <c r="L386" s="41" t="s">
        <v>55</v>
      </c>
      <c r="M386" s="41" t="s">
        <v>111</v>
      </c>
      <c r="N386" s="10" t="s">
        <v>3075</v>
      </c>
      <c r="O386" s="8"/>
      <c r="P386" s="1"/>
    </row>
    <row r="387" spans="1:16" ht="21" hidden="1" customHeight="1">
      <c r="A387" s="10">
        <v>1</v>
      </c>
      <c r="B387" s="33" t="s">
        <v>2306</v>
      </c>
      <c r="C387" s="41" t="s">
        <v>93</v>
      </c>
      <c r="D387" s="41" t="s">
        <v>3076</v>
      </c>
      <c r="E387" s="41" t="s">
        <v>39</v>
      </c>
      <c r="F387" s="41">
        <v>51980330604</v>
      </c>
      <c r="G387" s="41" t="s">
        <v>41</v>
      </c>
      <c r="H387" s="8" t="s">
        <v>33</v>
      </c>
      <c r="I387" s="70"/>
      <c r="J387" s="70"/>
      <c r="K387" s="70"/>
      <c r="L387" s="41" t="s">
        <v>55</v>
      </c>
      <c r="M387" s="41"/>
      <c r="N387" s="10" t="s">
        <v>3077</v>
      </c>
      <c r="O387" s="8"/>
      <c r="P387" s="1"/>
    </row>
    <row r="388" spans="1:16" ht="21" customHeight="1">
      <c r="A388" s="10">
        <v>1</v>
      </c>
      <c r="B388" s="33" t="s">
        <v>2306</v>
      </c>
      <c r="C388" s="41" t="s">
        <v>398</v>
      </c>
      <c r="D388" s="41" t="s">
        <v>3078</v>
      </c>
      <c r="E388" s="41" t="s">
        <v>2926</v>
      </c>
      <c r="F388" s="41">
        <v>51986500697</v>
      </c>
      <c r="G388" s="41" t="s">
        <v>91</v>
      </c>
      <c r="H388" s="8" t="s">
        <v>67</v>
      </c>
      <c r="I388" s="70" t="s">
        <v>2929</v>
      </c>
      <c r="J388" s="70"/>
      <c r="K388" s="70"/>
      <c r="L388" s="41" t="s">
        <v>55</v>
      </c>
      <c r="M388" s="41"/>
      <c r="N388" s="10" t="s">
        <v>2661</v>
      </c>
      <c r="O388" s="8"/>
      <c r="P388" s="1"/>
    </row>
    <row r="389" spans="1:16" ht="21" hidden="1" customHeight="1">
      <c r="A389" s="10">
        <v>1</v>
      </c>
      <c r="B389" s="33" t="s">
        <v>2306</v>
      </c>
      <c r="C389" s="41" t="s">
        <v>93</v>
      </c>
      <c r="D389" s="41" t="s">
        <v>3079</v>
      </c>
      <c r="E389" s="41" t="s">
        <v>653</v>
      </c>
      <c r="F389" s="41">
        <v>51999334488</v>
      </c>
      <c r="G389" s="41" t="s">
        <v>730</v>
      </c>
      <c r="H389" s="8" t="s">
        <v>33</v>
      </c>
      <c r="I389" s="70"/>
      <c r="J389" s="70"/>
      <c r="K389" s="70"/>
      <c r="L389" s="41" t="s">
        <v>55</v>
      </c>
      <c r="M389" s="41"/>
      <c r="N389" s="10" t="s">
        <v>3080</v>
      </c>
      <c r="O389" s="8"/>
      <c r="P389" s="1"/>
    </row>
    <row r="390" spans="1:16" ht="21" hidden="1" customHeight="1">
      <c r="A390" s="10">
        <v>1</v>
      </c>
      <c r="B390" s="33" t="s">
        <v>2306</v>
      </c>
      <c r="C390" s="41" t="s">
        <v>93</v>
      </c>
      <c r="D390" s="41" t="s">
        <v>3081</v>
      </c>
      <c r="E390" s="41" t="s">
        <v>893</v>
      </c>
      <c r="F390" s="41">
        <v>51996366153</v>
      </c>
      <c r="G390" s="41" t="s">
        <v>85</v>
      </c>
      <c r="H390" s="8" t="s">
        <v>33</v>
      </c>
      <c r="I390" s="70"/>
      <c r="J390" s="70"/>
      <c r="K390" s="70"/>
      <c r="L390" s="41" t="s">
        <v>55</v>
      </c>
      <c r="M390" s="41"/>
      <c r="N390" s="10" t="s">
        <v>3082</v>
      </c>
      <c r="O390" s="8"/>
      <c r="P390" s="1"/>
    </row>
    <row r="391" spans="1:16" ht="21" customHeight="1">
      <c r="A391" s="10">
        <v>1</v>
      </c>
      <c r="B391" s="33" t="s">
        <v>2306</v>
      </c>
      <c r="C391" s="41" t="s">
        <v>28</v>
      </c>
      <c r="D391" s="41" t="s">
        <v>3083</v>
      </c>
      <c r="E391" s="41" t="s">
        <v>1313</v>
      </c>
      <c r="F391" s="41" t="s">
        <v>3084</v>
      </c>
      <c r="G391" s="41" t="s">
        <v>85</v>
      </c>
      <c r="H391" s="8" t="s">
        <v>33</v>
      </c>
      <c r="I391" s="70" t="s">
        <v>27</v>
      </c>
      <c r="J391" s="70"/>
      <c r="K391" s="70"/>
      <c r="L391" s="41" t="s">
        <v>49</v>
      </c>
      <c r="M391" s="41" t="s">
        <v>61</v>
      </c>
      <c r="N391" s="10" t="s">
        <v>3085</v>
      </c>
      <c r="O391" s="8"/>
      <c r="P391" s="1"/>
    </row>
    <row r="392" spans="1:16" ht="21" hidden="1" customHeight="1">
      <c r="A392" s="10">
        <v>1</v>
      </c>
      <c r="B392" s="33" t="s">
        <v>2306</v>
      </c>
      <c r="C392" s="41" t="s">
        <v>93</v>
      </c>
      <c r="D392" s="41" t="s">
        <v>3086</v>
      </c>
      <c r="E392" s="41" t="s">
        <v>615</v>
      </c>
      <c r="F392" s="41" t="s">
        <v>3087</v>
      </c>
      <c r="G392" s="41" t="s">
        <v>66</v>
      </c>
      <c r="H392" s="8" t="s">
        <v>67</v>
      </c>
      <c r="I392" s="70"/>
      <c r="J392" s="70"/>
      <c r="K392" s="70"/>
      <c r="L392" s="41" t="s">
        <v>49</v>
      </c>
      <c r="M392" s="41"/>
      <c r="N392" s="10" t="s">
        <v>3088</v>
      </c>
      <c r="O392" s="8"/>
      <c r="P392" s="1"/>
    </row>
    <row r="393" spans="1:16" ht="21" customHeight="1">
      <c r="A393" s="10">
        <v>1</v>
      </c>
      <c r="B393" s="33" t="s">
        <v>2306</v>
      </c>
      <c r="C393" s="41" t="s">
        <v>28</v>
      </c>
      <c r="D393" s="41" t="s">
        <v>3089</v>
      </c>
      <c r="E393" s="41" t="s">
        <v>817</v>
      </c>
      <c r="F393" s="41" t="s">
        <v>3090</v>
      </c>
      <c r="G393" s="41" t="s">
        <v>41</v>
      </c>
      <c r="H393" s="8" t="s">
        <v>33</v>
      </c>
      <c r="I393" s="70" t="s">
        <v>2929</v>
      </c>
      <c r="J393" s="70"/>
      <c r="K393" s="70"/>
      <c r="L393" s="41" t="s">
        <v>49</v>
      </c>
      <c r="M393" s="41" t="s">
        <v>61</v>
      </c>
      <c r="N393" s="10" t="s">
        <v>3091</v>
      </c>
      <c r="O393" s="8"/>
      <c r="P393" s="1"/>
    </row>
    <row r="394" spans="1:16" ht="21" customHeight="1">
      <c r="A394" s="10">
        <v>1</v>
      </c>
      <c r="B394" s="33" t="s">
        <v>2306</v>
      </c>
      <c r="C394" s="41" t="s">
        <v>28</v>
      </c>
      <c r="D394" s="41" t="s">
        <v>3092</v>
      </c>
      <c r="E394" s="41" t="s">
        <v>817</v>
      </c>
      <c r="F394" s="41">
        <v>51993702385</v>
      </c>
      <c r="G394" s="41" t="s">
        <v>41</v>
      </c>
      <c r="H394" s="8" t="s">
        <v>33</v>
      </c>
      <c r="I394" s="70" t="s">
        <v>54</v>
      </c>
      <c r="J394" s="70"/>
      <c r="K394" s="70"/>
      <c r="L394" s="41" t="s">
        <v>55</v>
      </c>
      <c r="M394" s="41" t="s">
        <v>80</v>
      </c>
      <c r="N394" s="10" t="s">
        <v>2038</v>
      </c>
      <c r="O394" s="8"/>
      <c r="P394" s="1"/>
    </row>
    <row r="395" spans="1:16" ht="21" customHeight="1">
      <c r="A395" s="10">
        <v>1</v>
      </c>
      <c r="B395" s="33" t="s">
        <v>2306</v>
      </c>
      <c r="C395" s="41" t="s">
        <v>28</v>
      </c>
      <c r="D395" s="41" t="s">
        <v>3093</v>
      </c>
      <c r="E395" s="41" t="s">
        <v>3094</v>
      </c>
      <c r="F395" s="41" t="s">
        <v>3095</v>
      </c>
      <c r="G395" s="41" t="s">
        <v>730</v>
      </c>
      <c r="H395" s="8" t="s">
        <v>33</v>
      </c>
      <c r="I395" s="70"/>
      <c r="J395" s="70"/>
      <c r="K395" s="70"/>
      <c r="L395" s="41" t="s">
        <v>49</v>
      </c>
      <c r="M395" s="41" t="s">
        <v>61</v>
      </c>
      <c r="N395" s="10" t="s">
        <v>3096</v>
      </c>
      <c r="O395" s="8"/>
      <c r="P395" s="1"/>
    </row>
    <row r="396" spans="1:16" ht="21" customHeight="1">
      <c r="A396" s="10">
        <v>1</v>
      </c>
      <c r="B396" s="33" t="s">
        <v>2306</v>
      </c>
      <c r="C396" s="41" t="s">
        <v>28</v>
      </c>
      <c r="D396" s="41" t="s">
        <v>3097</v>
      </c>
      <c r="E396" s="41" t="s">
        <v>850</v>
      </c>
      <c r="F396" s="41" t="s">
        <v>3098</v>
      </c>
      <c r="G396" s="41" t="s">
        <v>41</v>
      </c>
      <c r="H396" s="8" t="s">
        <v>33</v>
      </c>
      <c r="I396" s="70" t="s">
        <v>2783</v>
      </c>
      <c r="J396" s="70"/>
      <c r="K396" s="70"/>
      <c r="L396" s="41" t="s">
        <v>34</v>
      </c>
      <c r="M396" s="41" t="s">
        <v>128</v>
      </c>
      <c r="N396" s="10" t="s">
        <v>3099</v>
      </c>
      <c r="O396" s="8"/>
      <c r="P396" s="1"/>
    </row>
    <row r="397" spans="1:16" ht="21" customHeight="1">
      <c r="A397" s="10">
        <v>1</v>
      </c>
      <c r="B397" s="33" t="s">
        <v>2306</v>
      </c>
      <c r="C397" s="41" t="s">
        <v>28</v>
      </c>
      <c r="D397" s="41" t="s">
        <v>3100</v>
      </c>
      <c r="E397" s="41" t="s">
        <v>39</v>
      </c>
      <c r="F397" s="41" t="s">
        <v>3101</v>
      </c>
      <c r="G397" s="41" t="s">
        <v>41</v>
      </c>
      <c r="H397" s="8" t="s">
        <v>33</v>
      </c>
      <c r="I397" s="70" t="s">
        <v>2929</v>
      </c>
      <c r="J397" s="70"/>
      <c r="K397" s="65">
        <v>69.900000000000006</v>
      </c>
      <c r="L397" s="41" t="s">
        <v>49</v>
      </c>
      <c r="M397" s="41" t="s">
        <v>35</v>
      </c>
      <c r="N397" s="10" t="s">
        <v>3102</v>
      </c>
      <c r="O397" s="8"/>
      <c r="P397" s="1"/>
    </row>
    <row r="398" spans="1:16" ht="21" customHeight="1">
      <c r="A398" s="10">
        <v>1</v>
      </c>
      <c r="B398" s="33" t="s">
        <v>2306</v>
      </c>
      <c r="C398" s="41" t="s">
        <v>28</v>
      </c>
      <c r="D398" s="41" t="s">
        <v>3103</v>
      </c>
      <c r="E398" s="41" t="s">
        <v>817</v>
      </c>
      <c r="F398" s="41" t="s">
        <v>3104</v>
      </c>
      <c r="G398" s="41" t="s">
        <v>41</v>
      </c>
      <c r="H398" s="8" t="s">
        <v>33</v>
      </c>
      <c r="I398" s="70" t="s">
        <v>2929</v>
      </c>
      <c r="J398" s="70"/>
      <c r="K398" s="70"/>
      <c r="L398" s="41" t="s">
        <v>34</v>
      </c>
      <c r="M398" s="41" t="s">
        <v>128</v>
      </c>
      <c r="N398" s="10" t="s">
        <v>3105</v>
      </c>
      <c r="O398" s="8"/>
      <c r="P398" s="1"/>
    </row>
    <row r="399" spans="1:16" ht="21" customHeight="1">
      <c r="A399" s="10">
        <v>1</v>
      </c>
      <c r="B399" s="33" t="s">
        <v>2306</v>
      </c>
      <c r="C399" s="41" t="s">
        <v>28</v>
      </c>
      <c r="D399" s="41" t="s">
        <v>3106</v>
      </c>
      <c r="E399" s="41" t="s">
        <v>39</v>
      </c>
      <c r="F399" s="41" t="s">
        <v>3107</v>
      </c>
      <c r="G399" s="41" t="s">
        <v>41</v>
      </c>
      <c r="H399" s="8" t="s">
        <v>33</v>
      </c>
      <c r="I399" s="70" t="s">
        <v>68</v>
      </c>
      <c r="J399" s="70"/>
      <c r="K399" s="65">
        <v>109.9</v>
      </c>
      <c r="L399" s="41" t="s">
        <v>49</v>
      </c>
      <c r="M399" s="41" t="s">
        <v>61</v>
      </c>
      <c r="N399" s="10" t="s">
        <v>3108</v>
      </c>
      <c r="O399" s="8"/>
      <c r="P399" s="1"/>
    </row>
    <row r="400" spans="1:16" ht="21" customHeight="1">
      <c r="A400" s="10">
        <v>1</v>
      </c>
      <c r="B400" s="33" t="s">
        <v>2306</v>
      </c>
      <c r="C400" s="41" t="s">
        <v>28</v>
      </c>
      <c r="D400" s="41" t="s">
        <v>3109</v>
      </c>
      <c r="E400" s="41" t="s">
        <v>812</v>
      </c>
      <c r="F400" s="41" t="s">
        <v>3110</v>
      </c>
      <c r="G400" s="41" t="s">
        <v>91</v>
      </c>
      <c r="H400" s="8" t="s">
        <v>67</v>
      </c>
      <c r="I400" s="70" t="s">
        <v>2491</v>
      </c>
      <c r="J400" s="70"/>
      <c r="K400" s="70"/>
      <c r="L400" s="41" t="s">
        <v>49</v>
      </c>
      <c r="M400" s="41" t="s">
        <v>128</v>
      </c>
      <c r="N400" s="10" t="s">
        <v>3111</v>
      </c>
      <c r="O400" s="8"/>
      <c r="P400" s="1"/>
    </row>
    <row r="401" spans="1:16" ht="21" customHeight="1">
      <c r="A401" s="10">
        <v>1</v>
      </c>
      <c r="B401" s="33" t="s">
        <v>2589</v>
      </c>
      <c r="C401" s="41" t="s">
        <v>28</v>
      </c>
      <c r="D401" s="41" t="s">
        <v>3112</v>
      </c>
      <c r="E401" s="41" t="s">
        <v>325</v>
      </c>
      <c r="F401" s="41">
        <v>51997845366</v>
      </c>
      <c r="G401" s="41" t="s">
        <v>147</v>
      </c>
      <c r="H401" s="8" t="s">
        <v>33</v>
      </c>
      <c r="I401" s="70" t="s">
        <v>2938</v>
      </c>
      <c r="J401" s="70"/>
      <c r="K401" s="70"/>
      <c r="L401" s="41" t="s">
        <v>55</v>
      </c>
      <c r="M401" s="41" t="s">
        <v>61</v>
      </c>
      <c r="N401" s="10" t="s">
        <v>294</v>
      </c>
      <c r="O401" s="8"/>
      <c r="P401" s="1"/>
    </row>
    <row r="402" spans="1:16" ht="21" hidden="1" customHeight="1">
      <c r="A402" s="10">
        <v>1</v>
      </c>
      <c r="B402" s="33" t="s">
        <v>2589</v>
      </c>
      <c r="C402" s="41" t="s">
        <v>93</v>
      </c>
      <c r="D402" s="41" t="s">
        <v>3113</v>
      </c>
      <c r="E402" s="41" t="s">
        <v>226</v>
      </c>
      <c r="F402" s="41">
        <v>51980287695</v>
      </c>
      <c r="G402" s="41" t="s">
        <v>91</v>
      </c>
      <c r="H402" s="8" t="s">
        <v>67</v>
      </c>
      <c r="I402" s="70"/>
      <c r="J402" s="70"/>
      <c r="K402" s="70"/>
      <c r="L402" s="41" t="s">
        <v>55</v>
      </c>
      <c r="M402" s="41"/>
      <c r="N402" s="10" t="s">
        <v>102</v>
      </c>
      <c r="O402" s="8"/>
      <c r="P402" s="1"/>
    </row>
    <row r="403" spans="1:16" ht="21" hidden="1" customHeight="1">
      <c r="A403" s="10">
        <v>1</v>
      </c>
      <c r="B403" s="33" t="s">
        <v>2589</v>
      </c>
      <c r="C403" s="41" t="s">
        <v>93</v>
      </c>
      <c r="D403" s="41" t="s">
        <v>3114</v>
      </c>
      <c r="E403" s="41" t="s">
        <v>446</v>
      </c>
      <c r="F403" s="41" t="s">
        <v>3115</v>
      </c>
      <c r="G403" s="41" t="s">
        <v>66</v>
      </c>
      <c r="H403" s="8" t="s">
        <v>67</v>
      </c>
      <c r="I403" s="70"/>
      <c r="J403" s="70"/>
      <c r="K403" s="70"/>
      <c r="L403" s="41" t="s">
        <v>49</v>
      </c>
      <c r="M403" s="41"/>
      <c r="N403" s="10" t="s">
        <v>3116</v>
      </c>
      <c r="O403" s="8"/>
      <c r="P403" s="1"/>
    </row>
    <row r="404" spans="1:16" ht="21" hidden="1" customHeight="1">
      <c r="A404" s="10">
        <v>1</v>
      </c>
      <c r="B404" s="33" t="s">
        <v>2589</v>
      </c>
      <c r="C404" s="41" t="s">
        <v>93</v>
      </c>
      <c r="D404" s="41" t="s">
        <v>3117</v>
      </c>
      <c r="E404" s="41" t="s">
        <v>3118</v>
      </c>
      <c r="F404" s="41">
        <v>51998564676</v>
      </c>
      <c r="G404" s="41" t="s">
        <v>85</v>
      </c>
      <c r="H404" s="8" t="s">
        <v>33</v>
      </c>
      <c r="I404" s="70"/>
      <c r="J404" s="70"/>
      <c r="K404" s="70"/>
      <c r="L404" s="41" t="s">
        <v>55</v>
      </c>
      <c r="M404" s="41"/>
      <c r="N404" s="10" t="s">
        <v>3119</v>
      </c>
      <c r="O404" s="8"/>
      <c r="P404" s="1"/>
    </row>
    <row r="405" spans="1:16" ht="21" hidden="1" customHeight="1">
      <c r="A405" s="10">
        <v>1</v>
      </c>
      <c r="B405" s="33" t="s">
        <v>2589</v>
      </c>
      <c r="C405" s="41" t="s">
        <v>93</v>
      </c>
      <c r="D405" s="41" t="s">
        <v>3120</v>
      </c>
      <c r="E405" s="41" t="s">
        <v>39</v>
      </c>
      <c r="F405" s="41" t="s">
        <v>3121</v>
      </c>
      <c r="G405" s="41" t="s">
        <v>41</v>
      </c>
      <c r="H405" s="8" t="s">
        <v>33</v>
      </c>
      <c r="I405" s="70"/>
      <c r="J405" s="70"/>
      <c r="K405" s="70"/>
      <c r="L405" s="41" t="s">
        <v>49</v>
      </c>
      <c r="M405" s="41"/>
      <c r="N405" s="10" t="s">
        <v>3122</v>
      </c>
      <c r="O405" s="8"/>
      <c r="P405" s="1"/>
    </row>
    <row r="406" spans="1:16" ht="21" hidden="1" customHeight="1">
      <c r="A406" s="10">
        <v>1</v>
      </c>
      <c r="B406" s="33" t="s">
        <v>2589</v>
      </c>
      <c r="C406" s="41" t="s">
        <v>93</v>
      </c>
      <c r="D406" s="41" t="s">
        <v>3123</v>
      </c>
      <c r="E406" s="41" t="s">
        <v>446</v>
      </c>
      <c r="F406" s="41" t="s">
        <v>3124</v>
      </c>
      <c r="G406" s="41" t="s">
        <v>66</v>
      </c>
      <c r="H406" s="8" t="s">
        <v>67</v>
      </c>
      <c r="I406" s="70"/>
      <c r="J406" s="70"/>
      <c r="K406" s="70"/>
      <c r="L406" s="41" t="s">
        <v>49</v>
      </c>
      <c r="M406" s="41"/>
      <c r="N406" s="10" t="s">
        <v>3125</v>
      </c>
      <c r="O406" s="8"/>
      <c r="P406" s="1"/>
    </row>
    <row r="407" spans="1:16" ht="21" hidden="1" customHeight="1">
      <c r="A407" s="10">
        <v>1</v>
      </c>
      <c r="B407" s="33" t="s">
        <v>2589</v>
      </c>
      <c r="C407" s="41" t="s">
        <v>93</v>
      </c>
      <c r="D407" s="41" t="s">
        <v>3126</v>
      </c>
      <c r="E407" s="41" t="s">
        <v>817</v>
      </c>
      <c r="F407" s="41" t="s">
        <v>3127</v>
      </c>
      <c r="G407" s="41" t="s">
        <v>41</v>
      </c>
      <c r="H407" s="8" t="s">
        <v>33</v>
      </c>
      <c r="I407" s="70"/>
      <c r="J407" s="70"/>
      <c r="K407" s="70"/>
      <c r="L407" s="41" t="s">
        <v>49</v>
      </c>
      <c r="M407" s="41"/>
      <c r="N407" s="10" t="s">
        <v>3128</v>
      </c>
      <c r="O407" s="8"/>
      <c r="P407" s="1"/>
    </row>
    <row r="408" spans="1:16" ht="21" hidden="1" customHeight="1">
      <c r="A408" s="10">
        <v>1</v>
      </c>
      <c r="B408" s="33" t="s">
        <v>2589</v>
      </c>
      <c r="C408" s="41" t="s">
        <v>93</v>
      </c>
      <c r="D408" s="41" t="s">
        <v>3129</v>
      </c>
      <c r="E408" s="41" t="s">
        <v>161</v>
      </c>
      <c r="F408" s="41">
        <v>51991280632</v>
      </c>
      <c r="G408" s="41" t="s">
        <v>66</v>
      </c>
      <c r="H408" s="8" t="s">
        <v>67</v>
      </c>
      <c r="I408" s="70"/>
      <c r="J408" s="70"/>
      <c r="K408" s="70"/>
      <c r="L408" s="41" t="s">
        <v>55</v>
      </c>
      <c r="M408" s="41"/>
      <c r="N408" s="10" t="s">
        <v>102</v>
      </c>
      <c r="O408" s="8"/>
      <c r="P408" s="1"/>
    </row>
    <row r="409" spans="1:16" ht="21" hidden="1" customHeight="1">
      <c r="A409" s="10">
        <v>1</v>
      </c>
      <c r="B409" s="33" t="s">
        <v>2589</v>
      </c>
      <c r="C409" s="41" t="s">
        <v>93</v>
      </c>
      <c r="D409" s="41" t="s">
        <v>3130</v>
      </c>
      <c r="E409" s="41" t="s">
        <v>161</v>
      </c>
      <c r="F409" s="41" t="s">
        <v>3131</v>
      </c>
      <c r="G409" s="41" t="s">
        <v>66</v>
      </c>
      <c r="H409" s="8" t="s">
        <v>67</v>
      </c>
      <c r="I409" s="70"/>
      <c r="J409" s="70"/>
      <c r="K409" s="70"/>
      <c r="L409" s="41" t="s">
        <v>49</v>
      </c>
      <c r="M409" s="41"/>
      <c r="N409" s="10" t="s">
        <v>3132</v>
      </c>
      <c r="O409" s="8"/>
      <c r="P409" s="1"/>
    </row>
    <row r="410" spans="1:16" ht="21" customHeight="1">
      <c r="A410" s="10">
        <v>1</v>
      </c>
      <c r="B410" s="33" t="s">
        <v>2589</v>
      </c>
      <c r="C410" s="41" t="s">
        <v>28</v>
      </c>
      <c r="D410" s="41" t="s">
        <v>3133</v>
      </c>
      <c r="E410" s="41" t="s">
        <v>292</v>
      </c>
      <c r="F410" s="41" t="s">
        <v>3134</v>
      </c>
      <c r="G410" s="41" t="s">
        <v>41</v>
      </c>
      <c r="H410" s="8" t="s">
        <v>33</v>
      </c>
      <c r="I410" s="70"/>
      <c r="J410" s="70"/>
      <c r="K410" s="70"/>
      <c r="L410" s="41" t="s">
        <v>49</v>
      </c>
      <c r="M410" s="41" t="s">
        <v>128</v>
      </c>
      <c r="N410" s="10" t="s">
        <v>3135</v>
      </c>
      <c r="O410" s="8"/>
      <c r="P410" s="1"/>
    </row>
    <row r="411" spans="1:16" ht="21" hidden="1" customHeight="1">
      <c r="A411" s="10">
        <v>1</v>
      </c>
      <c r="B411" s="33" t="s">
        <v>2589</v>
      </c>
      <c r="C411" s="41" t="s">
        <v>93</v>
      </c>
      <c r="D411" s="41" t="s">
        <v>3136</v>
      </c>
      <c r="E411" s="41" t="s">
        <v>334</v>
      </c>
      <c r="F411" s="41" t="s">
        <v>3137</v>
      </c>
      <c r="G411" s="41" t="s">
        <v>66</v>
      </c>
      <c r="H411" s="8" t="s">
        <v>67</v>
      </c>
      <c r="I411" s="70"/>
      <c r="J411" s="70"/>
      <c r="K411" s="70"/>
      <c r="L411" s="41" t="s">
        <v>49</v>
      </c>
      <c r="M411" s="41"/>
      <c r="N411" s="10" t="s">
        <v>3138</v>
      </c>
      <c r="O411" s="8"/>
      <c r="P411" s="1"/>
    </row>
    <row r="412" spans="1:16" ht="21" hidden="1" customHeight="1">
      <c r="A412" s="10">
        <v>1</v>
      </c>
      <c r="B412" s="33" t="s">
        <v>2589</v>
      </c>
      <c r="C412" s="41" t="s">
        <v>93</v>
      </c>
      <c r="D412" s="41" t="s">
        <v>3139</v>
      </c>
      <c r="E412" s="41" t="s">
        <v>136</v>
      </c>
      <c r="F412" s="41" t="s">
        <v>3140</v>
      </c>
      <c r="G412" s="41" t="s">
        <v>66</v>
      </c>
      <c r="H412" s="8" t="s">
        <v>67</v>
      </c>
      <c r="I412" s="70"/>
      <c r="J412" s="70"/>
      <c r="K412" s="70"/>
      <c r="L412" s="41" t="s">
        <v>34</v>
      </c>
      <c r="M412" s="41"/>
      <c r="N412" s="10" t="s">
        <v>3141</v>
      </c>
      <c r="O412" s="8"/>
      <c r="P412" s="1"/>
    </row>
    <row r="413" spans="1:16" ht="21" customHeight="1">
      <c r="A413" s="10">
        <v>1</v>
      </c>
      <c r="B413" s="33" t="s">
        <v>2589</v>
      </c>
      <c r="C413" s="41" t="s">
        <v>28</v>
      </c>
      <c r="D413" s="41" t="s">
        <v>3142</v>
      </c>
      <c r="E413" s="41" t="s">
        <v>1121</v>
      </c>
      <c r="F413" s="41" t="s">
        <v>3143</v>
      </c>
      <c r="G413" s="41" t="s">
        <v>85</v>
      </c>
      <c r="H413" s="8" t="s">
        <v>33</v>
      </c>
      <c r="I413" s="70" t="s">
        <v>27</v>
      </c>
      <c r="J413" s="70"/>
      <c r="K413" s="70"/>
      <c r="L413" s="41" t="s">
        <v>34</v>
      </c>
      <c r="M413" s="41" t="s">
        <v>61</v>
      </c>
      <c r="N413" s="10" t="s">
        <v>3144</v>
      </c>
      <c r="O413" s="8"/>
      <c r="P413" s="1"/>
    </row>
    <row r="414" spans="1:16" ht="21" hidden="1" customHeight="1">
      <c r="A414" s="10">
        <v>1</v>
      </c>
      <c r="B414" s="33" t="s">
        <v>2589</v>
      </c>
      <c r="C414" s="41" t="s">
        <v>93</v>
      </c>
      <c r="D414" s="41" t="s">
        <v>259</v>
      </c>
      <c r="E414" s="41" t="s">
        <v>32</v>
      </c>
      <c r="F414" s="41" t="s">
        <v>3145</v>
      </c>
      <c r="G414" s="41" t="s">
        <v>260</v>
      </c>
      <c r="H414" s="8" t="s">
        <v>33</v>
      </c>
      <c r="I414" s="70"/>
      <c r="J414" s="70"/>
      <c r="K414" s="70"/>
      <c r="L414" s="41" t="s">
        <v>34</v>
      </c>
      <c r="M414" s="41"/>
      <c r="N414" s="10" t="s">
        <v>3146</v>
      </c>
      <c r="O414" s="8"/>
      <c r="P414" s="1"/>
    </row>
    <row r="415" spans="1:16" ht="21" hidden="1" customHeight="1">
      <c r="A415" s="10">
        <v>1</v>
      </c>
      <c r="B415" s="33" t="s">
        <v>2783</v>
      </c>
      <c r="C415" s="41" t="s">
        <v>93</v>
      </c>
      <c r="D415" s="41" t="s">
        <v>3147</v>
      </c>
      <c r="E415" s="41" t="s">
        <v>39</v>
      </c>
      <c r="F415" s="41">
        <v>51981381927</v>
      </c>
      <c r="G415" s="41" t="s">
        <v>41</v>
      </c>
      <c r="H415" s="8" t="s">
        <v>33</v>
      </c>
      <c r="I415" s="70"/>
      <c r="J415" s="70"/>
      <c r="K415" s="70"/>
      <c r="L415" s="41" t="s">
        <v>55</v>
      </c>
      <c r="M415" s="41"/>
      <c r="N415" s="10" t="s">
        <v>3148</v>
      </c>
      <c r="O415" s="8"/>
      <c r="P415" s="1"/>
    </row>
    <row r="416" spans="1:16" ht="21" customHeight="1">
      <c r="A416" s="10">
        <v>1</v>
      </c>
      <c r="B416" s="33" t="s">
        <v>2783</v>
      </c>
      <c r="C416" s="41" t="s">
        <v>28</v>
      </c>
      <c r="D416" s="41" t="s">
        <v>3149</v>
      </c>
      <c r="E416" s="41" t="s">
        <v>39</v>
      </c>
      <c r="F416" s="41">
        <v>51984408829</v>
      </c>
      <c r="G416" s="41" t="s">
        <v>41</v>
      </c>
      <c r="H416" s="8" t="s">
        <v>33</v>
      </c>
      <c r="I416" s="70" t="s">
        <v>54</v>
      </c>
      <c r="J416" s="70"/>
      <c r="K416" s="65">
        <v>49.9</v>
      </c>
      <c r="L416" s="41" t="s">
        <v>55</v>
      </c>
      <c r="M416" s="41" t="s">
        <v>35</v>
      </c>
      <c r="N416" s="10"/>
      <c r="O416" s="8"/>
      <c r="P416" s="1"/>
    </row>
    <row r="417" spans="1:16" ht="21" customHeight="1">
      <c r="A417" s="10">
        <v>1</v>
      </c>
      <c r="B417" s="33" t="s">
        <v>2783</v>
      </c>
      <c r="C417" s="41" t="s">
        <v>28</v>
      </c>
      <c r="D417" s="41" t="s">
        <v>3150</v>
      </c>
      <c r="E417" s="41" t="s">
        <v>53</v>
      </c>
      <c r="F417" s="41">
        <v>51999761157</v>
      </c>
      <c r="G417" s="41" t="s">
        <v>53</v>
      </c>
      <c r="H417" s="8" t="s">
        <v>33</v>
      </c>
      <c r="I417" s="70" t="s">
        <v>2938</v>
      </c>
      <c r="J417" s="70"/>
      <c r="K417" s="70"/>
      <c r="L417" s="41" t="s">
        <v>55</v>
      </c>
      <c r="M417" s="41" t="s">
        <v>35</v>
      </c>
      <c r="N417" s="10"/>
      <c r="O417" s="8"/>
      <c r="P417" s="1"/>
    </row>
    <row r="418" spans="1:16" ht="21" hidden="1" customHeight="1">
      <c r="A418" s="10">
        <v>1</v>
      </c>
      <c r="B418" s="33" t="s">
        <v>2783</v>
      </c>
      <c r="C418" s="41" t="s">
        <v>93</v>
      </c>
      <c r="D418" s="41" t="s">
        <v>3151</v>
      </c>
      <c r="E418" s="41" t="s">
        <v>2333</v>
      </c>
      <c r="F418" s="41">
        <v>51991911904</v>
      </c>
      <c r="G418" s="41" t="s">
        <v>91</v>
      </c>
      <c r="H418" s="8" t="s">
        <v>67</v>
      </c>
      <c r="I418" s="70"/>
      <c r="J418" s="70"/>
      <c r="K418" s="70"/>
      <c r="L418" s="41" t="s">
        <v>55</v>
      </c>
      <c r="M418" s="41"/>
      <c r="N418" s="10" t="s">
        <v>3152</v>
      </c>
      <c r="O418" s="8"/>
      <c r="P418" s="1"/>
    </row>
    <row r="419" spans="1:16" ht="21" customHeight="1">
      <c r="A419" s="10">
        <v>1</v>
      </c>
      <c r="B419" s="33" t="s">
        <v>2783</v>
      </c>
      <c r="C419" s="41" t="s">
        <v>28</v>
      </c>
      <c r="D419" s="41" t="s">
        <v>3114</v>
      </c>
      <c r="E419" s="41" t="s">
        <v>285</v>
      </c>
      <c r="F419" s="41">
        <v>51993966862</v>
      </c>
      <c r="G419" s="41" t="s">
        <v>66</v>
      </c>
      <c r="H419" s="8" t="s">
        <v>67</v>
      </c>
      <c r="I419" s="70" t="s">
        <v>54</v>
      </c>
      <c r="J419" s="70"/>
      <c r="K419" s="70"/>
      <c r="L419" s="41" t="s">
        <v>55</v>
      </c>
      <c r="M419" s="41" t="s">
        <v>61</v>
      </c>
      <c r="N419" s="10" t="s">
        <v>3153</v>
      </c>
      <c r="O419" s="8"/>
      <c r="P419" s="1"/>
    </row>
    <row r="420" spans="1:16" ht="21" hidden="1" customHeight="1">
      <c r="A420" s="10">
        <v>1</v>
      </c>
      <c r="B420" s="33" t="s">
        <v>2783</v>
      </c>
      <c r="C420" s="41" t="s">
        <v>93</v>
      </c>
      <c r="D420" s="41" t="s">
        <v>3154</v>
      </c>
      <c r="E420" s="41" t="s">
        <v>136</v>
      </c>
      <c r="F420" s="41">
        <v>51984845694</v>
      </c>
      <c r="G420" s="41" t="s">
        <v>66</v>
      </c>
      <c r="H420" s="8" t="s">
        <v>67</v>
      </c>
      <c r="I420" s="70"/>
      <c r="J420" s="70"/>
      <c r="K420" s="70"/>
      <c r="L420" s="41" t="s">
        <v>55</v>
      </c>
      <c r="M420" s="41"/>
      <c r="N420" s="10" t="s">
        <v>3155</v>
      </c>
      <c r="O420" s="8"/>
      <c r="P420" s="1"/>
    </row>
    <row r="421" spans="1:16" ht="21" hidden="1" customHeight="1">
      <c r="A421" s="10">
        <v>1</v>
      </c>
      <c r="B421" s="33" t="s">
        <v>2783</v>
      </c>
      <c r="C421" s="41" t="s">
        <v>93</v>
      </c>
      <c r="D421" s="41" t="s">
        <v>3156</v>
      </c>
      <c r="E421" s="41" t="s">
        <v>1502</v>
      </c>
      <c r="F421" s="41">
        <v>51982550208</v>
      </c>
      <c r="G421" s="41" t="s">
        <v>91</v>
      </c>
      <c r="H421" s="8" t="s">
        <v>3157</v>
      </c>
      <c r="I421" s="70"/>
      <c r="J421" s="70"/>
      <c r="K421" s="70"/>
      <c r="L421" s="41" t="s">
        <v>55</v>
      </c>
      <c r="M421" s="41"/>
      <c r="N421" s="10" t="s">
        <v>3158</v>
      </c>
      <c r="O421" s="8"/>
      <c r="P421" s="1"/>
    </row>
    <row r="422" spans="1:16" ht="21" hidden="1" customHeight="1">
      <c r="A422" s="10">
        <v>1</v>
      </c>
      <c r="B422" s="33" t="s">
        <v>2783</v>
      </c>
      <c r="C422" s="41" t="s">
        <v>93</v>
      </c>
      <c r="D422" s="41" t="s">
        <v>3159</v>
      </c>
      <c r="E422" s="41" t="s">
        <v>1013</v>
      </c>
      <c r="F422" s="41">
        <v>51992246079</v>
      </c>
      <c r="G422" s="41" t="s">
        <v>66</v>
      </c>
      <c r="H422" s="8" t="s">
        <v>3157</v>
      </c>
      <c r="I422" s="70"/>
      <c r="J422" s="70"/>
      <c r="K422" s="70"/>
      <c r="L422" s="41" t="s">
        <v>55</v>
      </c>
      <c r="M422" s="41"/>
      <c r="N422" s="10" t="s">
        <v>3158</v>
      </c>
      <c r="O422" s="8"/>
      <c r="P422" s="1"/>
    </row>
    <row r="423" spans="1:16" ht="21" hidden="1" customHeight="1">
      <c r="A423" s="10">
        <v>1</v>
      </c>
      <c r="B423" s="33" t="s">
        <v>2783</v>
      </c>
      <c r="C423" s="41" t="s">
        <v>93</v>
      </c>
      <c r="D423" s="41" t="s">
        <v>3160</v>
      </c>
      <c r="E423" s="41" t="s">
        <v>3161</v>
      </c>
      <c r="F423" s="41">
        <v>51995527050</v>
      </c>
      <c r="G423" s="41" t="s">
        <v>147</v>
      </c>
      <c r="H423" s="8" t="s">
        <v>33</v>
      </c>
      <c r="I423" s="70"/>
      <c r="J423" s="70"/>
      <c r="K423" s="70"/>
      <c r="L423" s="41" t="s">
        <v>55</v>
      </c>
      <c r="M423" s="41"/>
      <c r="N423" s="10" t="s">
        <v>741</v>
      </c>
      <c r="O423" s="8"/>
      <c r="P423" s="1"/>
    </row>
    <row r="424" spans="1:16" ht="21" hidden="1" customHeight="1">
      <c r="A424" s="10">
        <v>1</v>
      </c>
      <c r="B424" s="33" t="s">
        <v>2783</v>
      </c>
      <c r="C424" s="41" t="s">
        <v>93</v>
      </c>
      <c r="D424" s="41" t="s">
        <v>3162</v>
      </c>
      <c r="E424" s="41" t="s">
        <v>270</v>
      </c>
      <c r="F424" s="41" t="s">
        <v>3163</v>
      </c>
      <c r="G424" s="41" t="s">
        <v>66</v>
      </c>
      <c r="H424" s="8" t="s">
        <v>67</v>
      </c>
      <c r="I424" s="70"/>
      <c r="J424" s="70"/>
      <c r="K424" s="70"/>
      <c r="L424" s="41" t="s">
        <v>49</v>
      </c>
      <c r="M424" s="41"/>
      <c r="N424" s="10" t="s">
        <v>3164</v>
      </c>
      <c r="O424" s="8"/>
      <c r="P424" s="1"/>
    </row>
    <row r="425" spans="1:16" ht="21" customHeight="1">
      <c r="A425" s="10">
        <v>1</v>
      </c>
      <c r="B425" s="33" t="s">
        <v>2783</v>
      </c>
      <c r="C425" s="41" t="s">
        <v>28</v>
      </c>
      <c r="D425" s="41" t="s">
        <v>3165</v>
      </c>
      <c r="E425" s="41" t="s">
        <v>3166</v>
      </c>
      <c r="F425">
        <v>51996641824</v>
      </c>
      <c r="G425" s="41" t="s">
        <v>280</v>
      </c>
      <c r="H425" s="8" t="s">
        <v>33</v>
      </c>
      <c r="I425" s="70" t="s">
        <v>27</v>
      </c>
      <c r="J425" s="70"/>
      <c r="K425" s="70"/>
      <c r="L425" s="41" t="s">
        <v>55</v>
      </c>
      <c r="M425" s="41" t="s">
        <v>61</v>
      </c>
      <c r="N425" s="10" t="s">
        <v>3167</v>
      </c>
      <c r="O425" s="8"/>
      <c r="P425" s="1"/>
    </row>
    <row r="426" spans="1:16" ht="21" customHeight="1">
      <c r="A426" s="10">
        <v>1</v>
      </c>
      <c r="B426" s="33" t="s">
        <v>2783</v>
      </c>
      <c r="C426" s="41" t="s">
        <v>28</v>
      </c>
      <c r="D426" s="41" t="s">
        <v>3168</v>
      </c>
      <c r="E426" s="41" t="s">
        <v>39</v>
      </c>
      <c r="F426" s="41">
        <v>51994375306</v>
      </c>
      <c r="G426" s="41" t="s">
        <v>41</v>
      </c>
      <c r="H426" s="8" t="s">
        <v>33</v>
      </c>
      <c r="I426" s="70" t="s">
        <v>54</v>
      </c>
      <c r="J426" s="70"/>
      <c r="K426" s="65">
        <v>79.900000000000006</v>
      </c>
      <c r="L426" s="41" t="s">
        <v>55</v>
      </c>
      <c r="M426" s="41" t="s">
        <v>61</v>
      </c>
      <c r="N426" s="10" t="s">
        <v>3167</v>
      </c>
      <c r="O426" s="8"/>
      <c r="P426" s="1"/>
    </row>
    <row r="427" spans="1:16" ht="21" hidden="1" customHeight="1">
      <c r="A427" s="10">
        <v>1</v>
      </c>
      <c r="B427" s="33" t="s">
        <v>2783</v>
      </c>
      <c r="C427" s="41" t="s">
        <v>93</v>
      </c>
      <c r="D427" s="41" t="s">
        <v>3169</v>
      </c>
      <c r="E427" s="41" t="s">
        <v>2638</v>
      </c>
      <c r="F427" s="41" t="s">
        <v>3170</v>
      </c>
      <c r="G427" s="41" t="s">
        <v>66</v>
      </c>
      <c r="H427" s="8" t="s">
        <v>67</v>
      </c>
      <c r="I427" s="70"/>
      <c r="J427" s="70"/>
      <c r="K427" s="70"/>
      <c r="L427" s="41" t="s">
        <v>49</v>
      </c>
      <c r="M427" s="41"/>
      <c r="N427" s="10" t="s">
        <v>3171</v>
      </c>
      <c r="O427" s="8"/>
      <c r="P427" s="1"/>
    </row>
    <row r="428" spans="1:16" ht="21" hidden="1" customHeight="1">
      <c r="A428" s="10">
        <v>1</v>
      </c>
      <c r="B428" s="33" t="s">
        <v>2783</v>
      </c>
      <c r="C428" s="41" t="s">
        <v>93</v>
      </c>
      <c r="D428" s="41" t="s">
        <v>3172</v>
      </c>
      <c r="E428" s="41" t="s">
        <v>454</v>
      </c>
      <c r="F428" s="41">
        <v>51996641824</v>
      </c>
      <c r="G428" s="41" t="s">
        <v>66</v>
      </c>
      <c r="H428" s="8" t="s">
        <v>67</v>
      </c>
      <c r="I428" s="70"/>
      <c r="J428" s="70"/>
      <c r="K428" s="70"/>
      <c r="L428" s="41" t="s">
        <v>55</v>
      </c>
      <c r="M428" s="41"/>
      <c r="N428" s="10" t="s">
        <v>3173</v>
      </c>
      <c r="O428" s="8"/>
      <c r="P428" s="1"/>
    </row>
    <row r="429" spans="1:16" ht="21" customHeight="1">
      <c r="A429" s="10">
        <v>1</v>
      </c>
      <c r="B429" s="33" t="s">
        <v>2783</v>
      </c>
      <c r="C429" s="41" t="s">
        <v>28</v>
      </c>
      <c r="D429" s="41" t="s">
        <v>3174</v>
      </c>
      <c r="E429" s="41" t="s">
        <v>1182</v>
      </c>
      <c r="F429" s="41" t="s">
        <v>3175</v>
      </c>
      <c r="G429" s="41" t="s">
        <v>73</v>
      </c>
      <c r="H429" s="8" t="s">
        <v>33</v>
      </c>
      <c r="I429" s="70" t="s">
        <v>177</v>
      </c>
      <c r="J429" s="70"/>
      <c r="K429" s="70"/>
      <c r="L429" s="41" t="s">
        <v>49</v>
      </c>
      <c r="M429" s="41" t="s">
        <v>61</v>
      </c>
      <c r="N429" s="10" t="s">
        <v>3176</v>
      </c>
      <c r="O429" s="8"/>
      <c r="P429" s="1"/>
    </row>
    <row r="430" spans="1:16" ht="21" customHeight="1">
      <c r="A430" s="10">
        <v>1</v>
      </c>
      <c r="B430" s="33" t="s">
        <v>2783</v>
      </c>
      <c r="C430" s="41" t="s">
        <v>28</v>
      </c>
      <c r="D430" s="41" t="s">
        <v>3177</v>
      </c>
      <c r="E430" s="41" t="s">
        <v>817</v>
      </c>
      <c r="F430" s="41" t="s">
        <v>3178</v>
      </c>
      <c r="G430" s="41" t="s">
        <v>41</v>
      </c>
      <c r="H430" s="8" t="s">
        <v>33</v>
      </c>
      <c r="I430" s="70" t="s">
        <v>60</v>
      </c>
      <c r="J430" s="70"/>
      <c r="K430" s="70"/>
      <c r="L430" s="41" t="s">
        <v>49</v>
      </c>
      <c r="M430" s="41" t="s">
        <v>61</v>
      </c>
      <c r="N430" s="10" t="s">
        <v>3179</v>
      </c>
      <c r="O430" s="8"/>
      <c r="P430" s="1"/>
    </row>
    <row r="431" spans="1:16" ht="21" customHeight="1">
      <c r="A431" s="10">
        <v>1</v>
      </c>
      <c r="B431" s="33" t="s">
        <v>2783</v>
      </c>
      <c r="C431" s="41" t="s">
        <v>28</v>
      </c>
      <c r="D431" s="41" t="s">
        <v>3180</v>
      </c>
      <c r="E431" s="41" t="s">
        <v>278</v>
      </c>
      <c r="F431" s="41" t="s">
        <v>3181</v>
      </c>
      <c r="G431" s="41" t="s">
        <v>280</v>
      </c>
      <c r="H431" s="8" t="s">
        <v>33</v>
      </c>
      <c r="I431" s="70" t="s">
        <v>27</v>
      </c>
      <c r="J431" s="70"/>
      <c r="K431" s="70"/>
      <c r="L431" s="41" t="s">
        <v>49</v>
      </c>
      <c r="M431" s="41" t="s">
        <v>128</v>
      </c>
      <c r="N431" s="10" t="s">
        <v>3182</v>
      </c>
      <c r="O431" s="8"/>
      <c r="P431" s="1"/>
    </row>
    <row r="432" spans="1:16" ht="21" customHeight="1">
      <c r="A432" s="10">
        <v>1</v>
      </c>
      <c r="B432" s="33" t="s">
        <v>2783</v>
      </c>
      <c r="C432" s="41" t="s">
        <v>28</v>
      </c>
      <c r="D432" s="41" t="s">
        <v>3183</v>
      </c>
      <c r="E432" s="41" t="s">
        <v>226</v>
      </c>
      <c r="F432" s="41" t="s">
        <v>3184</v>
      </c>
      <c r="G432" s="41" t="s">
        <v>756</v>
      </c>
      <c r="H432" s="8" t="s">
        <v>33</v>
      </c>
      <c r="I432" s="70"/>
      <c r="J432" s="70"/>
      <c r="K432" s="70"/>
      <c r="L432" s="41" t="s">
        <v>34</v>
      </c>
      <c r="M432" s="41" t="s">
        <v>61</v>
      </c>
      <c r="N432" s="10" t="s">
        <v>3185</v>
      </c>
      <c r="O432" s="8"/>
      <c r="P432" s="1"/>
    </row>
    <row r="433" spans="1:16" ht="21" hidden="1" customHeight="1">
      <c r="A433" s="10">
        <v>1</v>
      </c>
      <c r="B433" s="33" t="s">
        <v>2783</v>
      </c>
      <c r="C433" s="41" t="s">
        <v>93</v>
      </c>
      <c r="D433" s="41" t="s">
        <v>3186</v>
      </c>
      <c r="E433" s="41" t="s">
        <v>978</v>
      </c>
      <c r="F433" s="41" t="s">
        <v>3187</v>
      </c>
      <c r="G433" s="41" t="s">
        <v>756</v>
      </c>
      <c r="H433" s="8" t="s">
        <v>67</v>
      </c>
      <c r="I433" s="70"/>
      <c r="J433" s="70"/>
      <c r="K433" s="70"/>
      <c r="L433" s="41" t="s">
        <v>49</v>
      </c>
      <c r="M433" s="41"/>
      <c r="N433" s="10" t="s">
        <v>3188</v>
      </c>
      <c r="O433" s="8"/>
      <c r="P433" s="1"/>
    </row>
    <row r="434" spans="1:16" ht="21" hidden="1" customHeight="1">
      <c r="A434" s="10">
        <v>1</v>
      </c>
      <c r="B434" s="33" t="s">
        <v>2783</v>
      </c>
      <c r="C434" s="41" t="s">
        <v>93</v>
      </c>
      <c r="D434" s="41" t="s">
        <v>3189</v>
      </c>
      <c r="E434" s="41" t="s">
        <v>312</v>
      </c>
      <c r="F434" s="41">
        <v>51997657425</v>
      </c>
      <c r="G434" s="41" t="s">
        <v>41</v>
      </c>
      <c r="H434" s="8" t="s">
        <v>33</v>
      </c>
      <c r="I434" s="70"/>
      <c r="J434" s="70"/>
      <c r="K434" s="70"/>
      <c r="L434" s="41" t="s">
        <v>55</v>
      </c>
      <c r="M434" s="41"/>
      <c r="N434" s="10" t="s">
        <v>3190</v>
      </c>
      <c r="O434" s="8"/>
      <c r="P434" s="1"/>
    </row>
    <row r="435" spans="1:16" ht="21" hidden="1" customHeight="1">
      <c r="A435" s="10">
        <v>1</v>
      </c>
      <c r="B435" s="33" t="s">
        <v>2783</v>
      </c>
      <c r="C435" s="41" t="s">
        <v>93</v>
      </c>
      <c r="D435" s="41" t="s">
        <v>2670</v>
      </c>
      <c r="E435" s="41" t="s">
        <v>39</v>
      </c>
      <c r="F435" s="41" t="s">
        <v>2671</v>
      </c>
      <c r="G435" s="41" t="s">
        <v>41</v>
      </c>
      <c r="H435" s="8" t="s">
        <v>33</v>
      </c>
      <c r="I435" s="70"/>
      <c r="J435" s="70"/>
      <c r="K435" s="70"/>
      <c r="L435" s="41" t="s">
        <v>49</v>
      </c>
      <c r="M435" s="41"/>
      <c r="N435" s="10" t="s">
        <v>3191</v>
      </c>
      <c r="O435" s="8"/>
      <c r="P435" s="1"/>
    </row>
    <row r="436" spans="1:16" ht="21" customHeight="1">
      <c r="A436" s="10">
        <v>1</v>
      </c>
      <c r="B436" s="33" t="s">
        <v>2783</v>
      </c>
      <c r="C436" s="41" t="s">
        <v>28</v>
      </c>
      <c r="D436" s="41" t="s">
        <v>3192</v>
      </c>
      <c r="E436" s="41" t="s">
        <v>1474</v>
      </c>
      <c r="F436" s="41" t="s">
        <v>3193</v>
      </c>
      <c r="G436" s="41" t="s">
        <v>85</v>
      </c>
      <c r="H436" s="8" t="s">
        <v>33</v>
      </c>
      <c r="I436" s="70" t="s">
        <v>105</v>
      </c>
      <c r="J436" s="70"/>
      <c r="K436" s="70"/>
      <c r="L436" s="41" t="s">
        <v>49</v>
      </c>
      <c r="M436" s="41" t="s">
        <v>128</v>
      </c>
      <c r="N436" s="10" t="s">
        <v>3194</v>
      </c>
      <c r="O436" s="8"/>
      <c r="P436" s="1"/>
    </row>
    <row r="437" spans="1:16" ht="21" hidden="1" customHeight="1">
      <c r="A437" s="10">
        <v>1</v>
      </c>
      <c r="B437" s="33" t="s">
        <v>2783</v>
      </c>
      <c r="C437" s="41" t="s">
        <v>93</v>
      </c>
      <c r="D437" s="41" t="s">
        <v>3195</v>
      </c>
      <c r="E437" s="41" t="s">
        <v>3196</v>
      </c>
      <c r="F437" s="41" t="s">
        <v>3197</v>
      </c>
      <c r="G437" s="41" t="s">
        <v>32</v>
      </c>
      <c r="H437" s="8" t="s">
        <v>33</v>
      </c>
      <c r="I437" s="70"/>
      <c r="J437" s="70"/>
      <c r="K437" s="70"/>
      <c r="L437" s="41" t="s">
        <v>49</v>
      </c>
      <c r="M437" s="41"/>
      <c r="N437" s="10" t="s">
        <v>3198</v>
      </c>
      <c r="O437" s="8"/>
      <c r="P437" s="1"/>
    </row>
    <row r="438" spans="1:16" ht="21" customHeight="1">
      <c r="A438" s="10">
        <v>1</v>
      </c>
      <c r="B438" s="33" t="s">
        <v>2783</v>
      </c>
      <c r="C438" s="41" t="s">
        <v>28</v>
      </c>
      <c r="D438" s="41" t="s">
        <v>3199</v>
      </c>
      <c r="E438" s="41" t="s">
        <v>732</v>
      </c>
      <c r="F438" s="41">
        <v>51999044536</v>
      </c>
      <c r="G438" s="41" t="s">
        <v>85</v>
      </c>
      <c r="H438" s="8" t="s">
        <v>33</v>
      </c>
      <c r="I438" s="70" t="s">
        <v>202</v>
      </c>
      <c r="J438" s="70"/>
      <c r="K438" s="70"/>
      <c r="L438" s="41" t="s">
        <v>55</v>
      </c>
      <c r="M438" s="41" t="s">
        <v>61</v>
      </c>
      <c r="N438" t="s">
        <v>120</v>
      </c>
      <c r="O438" s="8"/>
      <c r="P438" s="1"/>
    </row>
    <row r="439" spans="1:16" ht="21" hidden="1" customHeight="1">
      <c r="A439" s="10">
        <v>1</v>
      </c>
      <c r="B439" s="33" t="s">
        <v>2783</v>
      </c>
      <c r="C439" s="41" t="s">
        <v>93</v>
      </c>
      <c r="D439" s="41" t="s">
        <v>518</v>
      </c>
      <c r="E439" s="41" t="s">
        <v>122</v>
      </c>
      <c r="F439" s="41" t="s">
        <v>3200</v>
      </c>
      <c r="G439" s="41" t="s">
        <v>73</v>
      </c>
      <c r="H439" s="8" t="s">
        <v>33</v>
      </c>
      <c r="I439" s="70"/>
      <c r="J439" s="70"/>
      <c r="K439" s="70"/>
      <c r="L439" s="41" t="s">
        <v>49</v>
      </c>
      <c r="M439" s="41"/>
      <c r="N439" s="10" t="s">
        <v>3201</v>
      </c>
      <c r="O439" s="8"/>
      <c r="P439" s="1"/>
    </row>
    <row r="440" spans="1:16" ht="21" customHeight="1">
      <c r="A440" s="10">
        <v>1</v>
      </c>
      <c r="B440" s="33" t="s">
        <v>2783</v>
      </c>
      <c r="C440" s="41" t="s">
        <v>28</v>
      </c>
      <c r="D440" s="41" t="s">
        <v>3202</v>
      </c>
      <c r="E440" s="41" t="s">
        <v>39</v>
      </c>
      <c r="F440" s="41" t="s">
        <v>3203</v>
      </c>
      <c r="G440" s="41" t="s">
        <v>41</v>
      </c>
      <c r="H440" s="8" t="s">
        <v>33</v>
      </c>
      <c r="I440" s="70" t="s">
        <v>68</v>
      </c>
      <c r="J440" s="70"/>
      <c r="K440" s="65">
        <v>109.9</v>
      </c>
      <c r="L440" s="41" t="s">
        <v>49</v>
      </c>
      <c r="M440" s="41" t="s">
        <v>128</v>
      </c>
      <c r="N440" s="10" t="s">
        <v>3204</v>
      </c>
      <c r="O440" s="8"/>
      <c r="P440" s="1"/>
    </row>
    <row r="441" spans="1:16" ht="21" customHeight="1">
      <c r="A441" s="75">
        <v>1</v>
      </c>
      <c r="B441" s="33" t="s">
        <v>2783</v>
      </c>
      <c r="C441" s="41" t="s">
        <v>28</v>
      </c>
      <c r="D441" s="41" t="s">
        <v>3205</v>
      </c>
      <c r="E441" s="41" t="s">
        <v>404</v>
      </c>
      <c r="F441" s="41">
        <v>51997261517</v>
      </c>
      <c r="G441" s="41" t="s">
        <v>243</v>
      </c>
      <c r="H441" s="8" t="s">
        <v>33</v>
      </c>
      <c r="I441" s="70" t="s">
        <v>68</v>
      </c>
      <c r="J441" s="70"/>
      <c r="K441" s="70"/>
      <c r="L441" s="41" t="s">
        <v>55</v>
      </c>
      <c r="M441" s="41" t="s">
        <v>128</v>
      </c>
      <c r="N441" s="10"/>
      <c r="O441" s="8"/>
      <c r="P441" s="1"/>
    </row>
    <row r="442" spans="1:16" ht="21" hidden="1" customHeight="1">
      <c r="A442" s="10">
        <v>1</v>
      </c>
      <c r="B442" s="33" t="s">
        <v>2783</v>
      </c>
      <c r="C442" s="41" t="s">
        <v>93</v>
      </c>
      <c r="D442" s="41" t="s">
        <v>3206</v>
      </c>
      <c r="E442" s="41" t="s">
        <v>3207</v>
      </c>
      <c r="F442" s="41" t="s">
        <v>3208</v>
      </c>
      <c r="G442" s="41" t="s">
        <v>280</v>
      </c>
      <c r="H442" s="8" t="s">
        <v>33</v>
      </c>
      <c r="I442" s="70"/>
      <c r="J442" s="70"/>
      <c r="K442" s="70"/>
      <c r="L442" s="41" t="s">
        <v>49</v>
      </c>
      <c r="M442" s="41"/>
      <c r="N442" s="10" t="s">
        <v>3209</v>
      </c>
      <c r="O442" s="8"/>
      <c r="P442" s="1"/>
    </row>
    <row r="443" spans="1:16" ht="21" customHeight="1">
      <c r="A443" s="10">
        <v>1</v>
      </c>
      <c r="B443" s="33" t="s">
        <v>2783</v>
      </c>
      <c r="C443" s="41" t="s">
        <v>28</v>
      </c>
      <c r="D443" s="41" t="s">
        <v>3210</v>
      </c>
      <c r="E443" s="41" t="s">
        <v>841</v>
      </c>
      <c r="F443" s="41" t="s">
        <v>3211</v>
      </c>
      <c r="G443" s="41" t="s">
        <v>91</v>
      </c>
      <c r="H443" s="8" t="s">
        <v>67</v>
      </c>
      <c r="I443" s="70" t="s">
        <v>3212</v>
      </c>
      <c r="J443" s="70"/>
      <c r="K443" s="70"/>
      <c r="L443" s="41" t="s">
        <v>49</v>
      </c>
      <c r="M443" s="41" t="s">
        <v>128</v>
      </c>
      <c r="N443" s="10" t="s">
        <v>3213</v>
      </c>
      <c r="O443" s="8"/>
      <c r="P443" s="1"/>
    </row>
    <row r="444" spans="1:16" ht="21" customHeight="1">
      <c r="A444" s="10">
        <v>1</v>
      </c>
      <c r="B444" s="33" t="s">
        <v>2783</v>
      </c>
      <c r="C444" s="41" t="s">
        <v>28</v>
      </c>
      <c r="D444" s="41" t="s">
        <v>3214</v>
      </c>
      <c r="E444" s="41" t="s">
        <v>3161</v>
      </c>
      <c r="F444" s="41" t="s">
        <v>3215</v>
      </c>
      <c r="G444" s="41" t="s">
        <v>147</v>
      </c>
      <c r="H444" s="8" t="s">
        <v>33</v>
      </c>
      <c r="I444" s="70"/>
      <c r="J444" s="70"/>
      <c r="K444" s="70"/>
      <c r="L444" s="41" t="s">
        <v>34</v>
      </c>
      <c r="M444" s="41" t="s">
        <v>35</v>
      </c>
      <c r="N444" s="10" t="s">
        <v>3216</v>
      </c>
      <c r="O444" s="8"/>
      <c r="P444" s="1"/>
    </row>
    <row r="445" spans="1:16" ht="21" customHeight="1">
      <c r="A445" s="10">
        <v>1</v>
      </c>
      <c r="B445" s="33" t="s">
        <v>2783</v>
      </c>
      <c r="C445" s="41" t="s">
        <v>28</v>
      </c>
      <c r="D445" s="41" t="s">
        <v>2423</v>
      </c>
      <c r="E445" s="41" t="s">
        <v>817</v>
      </c>
      <c r="F445" s="41" t="s">
        <v>2424</v>
      </c>
      <c r="G445" s="41" t="s">
        <v>41</v>
      </c>
      <c r="H445" s="8" t="s">
        <v>33</v>
      </c>
      <c r="I445" s="70" t="s">
        <v>68</v>
      </c>
      <c r="J445" s="70"/>
      <c r="K445" s="70"/>
      <c r="L445" s="41" t="s">
        <v>49</v>
      </c>
      <c r="M445" s="41" t="s">
        <v>61</v>
      </c>
      <c r="N445" s="10" t="s">
        <v>3217</v>
      </c>
      <c r="O445" s="8"/>
      <c r="P445" s="1"/>
    </row>
    <row r="446" spans="1:16" ht="21" customHeight="1">
      <c r="A446" s="10">
        <v>1</v>
      </c>
      <c r="B446" s="33" t="s">
        <v>572</v>
      </c>
      <c r="C446" s="41" t="s">
        <v>28</v>
      </c>
      <c r="D446" s="41" t="s">
        <v>3218</v>
      </c>
      <c r="E446" s="41" t="s">
        <v>2862</v>
      </c>
      <c r="F446" s="41">
        <v>51992624988</v>
      </c>
      <c r="G446" s="41" t="s">
        <v>79</v>
      </c>
      <c r="H446" s="8" t="s">
        <v>47</v>
      </c>
      <c r="I446" s="70" t="s">
        <v>2929</v>
      </c>
      <c r="J446" s="70"/>
      <c r="K446" s="70"/>
      <c r="L446" s="41" t="s">
        <v>55</v>
      </c>
      <c r="M446" s="41" t="s">
        <v>80</v>
      </c>
      <c r="N446" s="10" t="s">
        <v>589</v>
      </c>
      <c r="O446" s="8"/>
      <c r="P446" s="1"/>
    </row>
    <row r="447" spans="1:16" ht="21" hidden="1" customHeight="1">
      <c r="A447" s="10">
        <v>1</v>
      </c>
      <c r="B447" s="33" t="s">
        <v>572</v>
      </c>
      <c r="C447" s="41" t="s">
        <v>93</v>
      </c>
      <c r="D447" s="41" t="s">
        <v>3219</v>
      </c>
      <c r="E447" s="41" t="s">
        <v>285</v>
      </c>
      <c r="F447" s="41">
        <v>51989564613</v>
      </c>
      <c r="G447" s="41" t="s">
        <v>66</v>
      </c>
      <c r="H447" s="8" t="s">
        <v>67</v>
      </c>
      <c r="I447" s="70"/>
      <c r="J447" s="70"/>
      <c r="K447" s="70"/>
      <c r="L447" s="41" t="s">
        <v>55</v>
      </c>
      <c r="M447" s="41"/>
      <c r="N447" s="10" t="s">
        <v>102</v>
      </c>
      <c r="O447" s="8"/>
      <c r="P447" s="1"/>
    </row>
    <row r="448" spans="1:16" ht="21" customHeight="1">
      <c r="A448" s="10">
        <v>1</v>
      </c>
      <c r="B448" s="33" t="s">
        <v>572</v>
      </c>
      <c r="C448" s="41" t="s">
        <v>28</v>
      </c>
      <c r="D448" s="41" t="s">
        <v>3220</v>
      </c>
      <c r="E448" s="41" t="s">
        <v>454</v>
      </c>
      <c r="F448" s="41">
        <v>51992049808</v>
      </c>
      <c r="G448" s="41" t="s">
        <v>66</v>
      </c>
      <c r="H448" s="8" t="s">
        <v>67</v>
      </c>
      <c r="I448" s="70" t="s">
        <v>2929</v>
      </c>
      <c r="J448" s="70"/>
      <c r="K448" s="70"/>
      <c r="L448" s="41" t="s">
        <v>55</v>
      </c>
      <c r="M448" s="41" t="s">
        <v>133</v>
      </c>
      <c r="N448" s="10"/>
      <c r="O448" s="8"/>
      <c r="P448" s="1"/>
    </row>
    <row r="449" spans="1:16" ht="21" hidden="1" customHeight="1">
      <c r="A449" s="10">
        <v>1</v>
      </c>
      <c r="B449" s="33" t="s">
        <v>572</v>
      </c>
      <c r="C449" s="41" t="s">
        <v>93</v>
      </c>
      <c r="D449" s="41" t="s">
        <v>3221</v>
      </c>
      <c r="E449" s="41" t="s">
        <v>108</v>
      </c>
      <c r="F449" s="41">
        <v>51993329583</v>
      </c>
      <c r="G449" s="41" t="s">
        <v>66</v>
      </c>
      <c r="H449" s="8" t="s">
        <v>67</v>
      </c>
      <c r="I449" s="70"/>
      <c r="J449" s="70"/>
      <c r="K449" s="70"/>
      <c r="L449" s="41" t="s">
        <v>55</v>
      </c>
      <c r="M449" s="41"/>
      <c r="N449" s="10" t="s">
        <v>3222</v>
      </c>
      <c r="O449" s="8"/>
      <c r="P449" s="1"/>
    </row>
    <row r="450" spans="1:16" ht="21" hidden="1" customHeight="1">
      <c r="A450" s="10">
        <v>1</v>
      </c>
      <c r="B450" s="33" t="s">
        <v>572</v>
      </c>
      <c r="C450" s="41" t="s">
        <v>93</v>
      </c>
      <c r="D450" s="41" t="s">
        <v>3223</v>
      </c>
      <c r="E450" s="41" t="s">
        <v>1967</v>
      </c>
      <c r="F450" s="41">
        <v>51993329583</v>
      </c>
      <c r="G450" s="41" t="s">
        <v>79</v>
      </c>
      <c r="H450" s="8" t="s">
        <v>47</v>
      </c>
      <c r="I450" s="70"/>
      <c r="J450" s="70"/>
      <c r="K450" s="70"/>
      <c r="L450" s="41" t="s">
        <v>55</v>
      </c>
      <c r="M450" s="41"/>
      <c r="N450" s="10" t="s">
        <v>3224</v>
      </c>
      <c r="O450" s="8"/>
      <c r="P450" s="1"/>
    </row>
    <row r="451" spans="1:16" ht="21" customHeight="1">
      <c r="A451" s="10">
        <v>1</v>
      </c>
      <c r="B451" s="33" t="s">
        <v>572</v>
      </c>
      <c r="C451" s="41" t="s">
        <v>28</v>
      </c>
      <c r="D451" s="41" t="s">
        <v>3225</v>
      </c>
      <c r="E451" s="41" t="s">
        <v>1648</v>
      </c>
      <c r="F451" s="41" t="s">
        <v>3226</v>
      </c>
      <c r="G451" s="41" t="s">
        <v>91</v>
      </c>
      <c r="H451" s="8" t="s">
        <v>67</v>
      </c>
      <c r="I451" s="70" t="s">
        <v>3227</v>
      </c>
      <c r="J451" s="70"/>
      <c r="K451" s="70"/>
      <c r="L451" s="41" t="s">
        <v>49</v>
      </c>
      <c r="M451" s="41" t="s">
        <v>128</v>
      </c>
      <c r="N451" s="10" t="s">
        <v>3228</v>
      </c>
      <c r="O451" s="8"/>
      <c r="P451" s="1"/>
    </row>
    <row r="452" spans="1:16" ht="21" hidden="1" customHeight="1">
      <c r="A452" s="10">
        <v>1</v>
      </c>
      <c r="B452" s="33" t="s">
        <v>572</v>
      </c>
      <c r="C452" s="41" t="s">
        <v>93</v>
      </c>
      <c r="D452" s="41" t="s">
        <v>1392</v>
      </c>
      <c r="E452" s="41" t="s">
        <v>1057</v>
      </c>
      <c r="F452" s="41">
        <v>51997301070</v>
      </c>
      <c r="G452" s="41" t="s">
        <v>66</v>
      </c>
      <c r="H452" s="8" t="s">
        <v>67</v>
      </c>
      <c r="I452" s="70"/>
      <c r="J452" s="70"/>
      <c r="K452" s="70"/>
      <c r="L452" s="41" t="s">
        <v>55</v>
      </c>
      <c r="M452" s="41"/>
      <c r="N452" s="10" t="s">
        <v>3229</v>
      </c>
      <c r="O452" s="8"/>
      <c r="P452" s="1"/>
    </row>
    <row r="453" spans="1:16" ht="21" customHeight="1">
      <c r="A453" s="10">
        <v>1</v>
      </c>
      <c r="B453" s="33" t="s">
        <v>572</v>
      </c>
      <c r="C453" s="41" t="s">
        <v>28</v>
      </c>
      <c r="D453" s="41" t="s">
        <v>3230</v>
      </c>
      <c r="E453" s="41" t="s">
        <v>3231</v>
      </c>
      <c r="F453" s="41">
        <v>51994744296</v>
      </c>
      <c r="G453" s="41" t="s">
        <v>85</v>
      </c>
      <c r="H453" s="8" t="s">
        <v>33</v>
      </c>
      <c r="I453" s="70" t="s">
        <v>54</v>
      </c>
      <c r="J453" s="70"/>
      <c r="K453" s="70"/>
      <c r="L453" s="41" t="s">
        <v>55</v>
      </c>
      <c r="M453" s="41" t="s">
        <v>61</v>
      </c>
      <c r="N453" s="10" t="s">
        <v>265</v>
      </c>
      <c r="O453" s="8"/>
      <c r="P453" s="1"/>
    </row>
    <row r="454" spans="1:16" ht="21" hidden="1" customHeight="1">
      <c r="A454" s="10">
        <v>1</v>
      </c>
      <c r="B454" s="33" t="s">
        <v>572</v>
      </c>
      <c r="C454" s="41" t="s">
        <v>93</v>
      </c>
      <c r="D454" s="41" t="s">
        <v>3232</v>
      </c>
      <c r="E454" s="41" t="s">
        <v>817</v>
      </c>
      <c r="F454" s="41" t="s">
        <v>3233</v>
      </c>
      <c r="G454" s="41" t="s">
        <v>41</v>
      </c>
      <c r="H454" s="8" t="s">
        <v>33</v>
      </c>
      <c r="I454" s="70"/>
      <c r="J454" s="70"/>
      <c r="K454" s="70"/>
      <c r="L454" s="41" t="s">
        <v>49</v>
      </c>
      <c r="M454" s="41"/>
      <c r="N454" s="10" t="s">
        <v>3234</v>
      </c>
      <c r="O454" s="8"/>
      <c r="P454" s="1"/>
    </row>
    <row r="455" spans="1:16" ht="21" customHeight="1">
      <c r="A455" s="10">
        <v>1</v>
      </c>
      <c r="B455" s="33" t="s">
        <v>572</v>
      </c>
      <c r="C455" s="41" t="s">
        <v>28</v>
      </c>
      <c r="D455" s="41" t="s">
        <v>3235</v>
      </c>
      <c r="E455" s="41" t="s">
        <v>231</v>
      </c>
      <c r="F455" s="41" t="s">
        <v>3236</v>
      </c>
      <c r="G455" s="41" t="s">
        <v>32</v>
      </c>
      <c r="H455" s="8" t="s">
        <v>33</v>
      </c>
      <c r="I455" s="70" t="s">
        <v>105</v>
      </c>
      <c r="J455" s="70"/>
      <c r="K455" s="70"/>
      <c r="L455" s="41" t="s">
        <v>49</v>
      </c>
      <c r="M455" s="41" t="s">
        <v>128</v>
      </c>
      <c r="N455" s="44" t="s">
        <v>3237</v>
      </c>
      <c r="O455" s="8"/>
      <c r="P455" s="1"/>
    </row>
    <row r="456" spans="1:16" ht="21" hidden="1" customHeight="1">
      <c r="A456" s="10">
        <v>1</v>
      </c>
      <c r="B456" s="33" t="s">
        <v>572</v>
      </c>
      <c r="C456" s="41" t="s">
        <v>93</v>
      </c>
      <c r="D456" s="41" t="s">
        <v>600</v>
      </c>
      <c r="E456" s="41" t="s">
        <v>1885</v>
      </c>
      <c r="F456" s="41">
        <v>51996338993</v>
      </c>
      <c r="G456" s="41" t="s">
        <v>41</v>
      </c>
      <c r="H456" s="8" t="s">
        <v>33</v>
      </c>
      <c r="I456" s="70"/>
      <c r="J456" s="70"/>
      <c r="K456" s="70"/>
      <c r="L456" s="41" t="s">
        <v>55</v>
      </c>
      <c r="M456" s="41"/>
      <c r="N456" s="10" t="s">
        <v>3238</v>
      </c>
      <c r="O456" s="8"/>
      <c r="P456" s="1"/>
    </row>
    <row r="457" spans="1:16" ht="21" customHeight="1">
      <c r="A457" s="10">
        <v>1</v>
      </c>
      <c r="B457" s="33" t="s">
        <v>572</v>
      </c>
      <c r="C457" s="41" t="s">
        <v>28</v>
      </c>
      <c r="D457" s="41" t="s">
        <v>3239</v>
      </c>
      <c r="E457" s="41" t="s">
        <v>3240</v>
      </c>
      <c r="F457" s="41">
        <v>51997301070</v>
      </c>
      <c r="G457" s="41" t="s">
        <v>147</v>
      </c>
      <c r="H457" s="8" t="s">
        <v>33</v>
      </c>
      <c r="I457" s="70" t="s">
        <v>177</v>
      </c>
      <c r="J457" s="70"/>
      <c r="K457" s="70"/>
      <c r="L457" s="41" t="s">
        <v>55</v>
      </c>
      <c r="M457" s="41" t="s">
        <v>128</v>
      </c>
      <c r="N457" s="10" t="s">
        <v>120</v>
      </c>
      <c r="O457" s="8"/>
      <c r="P457" s="1"/>
    </row>
    <row r="458" spans="1:16" ht="21" customHeight="1">
      <c r="A458" s="10">
        <v>1</v>
      </c>
      <c r="B458" s="33" t="s">
        <v>572</v>
      </c>
      <c r="C458" s="41" t="s">
        <v>28</v>
      </c>
      <c r="D458" s="41" t="s">
        <v>3241</v>
      </c>
      <c r="E458" s="41" t="s">
        <v>3242</v>
      </c>
      <c r="F458" s="41" t="s">
        <v>3243</v>
      </c>
      <c r="G458" s="41" t="s">
        <v>66</v>
      </c>
      <c r="H458" s="8" t="s">
        <v>67</v>
      </c>
      <c r="I458" s="70" t="s">
        <v>572</v>
      </c>
      <c r="J458" s="70"/>
      <c r="K458" s="70"/>
      <c r="L458" s="41" t="s">
        <v>49</v>
      </c>
      <c r="M458" s="41" t="s">
        <v>128</v>
      </c>
      <c r="N458" s="10" t="s">
        <v>3244</v>
      </c>
      <c r="O458" s="8"/>
      <c r="P458" s="1"/>
    </row>
    <row r="459" spans="1:16" ht="21" customHeight="1">
      <c r="A459" s="10">
        <v>1</v>
      </c>
      <c r="B459" s="33" t="s">
        <v>572</v>
      </c>
      <c r="C459" s="41" t="s">
        <v>28</v>
      </c>
      <c r="D459" s="41" t="s">
        <v>3245</v>
      </c>
      <c r="E459" s="41" t="s">
        <v>3246</v>
      </c>
      <c r="F459" s="41" t="s">
        <v>3247</v>
      </c>
      <c r="G459" s="41" t="s">
        <v>280</v>
      </c>
      <c r="H459" s="8" t="s">
        <v>33</v>
      </c>
      <c r="I459" s="70" t="s">
        <v>105</v>
      </c>
      <c r="J459" s="70"/>
      <c r="K459" s="65"/>
      <c r="L459" s="41" t="s">
        <v>49</v>
      </c>
      <c r="M459" s="41" t="s">
        <v>61</v>
      </c>
      <c r="N459" s="10" t="s">
        <v>3248</v>
      </c>
      <c r="O459" s="8"/>
      <c r="P459" s="1"/>
    </row>
    <row r="460" spans="1:16" ht="21" hidden="1" customHeight="1">
      <c r="A460" s="10">
        <v>1</v>
      </c>
      <c r="B460" s="33" t="s">
        <v>425</v>
      </c>
      <c r="C460" s="41" t="s">
        <v>93</v>
      </c>
      <c r="D460" s="41" t="s">
        <v>3129</v>
      </c>
      <c r="E460" s="41" t="s">
        <v>161</v>
      </c>
      <c r="F460" s="41" t="s">
        <v>3249</v>
      </c>
      <c r="G460" s="41" t="s">
        <v>66</v>
      </c>
      <c r="H460" s="8" t="s">
        <v>67</v>
      </c>
      <c r="I460" s="70"/>
      <c r="J460" s="70"/>
      <c r="K460" s="70"/>
      <c r="L460" s="41" t="s">
        <v>34</v>
      </c>
      <c r="M460" s="41"/>
      <c r="N460" s="10" t="s">
        <v>3250</v>
      </c>
      <c r="O460" s="8"/>
      <c r="P460" s="1"/>
    </row>
    <row r="461" spans="1:16" ht="21" hidden="1" customHeight="1">
      <c r="A461" s="10">
        <v>1</v>
      </c>
      <c r="B461" s="33" t="s">
        <v>572</v>
      </c>
      <c r="C461" s="41" t="s">
        <v>93</v>
      </c>
      <c r="D461" s="41" t="s">
        <v>3251</v>
      </c>
      <c r="E461" s="41" t="s">
        <v>2879</v>
      </c>
      <c r="F461" s="41">
        <v>51998117951</v>
      </c>
      <c r="G461" s="41" t="s">
        <v>310</v>
      </c>
      <c r="H461" s="8" t="s">
        <v>47</v>
      </c>
      <c r="I461" s="70"/>
      <c r="J461" s="70"/>
      <c r="K461" s="70"/>
      <c r="L461" s="41" t="s">
        <v>55</v>
      </c>
      <c r="M461" s="41"/>
      <c r="N461" s="10" t="s">
        <v>371</v>
      </c>
      <c r="O461" s="8"/>
      <c r="P461" s="1"/>
    </row>
    <row r="462" spans="1:16" ht="21" customHeight="1">
      <c r="A462" s="10">
        <v>1</v>
      </c>
      <c r="B462" s="33" t="s">
        <v>572</v>
      </c>
      <c r="C462" s="41" t="s">
        <v>28</v>
      </c>
      <c r="D462" s="41" t="s">
        <v>3252</v>
      </c>
      <c r="E462" s="41" t="s">
        <v>780</v>
      </c>
      <c r="F462" s="41">
        <v>51998117951</v>
      </c>
      <c r="G462" s="41" t="s">
        <v>32</v>
      </c>
      <c r="H462" s="8" t="s">
        <v>33</v>
      </c>
      <c r="I462" s="70" t="s">
        <v>54</v>
      </c>
      <c r="J462" s="70"/>
      <c r="K462" s="70"/>
      <c r="L462" s="41" t="s">
        <v>55</v>
      </c>
      <c r="M462" s="41" t="s">
        <v>111</v>
      </c>
      <c r="N462" s="10"/>
      <c r="O462" s="8"/>
      <c r="P462" s="1"/>
    </row>
    <row r="463" spans="1:16" ht="21" hidden="1" customHeight="1">
      <c r="A463" s="10">
        <v>1</v>
      </c>
      <c r="B463" s="33" t="s">
        <v>572</v>
      </c>
      <c r="C463" s="41" t="s">
        <v>93</v>
      </c>
      <c r="D463" s="41" t="s">
        <v>3253</v>
      </c>
      <c r="E463" s="41" t="s">
        <v>39</v>
      </c>
      <c r="F463" s="41">
        <v>51991046081</v>
      </c>
      <c r="G463" s="41" t="s">
        <v>41</v>
      </c>
      <c r="H463" s="8" t="s">
        <v>33</v>
      </c>
      <c r="I463" s="70"/>
      <c r="J463" s="70"/>
      <c r="K463" s="70"/>
      <c r="L463" s="41" t="s">
        <v>55</v>
      </c>
      <c r="M463" s="41"/>
      <c r="N463" s="10" t="s">
        <v>3254</v>
      </c>
      <c r="O463" s="8"/>
      <c r="P463" s="1"/>
    </row>
    <row r="464" spans="1:16" ht="21" hidden="1" customHeight="1">
      <c r="A464" s="10">
        <v>1</v>
      </c>
      <c r="B464" s="33" t="s">
        <v>572</v>
      </c>
      <c r="C464" s="41" t="s">
        <v>93</v>
      </c>
      <c r="D464" s="41" t="s">
        <v>3255</v>
      </c>
      <c r="E464" s="41" t="s">
        <v>446</v>
      </c>
      <c r="F464" s="41" t="s">
        <v>3256</v>
      </c>
      <c r="G464" s="41" t="s">
        <v>66</v>
      </c>
      <c r="H464" s="8" t="s">
        <v>67</v>
      </c>
      <c r="I464" s="70"/>
      <c r="J464" s="70"/>
      <c r="K464" s="70"/>
      <c r="L464" s="41" t="s">
        <v>49</v>
      </c>
      <c r="M464" s="41"/>
      <c r="N464" s="10" t="s">
        <v>3257</v>
      </c>
      <c r="O464" s="8"/>
      <c r="P464" s="1"/>
    </row>
    <row r="465" spans="1:16" ht="21" customHeight="1">
      <c r="A465" s="10">
        <v>1</v>
      </c>
      <c r="B465" s="33" t="s">
        <v>572</v>
      </c>
      <c r="C465" s="41" t="s">
        <v>28</v>
      </c>
      <c r="D465" s="41" t="s">
        <v>3258</v>
      </c>
      <c r="E465" s="41" t="s">
        <v>3259</v>
      </c>
      <c r="F465" s="41" t="s">
        <v>3260</v>
      </c>
      <c r="G465" s="41" t="s">
        <v>73</v>
      </c>
      <c r="H465" s="8" t="s">
        <v>33</v>
      </c>
      <c r="I465" s="70" t="s">
        <v>177</v>
      </c>
      <c r="J465" s="70"/>
      <c r="K465" s="70"/>
      <c r="L465" s="41" t="s">
        <v>49</v>
      </c>
      <c r="M465" s="41" t="s">
        <v>61</v>
      </c>
      <c r="N465" s="10" t="s">
        <v>3261</v>
      </c>
      <c r="O465" s="8"/>
      <c r="P465" s="1"/>
    </row>
    <row r="466" spans="1:16" ht="21" customHeight="1">
      <c r="A466" s="10">
        <v>1</v>
      </c>
      <c r="B466" s="33" t="s">
        <v>572</v>
      </c>
      <c r="C466" s="41" t="s">
        <v>28</v>
      </c>
      <c r="D466" s="41" t="s">
        <v>3262</v>
      </c>
      <c r="E466" s="41" t="s">
        <v>3263</v>
      </c>
      <c r="F466" s="41" t="s">
        <v>3264</v>
      </c>
      <c r="G466" s="41" t="s">
        <v>91</v>
      </c>
      <c r="H466" s="8" t="s">
        <v>67</v>
      </c>
      <c r="I466" s="70" t="s">
        <v>3227</v>
      </c>
      <c r="J466" s="70"/>
      <c r="K466" s="70"/>
      <c r="L466" s="41" t="s">
        <v>49</v>
      </c>
      <c r="M466" s="41" t="s">
        <v>61</v>
      </c>
      <c r="N466" s="10" t="s">
        <v>3265</v>
      </c>
      <c r="O466" s="8"/>
      <c r="P466" s="1"/>
    </row>
    <row r="467" spans="1:16" ht="21" hidden="1" customHeight="1">
      <c r="A467" s="10">
        <v>1</v>
      </c>
      <c r="B467" s="33" t="s">
        <v>572</v>
      </c>
      <c r="C467" s="41" t="s">
        <v>93</v>
      </c>
      <c r="D467" s="41" t="s">
        <v>2642</v>
      </c>
      <c r="E467" s="41" t="s">
        <v>39</v>
      </c>
      <c r="F467" s="41" t="s">
        <v>2643</v>
      </c>
      <c r="G467" s="41" t="s">
        <v>41</v>
      </c>
      <c r="H467" s="8" t="s">
        <v>33</v>
      </c>
      <c r="I467" s="70" t="s">
        <v>105</v>
      </c>
      <c r="J467" s="70"/>
      <c r="K467" s="70"/>
      <c r="L467" s="41" t="s">
        <v>49</v>
      </c>
      <c r="M467" s="41"/>
      <c r="N467" s="10" t="s">
        <v>3266</v>
      </c>
      <c r="O467" s="8"/>
      <c r="P467" s="1"/>
    </row>
    <row r="468" spans="1:16" ht="21" customHeight="1">
      <c r="A468" s="10">
        <v>1</v>
      </c>
      <c r="B468" s="33" t="s">
        <v>572</v>
      </c>
      <c r="C468" s="41" t="s">
        <v>28</v>
      </c>
      <c r="D468" s="41" t="s">
        <v>3267</v>
      </c>
      <c r="E468" s="41" t="s">
        <v>3268</v>
      </c>
      <c r="F468" s="41" t="s">
        <v>3269</v>
      </c>
      <c r="G468" s="41" t="s">
        <v>1810</v>
      </c>
      <c r="H468" s="8" t="s">
        <v>33</v>
      </c>
      <c r="I468" s="70" t="s">
        <v>3270</v>
      </c>
      <c r="J468" s="70"/>
      <c r="K468" s="70"/>
      <c r="L468" s="41" t="s">
        <v>49</v>
      </c>
      <c r="M468" s="41" t="s">
        <v>56</v>
      </c>
      <c r="N468" s="10" t="s">
        <v>3271</v>
      </c>
      <c r="O468" s="8"/>
      <c r="P468" s="1"/>
    </row>
    <row r="469" spans="1:16" ht="21" hidden="1" customHeight="1">
      <c r="A469" s="10">
        <v>1</v>
      </c>
      <c r="B469" s="33" t="s">
        <v>572</v>
      </c>
      <c r="C469" s="41" t="s">
        <v>93</v>
      </c>
      <c r="D469" s="41" t="s">
        <v>3272</v>
      </c>
      <c r="E469" s="41" t="s">
        <v>2541</v>
      </c>
      <c r="F469" s="41" t="s">
        <v>3273</v>
      </c>
      <c r="G469" s="41" t="s">
        <v>66</v>
      </c>
      <c r="H469" s="8" t="s">
        <v>67</v>
      </c>
      <c r="I469" s="70"/>
      <c r="J469" s="70"/>
      <c r="K469" s="70"/>
      <c r="L469" s="41" t="s">
        <v>34</v>
      </c>
      <c r="M469" s="41"/>
      <c r="N469" s="10" t="s">
        <v>3274</v>
      </c>
      <c r="O469" s="8"/>
      <c r="P469" s="1"/>
    </row>
    <row r="470" spans="1:16" ht="21" hidden="1" customHeight="1">
      <c r="A470" s="10">
        <v>1</v>
      </c>
      <c r="B470" s="33" t="s">
        <v>572</v>
      </c>
      <c r="C470" s="41" t="s">
        <v>93</v>
      </c>
      <c r="D470" s="109" t="s">
        <v>3275</v>
      </c>
      <c r="E470" s="41" t="s">
        <v>363</v>
      </c>
      <c r="F470" s="41" t="s">
        <v>3276</v>
      </c>
      <c r="G470" s="41" t="s">
        <v>66</v>
      </c>
      <c r="H470" s="8" t="s">
        <v>67</v>
      </c>
      <c r="I470" s="70"/>
      <c r="J470" s="70"/>
      <c r="K470" s="70"/>
      <c r="L470" s="41" t="s">
        <v>34</v>
      </c>
      <c r="M470" s="41"/>
      <c r="N470" s="10" t="s">
        <v>3277</v>
      </c>
      <c r="O470" s="8"/>
      <c r="P470" s="1"/>
    </row>
    <row r="471" spans="1:16" ht="21" customHeight="1">
      <c r="A471" s="10">
        <v>1</v>
      </c>
      <c r="B471" s="33" t="s">
        <v>2491</v>
      </c>
      <c r="C471" s="41" t="s">
        <v>28</v>
      </c>
      <c r="D471" s="41" t="s">
        <v>3278</v>
      </c>
      <c r="E471" s="41" t="s">
        <v>108</v>
      </c>
      <c r="F471" s="41">
        <v>51982932591</v>
      </c>
      <c r="G471" s="41" t="s">
        <v>66</v>
      </c>
      <c r="H471" s="8" t="s">
        <v>67</v>
      </c>
      <c r="I471" s="70" t="s">
        <v>2046</v>
      </c>
      <c r="J471" s="70"/>
      <c r="K471" s="70"/>
      <c r="L471" s="41" t="s">
        <v>55</v>
      </c>
      <c r="M471" s="41" t="s">
        <v>128</v>
      </c>
      <c r="N471" s="10" t="s">
        <v>120</v>
      </c>
      <c r="O471" s="8"/>
      <c r="P471" s="1"/>
    </row>
    <row r="472" spans="1:16" ht="21" hidden="1" customHeight="1">
      <c r="A472" s="10">
        <v>1</v>
      </c>
      <c r="B472" s="33" t="s">
        <v>2491</v>
      </c>
      <c r="C472" s="41" t="s">
        <v>93</v>
      </c>
      <c r="D472" s="41" t="s">
        <v>3279</v>
      </c>
      <c r="E472" s="41" t="s">
        <v>661</v>
      </c>
      <c r="F472" s="41">
        <v>51984466043</v>
      </c>
      <c r="G472" s="41" t="s">
        <v>85</v>
      </c>
      <c r="H472" s="8" t="s">
        <v>33</v>
      </c>
      <c r="I472" s="70"/>
      <c r="J472" s="70"/>
      <c r="K472" s="70"/>
      <c r="L472" s="41" t="s">
        <v>55</v>
      </c>
      <c r="M472" s="41"/>
      <c r="N472" s="10" t="s">
        <v>3280</v>
      </c>
      <c r="O472" s="8"/>
      <c r="P472" s="1"/>
    </row>
    <row r="473" spans="1:16" ht="21" hidden="1" customHeight="1">
      <c r="A473" s="10">
        <v>1</v>
      </c>
      <c r="B473" s="33" t="s">
        <v>2491</v>
      </c>
      <c r="C473" s="41" t="s">
        <v>93</v>
      </c>
      <c r="D473" s="41" t="s">
        <v>3281</v>
      </c>
      <c r="E473" s="41" t="s">
        <v>298</v>
      </c>
      <c r="F473" s="41">
        <v>51994306459</v>
      </c>
      <c r="G473" s="41" t="s">
        <v>91</v>
      </c>
      <c r="H473" s="8" t="s">
        <v>67</v>
      </c>
      <c r="I473" s="70"/>
      <c r="J473" s="70"/>
      <c r="K473" s="70"/>
      <c r="L473" s="41" t="s">
        <v>55</v>
      </c>
      <c r="M473" s="41"/>
      <c r="N473" s="10" t="s">
        <v>974</v>
      </c>
      <c r="O473" s="8"/>
      <c r="P473" s="1"/>
    </row>
    <row r="474" spans="1:16" ht="21" hidden="1" customHeight="1">
      <c r="A474" s="10">
        <v>1</v>
      </c>
      <c r="B474" s="33" t="s">
        <v>2491</v>
      </c>
      <c r="C474" s="41" t="s">
        <v>93</v>
      </c>
      <c r="D474" s="41" t="s">
        <v>3282</v>
      </c>
      <c r="E474" s="41" t="s">
        <v>71</v>
      </c>
      <c r="F474" s="41" t="s">
        <v>3283</v>
      </c>
      <c r="G474" s="41" t="s">
        <v>73</v>
      </c>
      <c r="H474" s="8" t="s">
        <v>33</v>
      </c>
      <c r="I474" s="70"/>
      <c r="J474" s="70"/>
      <c r="K474" s="70"/>
      <c r="L474" s="41" t="s">
        <v>49</v>
      </c>
      <c r="M474" s="41"/>
      <c r="N474" s="10" t="s">
        <v>3284</v>
      </c>
      <c r="O474" s="8"/>
      <c r="P474" s="1"/>
    </row>
    <row r="475" spans="1:16" ht="21" customHeight="1">
      <c r="A475" s="10">
        <v>1</v>
      </c>
      <c r="B475" s="33" t="s">
        <v>2491</v>
      </c>
      <c r="C475" s="41" t="s">
        <v>28</v>
      </c>
      <c r="D475" s="41" t="s">
        <v>3285</v>
      </c>
      <c r="E475" s="41" t="s">
        <v>446</v>
      </c>
      <c r="F475" s="41" t="s">
        <v>3286</v>
      </c>
      <c r="G475" s="41" t="s">
        <v>66</v>
      </c>
      <c r="H475" s="8" t="s">
        <v>67</v>
      </c>
      <c r="I475" s="70" t="s">
        <v>3227</v>
      </c>
      <c r="J475" s="70"/>
      <c r="K475" s="70"/>
      <c r="L475" s="41" t="s">
        <v>49</v>
      </c>
      <c r="M475" s="41" t="s">
        <v>61</v>
      </c>
      <c r="N475" s="10" t="s">
        <v>3287</v>
      </c>
      <c r="O475" s="8"/>
      <c r="P475" s="1"/>
    </row>
    <row r="476" spans="1:16" ht="21" customHeight="1">
      <c r="A476" s="10">
        <v>1</v>
      </c>
      <c r="B476" s="33" t="s">
        <v>2491</v>
      </c>
      <c r="C476" s="41" t="s">
        <v>28</v>
      </c>
      <c r="D476" s="41" t="s">
        <v>3288</v>
      </c>
      <c r="E476" s="41" t="s">
        <v>296</v>
      </c>
      <c r="F476" s="41">
        <v>51993738795</v>
      </c>
      <c r="G476" s="41" t="s">
        <v>66</v>
      </c>
      <c r="H476" s="8" t="s">
        <v>67</v>
      </c>
      <c r="I476" s="70"/>
      <c r="J476" s="70"/>
      <c r="K476" s="70"/>
      <c r="L476" s="41" t="s">
        <v>55</v>
      </c>
      <c r="M476" s="41" t="s">
        <v>56</v>
      </c>
      <c r="N476" s="10" t="s">
        <v>3289</v>
      </c>
      <c r="O476" s="8"/>
      <c r="P476" s="1"/>
    </row>
    <row r="477" spans="1:16" ht="21" customHeight="1">
      <c r="A477" s="10">
        <v>1</v>
      </c>
      <c r="B477" s="33" t="s">
        <v>2491</v>
      </c>
      <c r="C477" s="41" t="s">
        <v>28</v>
      </c>
      <c r="D477" s="41" t="s">
        <v>2667</v>
      </c>
      <c r="E477" s="41" t="s">
        <v>165</v>
      </c>
      <c r="F477" s="41" t="s">
        <v>2668</v>
      </c>
      <c r="G477" s="41" t="s">
        <v>66</v>
      </c>
      <c r="H477" s="8" t="s">
        <v>67</v>
      </c>
      <c r="I477" s="70" t="s">
        <v>3227</v>
      </c>
      <c r="J477" s="70"/>
      <c r="K477" s="70"/>
      <c r="L477" s="41" t="s">
        <v>49</v>
      </c>
      <c r="M477" s="41" t="s">
        <v>61</v>
      </c>
      <c r="N477" s="10" t="s">
        <v>3290</v>
      </c>
      <c r="O477" s="8"/>
      <c r="P477" s="1"/>
    </row>
    <row r="478" spans="1:16" ht="21" customHeight="1">
      <c r="A478" s="10">
        <v>1</v>
      </c>
      <c r="B478" s="33" t="s">
        <v>2491</v>
      </c>
      <c r="C478" s="41" t="s">
        <v>28</v>
      </c>
      <c r="D478" s="41" t="s">
        <v>3291</v>
      </c>
      <c r="E478" s="41" t="s">
        <v>3292</v>
      </c>
      <c r="F478" s="41" t="s">
        <v>3293</v>
      </c>
      <c r="G478" s="41" t="s">
        <v>147</v>
      </c>
      <c r="H478" s="8" t="s">
        <v>33</v>
      </c>
      <c r="I478" s="70" t="s">
        <v>177</v>
      </c>
      <c r="J478" s="70"/>
      <c r="K478" s="70"/>
      <c r="L478" s="41" t="s">
        <v>34</v>
      </c>
      <c r="M478" s="41" t="s">
        <v>35</v>
      </c>
      <c r="N478" s="10" t="s">
        <v>3294</v>
      </c>
      <c r="O478" s="8"/>
      <c r="P478" s="1"/>
    </row>
    <row r="479" spans="1:16" ht="21" customHeight="1">
      <c r="A479" s="10">
        <v>1</v>
      </c>
      <c r="B479" s="33" t="s">
        <v>2491</v>
      </c>
      <c r="C479" s="41" t="s">
        <v>28</v>
      </c>
      <c r="D479" s="41" t="s">
        <v>3295</v>
      </c>
      <c r="E479" s="41" t="s">
        <v>209</v>
      </c>
      <c r="F479" s="41" t="s">
        <v>3296</v>
      </c>
      <c r="G479" s="41" t="s">
        <v>147</v>
      </c>
      <c r="H479" s="8" t="s">
        <v>33</v>
      </c>
      <c r="I479" s="70"/>
      <c r="J479" s="70"/>
      <c r="K479" s="70"/>
      <c r="L479" s="41" t="s">
        <v>34</v>
      </c>
      <c r="M479" s="41" t="s">
        <v>128</v>
      </c>
      <c r="N479" s="10" t="s">
        <v>3297</v>
      </c>
      <c r="O479" s="8"/>
      <c r="P479" s="1"/>
    </row>
    <row r="480" spans="1:16" ht="21" hidden="1" customHeight="1">
      <c r="A480" s="10">
        <v>1</v>
      </c>
      <c r="B480" s="33" t="s">
        <v>2491</v>
      </c>
      <c r="C480" s="41" t="s">
        <v>93</v>
      </c>
      <c r="D480" s="41" t="s">
        <v>3298</v>
      </c>
      <c r="E480" s="41" t="s">
        <v>150</v>
      </c>
      <c r="F480" s="41" t="s">
        <v>3299</v>
      </c>
      <c r="G480" s="41" t="s">
        <v>756</v>
      </c>
      <c r="H480" s="8" t="s">
        <v>67</v>
      </c>
      <c r="I480" s="70"/>
      <c r="J480" s="70"/>
      <c r="K480" s="70"/>
      <c r="L480" s="41" t="s">
        <v>34</v>
      </c>
      <c r="M480" s="41"/>
      <c r="N480" s="10" t="s">
        <v>3300</v>
      </c>
      <c r="O480" s="8"/>
      <c r="P480" s="1"/>
    </row>
    <row r="481" spans="1:16" ht="21" hidden="1" customHeight="1">
      <c r="A481" s="10">
        <v>1</v>
      </c>
      <c r="B481" s="33" t="s">
        <v>2491</v>
      </c>
      <c r="C481" s="41" t="s">
        <v>93</v>
      </c>
      <c r="D481" s="41" t="s">
        <v>3301</v>
      </c>
      <c r="E481" s="41" t="s">
        <v>354</v>
      </c>
      <c r="F481" s="41" t="s">
        <v>3302</v>
      </c>
      <c r="G481" s="41" t="s">
        <v>750</v>
      </c>
      <c r="H481" s="8" t="s">
        <v>47</v>
      </c>
      <c r="I481" s="70"/>
      <c r="J481" s="70"/>
      <c r="K481" s="70"/>
      <c r="L481" s="41" t="s">
        <v>34</v>
      </c>
      <c r="M481" s="41"/>
      <c r="N481" s="10" t="s">
        <v>3303</v>
      </c>
      <c r="O481" s="8"/>
      <c r="P481" s="1"/>
    </row>
    <row r="482" spans="1:16" ht="21" hidden="1" customHeight="1">
      <c r="A482" s="10">
        <v>1</v>
      </c>
      <c r="B482" s="33" t="s">
        <v>2491</v>
      </c>
      <c r="C482" s="41" t="s">
        <v>93</v>
      </c>
      <c r="D482" s="41" t="s">
        <v>3304</v>
      </c>
      <c r="E482" s="41" t="s">
        <v>1907</v>
      </c>
      <c r="F482" s="41" t="s">
        <v>3305</v>
      </c>
      <c r="G482" s="41" t="s">
        <v>85</v>
      </c>
      <c r="H482" s="8" t="s">
        <v>33</v>
      </c>
      <c r="I482" s="70"/>
      <c r="J482" s="70"/>
      <c r="K482" s="70"/>
      <c r="L482" s="41" t="s">
        <v>49</v>
      </c>
      <c r="M482" s="41"/>
      <c r="N482" s="10" t="s">
        <v>3306</v>
      </c>
      <c r="O482" s="8"/>
      <c r="P482" s="1"/>
    </row>
    <row r="483" spans="1:16" ht="21" customHeight="1">
      <c r="A483" s="10">
        <v>1</v>
      </c>
      <c r="B483" s="33" t="s">
        <v>2491</v>
      </c>
      <c r="C483" s="41" t="s">
        <v>28</v>
      </c>
      <c r="D483" s="41" t="s">
        <v>3307</v>
      </c>
      <c r="E483" s="41" t="s">
        <v>292</v>
      </c>
      <c r="F483" s="41" t="s">
        <v>3308</v>
      </c>
      <c r="G483" s="41" t="s">
        <v>41</v>
      </c>
      <c r="H483" s="8" t="s">
        <v>33</v>
      </c>
      <c r="I483" s="70"/>
      <c r="J483" s="70"/>
      <c r="K483" s="70"/>
      <c r="L483" s="41" t="s">
        <v>49</v>
      </c>
      <c r="M483" s="41" t="s">
        <v>61</v>
      </c>
      <c r="N483" s="10" t="s">
        <v>3309</v>
      </c>
      <c r="O483" s="8"/>
      <c r="P483" s="1"/>
    </row>
    <row r="484" spans="1:16" ht="21" customHeight="1">
      <c r="A484" s="10">
        <v>1</v>
      </c>
      <c r="B484" s="33" t="s">
        <v>2491</v>
      </c>
      <c r="C484" s="41" t="s">
        <v>28</v>
      </c>
      <c r="D484" s="41" t="s">
        <v>3310</v>
      </c>
      <c r="E484" s="41" t="s">
        <v>893</v>
      </c>
      <c r="F484" s="41" t="s">
        <v>3311</v>
      </c>
      <c r="G484" s="41" t="s">
        <v>3312</v>
      </c>
      <c r="H484" s="8" t="s">
        <v>33</v>
      </c>
      <c r="I484" s="70"/>
      <c r="J484" s="70"/>
      <c r="K484" s="70"/>
      <c r="L484" s="41" t="s">
        <v>34</v>
      </c>
      <c r="M484" s="41" t="s">
        <v>56</v>
      </c>
      <c r="N484" s="10" t="s">
        <v>3313</v>
      </c>
      <c r="O484" s="8"/>
      <c r="P484" s="1"/>
    </row>
    <row r="485" spans="1:16" ht="21" hidden="1" customHeight="1">
      <c r="A485" s="10">
        <v>1</v>
      </c>
      <c r="B485" s="33" t="s">
        <v>2491</v>
      </c>
      <c r="C485" s="41" t="s">
        <v>93</v>
      </c>
      <c r="D485" s="41" t="s">
        <v>3314</v>
      </c>
      <c r="E485" s="41" t="s">
        <v>260</v>
      </c>
      <c r="F485" s="41">
        <v>51993731355</v>
      </c>
      <c r="G485" s="41" t="s">
        <v>32</v>
      </c>
      <c r="H485" s="8" t="s">
        <v>33</v>
      </c>
      <c r="I485" s="70"/>
      <c r="J485" s="70"/>
      <c r="K485" s="70"/>
      <c r="L485" s="41" t="s">
        <v>55</v>
      </c>
      <c r="M485" s="41"/>
      <c r="N485" s="10" t="s">
        <v>3315</v>
      </c>
      <c r="O485" s="8"/>
      <c r="P485" s="1"/>
    </row>
    <row r="486" spans="1:16" ht="21" customHeight="1">
      <c r="A486" s="10">
        <v>1</v>
      </c>
      <c r="B486" s="33" t="s">
        <v>2491</v>
      </c>
      <c r="C486" s="41" t="s">
        <v>28</v>
      </c>
      <c r="D486" s="41" t="s">
        <v>3316</v>
      </c>
      <c r="E486" s="41" t="s">
        <v>3317</v>
      </c>
      <c r="F486" s="41">
        <v>51920043988</v>
      </c>
      <c r="G486" s="41" t="s">
        <v>85</v>
      </c>
      <c r="H486" s="8" t="s">
        <v>33</v>
      </c>
      <c r="I486" s="70"/>
      <c r="J486" s="70"/>
      <c r="K486" s="70"/>
      <c r="L486" s="41" t="s">
        <v>55</v>
      </c>
      <c r="M486" s="41" t="s">
        <v>80</v>
      </c>
      <c r="N486" s="10" t="s">
        <v>120</v>
      </c>
      <c r="O486" s="8"/>
      <c r="P486" s="1"/>
    </row>
    <row r="487" spans="1:16" ht="21" customHeight="1">
      <c r="A487" s="10">
        <v>1</v>
      </c>
      <c r="B487" s="33" t="s">
        <v>2491</v>
      </c>
      <c r="C487" s="41" t="s">
        <v>28</v>
      </c>
      <c r="D487" s="41" t="s">
        <v>2902</v>
      </c>
      <c r="E487" s="41" t="s">
        <v>1313</v>
      </c>
      <c r="F487" s="41" t="s">
        <v>2903</v>
      </c>
      <c r="G487" s="41" t="s">
        <v>85</v>
      </c>
      <c r="H487" s="8" t="s">
        <v>33</v>
      </c>
      <c r="I487" s="70"/>
      <c r="J487" s="70"/>
      <c r="K487" s="70"/>
      <c r="L487" s="41" t="s">
        <v>34</v>
      </c>
      <c r="M487" s="41" t="s">
        <v>61</v>
      </c>
      <c r="N487" s="10" t="s">
        <v>3318</v>
      </c>
      <c r="O487" s="8"/>
      <c r="P487" s="1"/>
    </row>
    <row r="488" spans="1:16" ht="21" hidden="1" customHeight="1">
      <c r="A488" s="10">
        <v>1</v>
      </c>
      <c r="B488" s="33" t="s">
        <v>2491</v>
      </c>
      <c r="C488" s="41" t="s">
        <v>93</v>
      </c>
      <c r="D488" s="41" t="s">
        <v>3319</v>
      </c>
      <c r="E488" s="41" t="s">
        <v>1182</v>
      </c>
      <c r="F488" s="41" t="s">
        <v>3320</v>
      </c>
      <c r="G488" s="41" t="s">
        <v>73</v>
      </c>
      <c r="H488" s="8" t="s">
        <v>33</v>
      </c>
      <c r="I488" s="70"/>
      <c r="J488" s="70"/>
      <c r="K488" s="70"/>
      <c r="L488" s="41" t="s">
        <v>49</v>
      </c>
      <c r="M488" s="41"/>
      <c r="N488" s="10" t="s">
        <v>3321</v>
      </c>
      <c r="O488" s="8"/>
      <c r="P488" s="1"/>
    </row>
    <row r="489" spans="1:16" ht="21" customHeight="1">
      <c r="A489" s="10">
        <v>1</v>
      </c>
      <c r="B489" s="33" t="s">
        <v>2491</v>
      </c>
      <c r="C489" s="41" t="s">
        <v>28</v>
      </c>
      <c r="D489" s="41" t="s">
        <v>3322</v>
      </c>
      <c r="E489" s="41" t="s">
        <v>438</v>
      </c>
      <c r="F489" s="41" t="s">
        <v>3323</v>
      </c>
      <c r="G489" s="41" t="s">
        <v>91</v>
      </c>
      <c r="H489" s="8" t="s">
        <v>67</v>
      </c>
      <c r="I489" s="70"/>
      <c r="J489" s="70"/>
      <c r="K489" s="70"/>
      <c r="L489" s="41" t="s">
        <v>49</v>
      </c>
      <c r="M489" s="41" t="s">
        <v>35</v>
      </c>
      <c r="N489" s="10" t="s">
        <v>3324</v>
      </c>
      <c r="O489" s="8"/>
      <c r="P489" s="1"/>
    </row>
    <row r="490" spans="1:16" ht="21" hidden="1" customHeight="1">
      <c r="A490" s="10">
        <v>1</v>
      </c>
      <c r="B490" s="33" t="s">
        <v>2491</v>
      </c>
      <c r="C490" s="41" t="s">
        <v>93</v>
      </c>
      <c r="D490" s="41" t="s">
        <v>3325</v>
      </c>
      <c r="E490" s="41" t="s">
        <v>536</v>
      </c>
      <c r="F490" s="41" t="s">
        <v>3326</v>
      </c>
      <c r="G490" s="41" t="s">
        <v>91</v>
      </c>
      <c r="H490" s="8" t="s">
        <v>67</v>
      </c>
      <c r="I490" s="70"/>
      <c r="J490" s="70"/>
      <c r="K490" s="70"/>
      <c r="L490" s="41" t="s">
        <v>34</v>
      </c>
      <c r="M490" s="41"/>
      <c r="N490" s="10" t="s">
        <v>120</v>
      </c>
      <c r="O490" s="8"/>
      <c r="P490" s="1"/>
    </row>
    <row r="491" spans="1:16" ht="21" hidden="1" customHeight="1">
      <c r="A491" s="10">
        <v>1</v>
      </c>
      <c r="B491" s="33" t="s">
        <v>2938</v>
      </c>
      <c r="C491" s="41" t="s">
        <v>93</v>
      </c>
      <c r="D491" s="41" t="s">
        <v>3327</v>
      </c>
      <c r="E491" s="41" t="s">
        <v>3328</v>
      </c>
      <c r="F491" s="41">
        <v>51997311127</v>
      </c>
      <c r="G491" s="41" t="s">
        <v>91</v>
      </c>
      <c r="H491" s="8" t="s">
        <v>67</v>
      </c>
      <c r="I491" s="70"/>
      <c r="J491" s="70"/>
      <c r="K491" s="70"/>
      <c r="L491" s="41" t="s">
        <v>55</v>
      </c>
      <c r="M491" s="41"/>
      <c r="N491" s="10" t="s">
        <v>102</v>
      </c>
      <c r="O491" s="8"/>
      <c r="P491" s="1"/>
    </row>
    <row r="492" spans="1:16" ht="21" customHeight="1">
      <c r="A492" s="10">
        <v>1</v>
      </c>
      <c r="B492" s="33" t="s">
        <v>2938</v>
      </c>
      <c r="C492" s="41" t="s">
        <v>28</v>
      </c>
      <c r="D492" s="41" t="s">
        <v>3329</v>
      </c>
      <c r="E492" s="41" t="s">
        <v>3330</v>
      </c>
      <c r="F492" s="41">
        <v>51980287532</v>
      </c>
      <c r="G492" s="41" t="s">
        <v>32</v>
      </c>
      <c r="H492" s="8" t="s">
        <v>33</v>
      </c>
      <c r="I492" s="70"/>
      <c r="J492" s="70"/>
      <c r="K492" s="70"/>
      <c r="L492" s="41" t="s">
        <v>55</v>
      </c>
      <c r="M492" s="41" t="s">
        <v>128</v>
      </c>
      <c r="N492" s="10" t="s">
        <v>120</v>
      </c>
      <c r="O492" s="8"/>
      <c r="P492" s="1"/>
    </row>
    <row r="493" spans="1:16" ht="21" hidden="1" customHeight="1">
      <c r="A493" s="10">
        <v>1</v>
      </c>
      <c r="B493" s="33" t="s">
        <v>2938</v>
      </c>
      <c r="C493" s="41" t="s">
        <v>93</v>
      </c>
      <c r="D493" s="41" t="s">
        <v>3331</v>
      </c>
      <c r="E493" s="41" t="s">
        <v>363</v>
      </c>
      <c r="F493" s="41" t="s">
        <v>3332</v>
      </c>
      <c r="G493" s="41" t="s">
        <v>66</v>
      </c>
      <c r="H493" s="8" t="s">
        <v>67</v>
      </c>
      <c r="I493" s="70"/>
      <c r="J493" s="70"/>
      <c r="K493" s="70"/>
      <c r="L493" s="41" t="s">
        <v>49</v>
      </c>
      <c r="M493" s="41"/>
      <c r="N493" s="10" t="s">
        <v>3333</v>
      </c>
      <c r="O493" s="8"/>
      <c r="P493" s="1"/>
    </row>
    <row r="494" spans="1:16" ht="21" customHeight="1">
      <c r="A494" s="10">
        <v>1</v>
      </c>
      <c r="B494" s="33" t="s">
        <v>2938</v>
      </c>
      <c r="C494" s="41" t="s">
        <v>28</v>
      </c>
      <c r="D494" s="41" t="s">
        <v>3334</v>
      </c>
      <c r="E494" s="41" t="s">
        <v>260</v>
      </c>
      <c r="F494" s="41" t="s">
        <v>3335</v>
      </c>
      <c r="G494" s="41" t="s">
        <v>32</v>
      </c>
      <c r="H494" s="8" t="s">
        <v>33</v>
      </c>
      <c r="I494" s="70"/>
      <c r="J494" s="70"/>
      <c r="K494" s="70"/>
      <c r="L494" s="41" t="s">
        <v>49</v>
      </c>
      <c r="M494" s="41" t="s">
        <v>61</v>
      </c>
      <c r="N494" s="10" t="s">
        <v>3336</v>
      </c>
      <c r="O494" s="8"/>
      <c r="P494" s="1"/>
    </row>
    <row r="495" spans="1:16" ht="21" customHeight="1">
      <c r="A495" s="10">
        <v>1</v>
      </c>
      <c r="B495" s="33" t="s">
        <v>2938</v>
      </c>
      <c r="C495" s="41" t="s">
        <v>28</v>
      </c>
      <c r="D495" s="8" t="s">
        <v>3337</v>
      </c>
      <c r="E495" s="41" t="s">
        <v>1083</v>
      </c>
      <c r="F495" s="41">
        <v>51981517163</v>
      </c>
      <c r="G495" s="41" t="s">
        <v>3338</v>
      </c>
      <c r="H495" s="8" t="s">
        <v>33</v>
      </c>
      <c r="I495" s="70"/>
      <c r="J495" s="70"/>
      <c r="K495" s="70"/>
      <c r="L495" s="41" t="s">
        <v>55</v>
      </c>
      <c r="M495" s="41" t="s">
        <v>128</v>
      </c>
      <c r="N495" s="10" t="s">
        <v>120</v>
      </c>
      <c r="O495" s="8"/>
      <c r="P495" s="1"/>
    </row>
    <row r="496" spans="1:16" ht="21" hidden="1" customHeight="1">
      <c r="A496" s="10">
        <v>1</v>
      </c>
      <c r="B496" s="33" t="s">
        <v>2938</v>
      </c>
      <c r="C496" s="41" t="s">
        <v>93</v>
      </c>
      <c r="D496" s="41" t="s">
        <v>3339</v>
      </c>
      <c r="E496" s="41" t="s">
        <v>446</v>
      </c>
      <c r="F496" s="41" t="s">
        <v>3340</v>
      </c>
      <c r="G496" s="41" t="s">
        <v>66</v>
      </c>
      <c r="H496" s="8" t="s">
        <v>67</v>
      </c>
      <c r="I496" s="70"/>
      <c r="J496" s="70"/>
      <c r="K496" s="70"/>
      <c r="L496" s="41" t="s">
        <v>49</v>
      </c>
      <c r="M496" s="41"/>
      <c r="N496" s="10" t="s">
        <v>3341</v>
      </c>
      <c r="O496" s="8"/>
      <c r="P496" s="1"/>
    </row>
    <row r="497" spans="1:16" ht="21" hidden="1" customHeight="1">
      <c r="A497" s="10">
        <v>1</v>
      </c>
      <c r="B497" s="33" t="s">
        <v>2938</v>
      </c>
      <c r="C497" s="41" t="s">
        <v>93</v>
      </c>
      <c r="D497" s="41" t="s">
        <v>82</v>
      </c>
      <c r="E497" s="41" t="s">
        <v>3342</v>
      </c>
      <c r="F497" s="41" t="s">
        <v>84</v>
      </c>
      <c r="G497" s="41" t="s">
        <v>85</v>
      </c>
      <c r="H497" s="8" t="s">
        <v>33</v>
      </c>
      <c r="I497" s="70"/>
      <c r="J497" s="70"/>
      <c r="K497" s="70"/>
      <c r="L497" s="41" t="s">
        <v>55</v>
      </c>
      <c r="M497" s="41"/>
      <c r="N497" s="10" t="s">
        <v>3343</v>
      </c>
      <c r="O497" s="8"/>
      <c r="P497" s="1"/>
    </row>
    <row r="498" spans="1:16" ht="21" hidden="1" customHeight="1">
      <c r="A498" s="10">
        <v>1</v>
      </c>
      <c r="B498" s="33" t="s">
        <v>2938</v>
      </c>
      <c r="C498" s="41" t="s">
        <v>93</v>
      </c>
      <c r="D498" s="41" t="s">
        <v>3344</v>
      </c>
      <c r="E498" s="41" t="s">
        <v>536</v>
      </c>
      <c r="F498" s="41" t="s">
        <v>3345</v>
      </c>
      <c r="G498" s="41" t="s">
        <v>91</v>
      </c>
      <c r="H498" s="8" t="s">
        <v>67</v>
      </c>
      <c r="I498" s="70"/>
      <c r="J498" s="70"/>
      <c r="K498" s="70"/>
      <c r="L498" s="41" t="s">
        <v>34</v>
      </c>
      <c r="M498" s="41"/>
      <c r="N498" s="10" t="s">
        <v>3346</v>
      </c>
      <c r="O498" s="8"/>
      <c r="P498" s="1"/>
    </row>
    <row r="499" spans="1:16" ht="21" hidden="1" customHeight="1">
      <c r="A499" s="10">
        <v>1</v>
      </c>
      <c r="B499" s="33" t="s">
        <v>2938</v>
      </c>
      <c r="C499" s="41" t="s">
        <v>93</v>
      </c>
      <c r="D499" s="41" t="s">
        <v>3347</v>
      </c>
      <c r="E499" s="41" t="s">
        <v>705</v>
      </c>
      <c r="F499" s="41" t="s">
        <v>3348</v>
      </c>
      <c r="G499" s="41" t="s">
        <v>3349</v>
      </c>
      <c r="H499" s="8" t="s">
        <v>33</v>
      </c>
      <c r="I499" s="70"/>
      <c r="J499" s="70"/>
      <c r="K499" s="70"/>
      <c r="L499" s="41" t="s">
        <v>34</v>
      </c>
      <c r="M499" s="41"/>
      <c r="N499" s="10" t="s">
        <v>3350</v>
      </c>
      <c r="O499" s="8"/>
      <c r="P499" s="1"/>
    </row>
    <row r="500" spans="1:16" ht="21" hidden="1" customHeight="1">
      <c r="A500" s="10">
        <v>1</v>
      </c>
      <c r="B500" s="33" t="s">
        <v>2938</v>
      </c>
      <c r="C500" s="41" t="s">
        <v>93</v>
      </c>
      <c r="D500" s="41" t="s">
        <v>3351</v>
      </c>
      <c r="E500" s="41" t="s">
        <v>1146</v>
      </c>
      <c r="F500" s="41">
        <v>51993560456</v>
      </c>
      <c r="G500" s="41" t="s">
        <v>66</v>
      </c>
      <c r="H500" s="8" t="s">
        <v>67</v>
      </c>
      <c r="I500" s="70"/>
      <c r="J500" s="70"/>
      <c r="K500" s="70"/>
      <c r="L500" s="41" t="s">
        <v>55</v>
      </c>
      <c r="M500" s="41"/>
      <c r="N500" s="10" t="s">
        <v>2786</v>
      </c>
      <c r="O500" s="8"/>
      <c r="P500" s="1"/>
    </row>
    <row r="501" spans="1:16" ht="21" customHeight="1">
      <c r="A501" s="10">
        <v>1</v>
      </c>
      <c r="B501" s="33" t="s">
        <v>2938</v>
      </c>
      <c r="C501" s="41" t="s">
        <v>28</v>
      </c>
      <c r="D501" s="41" t="s">
        <v>3352</v>
      </c>
      <c r="E501" s="41" t="s">
        <v>2898</v>
      </c>
      <c r="F501" s="41" t="s">
        <v>3353</v>
      </c>
      <c r="G501" s="41" t="s">
        <v>66</v>
      </c>
      <c r="H501" s="8" t="s">
        <v>67</v>
      </c>
      <c r="I501" s="70" t="s">
        <v>2929</v>
      </c>
      <c r="J501" s="70"/>
      <c r="K501" s="70"/>
      <c r="L501" s="41" t="s">
        <v>34</v>
      </c>
      <c r="M501" s="41" t="s">
        <v>61</v>
      </c>
      <c r="N501" s="10" t="s">
        <v>3354</v>
      </c>
      <c r="O501" s="8"/>
      <c r="P501" s="1"/>
    </row>
    <row r="502" spans="1:16" ht="21" customHeight="1">
      <c r="A502" s="10">
        <v>1</v>
      </c>
      <c r="B502" s="33" t="s">
        <v>2938</v>
      </c>
      <c r="C502" s="41" t="s">
        <v>28</v>
      </c>
      <c r="D502" s="41" t="s">
        <v>3355</v>
      </c>
      <c r="E502" s="41" t="s">
        <v>1083</v>
      </c>
      <c r="F502" s="41">
        <v>51984901302</v>
      </c>
      <c r="G502" s="41" t="s">
        <v>85</v>
      </c>
      <c r="H502" s="8" t="s">
        <v>33</v>
      </c>
      <c r="I502" s="70" t="s">
        <v>105</v>
      </c>
      <c r="J502" s="70"/>
      <c r="K502" s="70"/>
      <c r="L502" s="41" t="s">
        <v>55</v>
      </c>
      <c r="M502" s="41" t="s">
        <v>35</v>
      </c>
      <c r="N502" s="10" t="s">
        <v>601</v>
      </c>
      <c r="O502" s="8"/>
      <c r="P502" s="1"/>
    </row>
    <row r="503" spans="1:16" ht="21" hidden="1" customHeight="1">
      <c r="A503" s="10">
        <v>1</v>
      </c>
      <c r="B503" s="33" t="s">
        <v>2938</v>
      </c>
      <c r="C503" s="41" t="s">
        <v>93</v>
      </c>
      <c r="D503" s="41" t="s">
        <v>3356</v>
      </c>
      <c r="E503" s="41" t="s">
        <v>39</v>
      </c>
      <c r="F503" s="41" t="s">
        <v>3357</v>
      </c>
      <c r="G503" s="41" t="s">
        <v>41</v>
      </c>
      <c r="H503" s="8" t="s">
        <v>33</v>
      </c>
      <c r="I503" s="70"/>
      <c r="J503" s="70"/>
      <c r="K503" s="70"/>
      <c r="L503" s="41" t="s">
        <v>49</v>
      </c>
      <c r="M503" s="41" t="s">
        <v>61</v>
      </c>
      <c r="N503" s="10" t="s">
        <v>3358</v>
      </c>
      <c r="O503" s="8"/>
      <c r="P503" s="1"/>
    </row>
    <row r="504" spans="1:16" ht="21" hidden="1" customHeight="1">
      <c r="A504" s="10">
        <v>1</v>
      </c>
      <c r="B504" s="33" t="s">
        <v>2938</v>
      </c>
      <c r="C504" s="41" t="s">
        <v>93</v>
      </c>
      <c r="D504" s="41" t="s">
        <v>3359</v>
      </c>
      <c r="E504" s="41" t="s">
        <v>39</v>
      </c>
      <c r="F504" s="41" t="s">
        <v>3357</v>
      </c>
      <c r="G504" s="41" t="s">
        <v>41</v>
      </c>
      <c r="H504" s="8" t="s">
        <v>33</v>
      </c>
      <c r="I504" s="70"/>
      <c r="J504" s="70"/>
      <c r="K504" s="70"/>
      <c r="L504" s="41" t="s">
        <v>49</v>
      </c>
      <c r="M504" s="41"/>
      <c r="N504" s="10" t="s">
        <v>3360</v>
      </c>
      <c r="O504" s="8"/>
      <c r="P504" s="1"/>
    </row>
    <row r="505" spans="1:16" ht="21" customHeight="1">
      <c r="A505" s="10">
        <v>1</v>
      </c>
      <c r="B505" s="33" t="s">
        <v>2938</v>
      </c>
      <c r="C505" s="41" t="s">
        <v>28</v>
      </c>
      <c r="D505" s="41" t="s">
        <v>3361</v>
      </c>
      <c r="E505" s="41" t="s">
        <v>136</v>
      </c>
      <c r="F505" s="41">
        <v>51981020108</v>
      </c>
      <c r="G505" s="41" t="s">
        <v>66</v>
      </c>
      <c r="H505" s="8" t="s">
        <v>67</v>
      </c>
      <c r="I505" s="70" t="s">
        <v>105</v>
      </c>
      <c r="J505" s="70"/>
      <c r="K505" s="70"/>
      <c r="L505" s="41" t="s">
        <v>55</v>
      </c>
      <c r="M505" s="41" t="s">
        <v>35</v>
      </c>
      <c r="N505" s="10" t="s">
        <v>3362</v>
      </c>
      <c r="O505" s="8"/>
      <c r="P505" s="1"/>
    </row>
    <row r="506" spans="1:16" ht="21" customHeight="1">
      <c r="A506" s="10">
        <v>1</v>
      </c>
      <c r="B506" s="33" t="s">
        <v>2938</v>
      </c>
      <c r="C506" s="41" t="s">
        <v>28</v>
      </c>
      <c r="D506" s="41" t="s">
        <v>3363</v>
      </c>
      <c r="E506" s="41" t="s">
        <v>122</v>
      </c>
      <c r="F506" s="41">
        <v>51981589996</v>
      </c>
      <c r="G506" s="41" t="s">
        <v>3364</v>
      </c>
      <c r="H506" s="8" t="s">
        <v>33</v>
      </c>
      <c r="I506" s="70" t="s">
        <v>124</v>
      </c>
      <c r="J506" s="70"/>
      <c r="K506" s="70"/>
      <c r="L506" s="41" t="s">
        <v>55</v>
      </c>
      <c r="M506" s="41" t="s">
        <v>56</v>
      </c>
      <c r="O506" s="8"/>
      <c r="P506" s="1"/>
    </row>
    <row r="507" spans="1:16" ht="21" customHeight="1">
      <c r="A507" s="10">
        <v>1</v>
      </c>
      <c r="B507" s="33" t="s">
        <v>2938</v>
      </c>
      <c r="C507" s="41" t="s">
        <v>28</v>
      </c>
      <c r="D507" s="41" t="s">
        <v>3365</v>
      </c>
      <c r="E507" s="41" t="s">
        <v>3366</v>
      </c>
      <c r="F507" s="41" t="s">
        <v>3367</v>
      </c>
      <c r="G507" s="41" t="s">
        <v>3368</v>
      </c>
      <c r="H507" s="8" t="s">
        <v>206</v>
      </c>
      <c r="I507" s="70"/>
      <c r="J507" s="70"/>
      <c r="K507" s="70"/>
      <c r="L507" s="41" t="s">
        <v>34</v>
      </c>
      <c r="M507" s="41" t="s">
        <v>56</v>
      </c>
      <c r="N507" s="10" t="s">
        <v>3369</v>
      </c>
      <c r="O507" s="8"/>
      <c r="P507" s="1"/>
    </row>
    <row r="508" spans="1:16" ht="21" customHeight="1">
      <c r="A508" s="10">
        <v>1</v>
      </c>
      <c r="B508" s="33" t="s">
        <v>2938</v>
      </c>
      <c r="C508" s="41" t="s">
        <v>28</v>
      </c>
      <c r="D508" s="41" t="s">
        <v>3370</v>
      </c>
      <c r="E508" s="41" t="s">
        <v>1182</v>
      </c>
      <c r="F508" s="41" t="s">
        <v>3371</v>
      </c>
      <c r="G508" s="41" t="s">
        <v>73</v>
      </c>
      <c r="H508" s="8" t="s">
        <v>33</v>
      </c>
      <c r="I508" s="70" t="s">
        <v>124</v>
      </c>
      <c r="J508" s="70"/>
      <c r="K508" s="70"/>
      <c r="L508" s="41" t="s">
        <v>49</v>
      </c>
      <c r="M508" s="41" t="s">
        <v>61</v>
      </c>
      <c r="N508" s="10" t="s">
        <v>3372</v>
      </c>
      <c r="O508" s="8"/>
      <c r="P508" s="1"/>
    </row>
    <row r="509" spans="1:16" ht="21" hidden="1" customHeight="1">
      <c r="A509" s="10">
        <v>1</v>
      </c>
      <c r="B509" s="33" t="s">
        <v>2938</v>
      </c>
      <c r="C509" s="41" t="s">
        <v>93</v>
      </c>
      <c r="D509" s="41" t="s">
        <v>3373</v>
      </c>
      <c r="E509" s="41" t="s">
        <v>161</v>
      </c>
      <c r="F509" s="41" t="s">
        <v>3374</v>
      </c>
      <c r="G509" s="41" t="s">
        <v>66</v>
      </c>
      <c r="H509" s="8" t="s">
        <v>67</v>
      </c>
      <c r="I509" s="70"/>
      <c r="J509" s="70"/>
      <c r="K509" s="70"/>
      <c r="L509" s="41" t="s">
        <v>49</v>
      </c>
      <c r="M509" s="41"/>
      <c r="N509" s="10" t="s">
        <v>3375</v>
      </c>
      <c r="O509" s="8"/>
      <c r="P509" s="1"/>
    </row>
    <row r="510" spans="1:16" ht="21" customHeight="1">
      <c r="A510" s="10">
        <v>1</v>
      </c>
      <c r="B510" s="33" t="s">
        <v>2938</v>
      </c>
      <c r="C510" s="41" t="s">
        <v>28</v>
      </c>
      <c r="D510" s="41" t="s">
        <v>3376</v>
      </c>
      <c r="E510" s="41" t="s">
        <v>136</v>
      </c>
      <c r="F510" s="41" t="s">
        <v>3377</v>
      </c>
      <c r="G510" s="41" t="s">
        <v>66</v>
      </c>
      <c r="H510" s="8" t="s">
        <v>67</v>
      </c>
      <c r="I510" s="70" t="s">
        <v>3227</v>
      </c>
      <c r="J510" s="70"/>
      <c r="K510" s="70"/>
      <c r="L510" s="41" t="s">
        <v>49</v>
      </c>
      <c r="M510" s="41" t="s">
        <v>128</v>
      </c>
      <c r="N510" s="10" t="s">
        <v>3378</v>
      </c>
      <c r="O510" s="8"/>
      <c r="P510" s="1"/>
    </row>
    <row r="511" spans="1:16" ht="21" hidden="1" customHeight="1">
      <c r="A511" s="10">
        <v>1</v>
      </c>
      <c r="B511" s="33" t="s">
        <v>2938</v>
      </c>
      <c r="C511" s="41" t="s">
        <v>93</v>
      </c>
      <c r="D511" s="41" t="s">
        <v>3379</v>
      </c>
      <c r="E511" s="41" t="s">
        <v>407</v>
      </c>
      <c r="F511" s="41" t="s">
        <v>3380</v>
      </c>
      <c r="G511" s="41" t="s">
        <v>66</v>
      </c>
      <c r="H511" s="8" t="s">
        <v>67</v>
      </c>
      <c r="I511" s="70"/>
      <c r="J511" s="70"/>
      <c r="K511" s="70"/>
      <c r="L511" s="41" t="s">
        <v>49</v>
      </c>
      <c r="M511" s="41"/>
      <c r="N511" s="10" t="s">
        <v>3381</v>
      </c>
      <c r="O511" s="8"/>
      <c r="P511" s="1"/>
    </row>
    <row r="512" spans="1:16" ht="21" customHeight="1">
      <c r="A512" s="10">
        <v>1</v>
      </c>
      <c r="B512" s="33" t="s">
        <v>2938</v>
      </c>
      <c r="C512" s="41" t="s">
        <v>28</v>
      </c>
      <c r="D512" s="41" t="s">
        <v>3382</v>
      </c>
      <c r="E512" s="41" t="s">
        <v>285</v>
      </c>
      <c r="F512" s="41" t="s">
        <v>3383</v>
      </c>
      <c r="G512" s="41" t="s">
        <v>66</v>
      </c>
      <c r="H512" s="8" t="s">
        <v>67</v>
      </c>
      <c r="I512" s="70" t="s">
        <v>3227</v>
      </c>
      <c r="J512" s="70"/>
      <c r="K512" s="70"/>
      <c r="L512" s="41" t="s">
        <v>49</v>
      </c>
      <c r="M512" s="41" t="s">
        <v>61</v>
      </c>
      <c r="N512" s="10" t="s">
        <v>3384</v>
      </c>
      <c r="O512" s="8"/>
      <c r="P512" s="1"/>
    </row>
    <row r="513" spans="1:16" ht="21" hidden="1" customHeight="1">
      <c r="A513" s="10">
        <v>1</v>
      </c>
      <c r="B513" s="33" t="s">
        <v>2938</v>
      </c>
      <c r="C513" s="41" t="s">
        <v>93</v>
      </c>
      <c r="D513" s="41" t="s">
        <v>3385</v>
      </c>
      <c r="E513" s="41" t="s">
        <v>1438</v>
      </c>
      <c r="F513" s="41" t="s">
        <v>3386</v>
      </c>
      <c r="G513" s="41" t="s">
        <v>66</v>
      </c>
      <c r="H513" s="8" t="s">
        <v>67</v>
      </c>
      <c r="I513" s="70"/>
      <c r="J513" s="70"/>
      <c r="K513" s="70"/>
      <c r="L513" s="41" t="s">
        <v>34</v>
      </c>
      <c r="M513" s="41"/>
      <c r="N513" s="10" t="s">
        <v>3387</v>
      </c>
      <c r="O513" s="8"/>
      <c r="P513" s="1"/>
    </row>
    <row r="514" spans="1:16" ht="21" hidden="1" customHeight="1">
      <c r="A514" s="10">
        <v>1</v>
      </c>
      <c r="B514" s="33" t="s">
        <v>2938</v>
      </c>
      <c r="C514" s="41" t="s">
        <v>93</v>
      </c>
      <c r="D514" s="41" t="s">
        <v>770</v>
      </c>
      <c r="E514" s="41" t="s">
        <v>1563</v>
      </c>
      <c r="F514" s="41" t="s">
        <v>3388</v>
      </c>
      <c r="G514" s="41" t="s">
        <v>66</v>
      </c>
      <c r="H514" s="8" t="s">
        <v>67</v>
      </c>
      <c r="I514" s="70"/>
      <c r="J514" s="70"/>
      <c r="K514" s="70"/>
      <c r="L514" s="41" t="s">
        <v>34</v>
      </c>
      <c r="M514" s="41"/>
      <c r="N514" s="10" t="s">
        <v>3389</v>
      </c>
      <c r="O514" s="8"/>
      <c r="P514" s="1"/>
    </row>
    <row r="515" spans="1:16" ht="21" hidden="1" customHeight="1">
      <c r="A515" s="10">
        <v>1</v>
      </c>
      <c r="B515" s="33" t="s">
        <v>2929</v>
      </c>
      <c r="C515" s="41" t="s">
        <v>93</v>
      </c>
      <c r="D515" s="41" t="s">
        <v>3390</v>
      </c>
      <c r="E515" s="41" t="s">
        <v>1083</v>
      </c>
      <c r="F515" s="41">
        <v>51996934477</v>
      </c>
      <c r="G515" s="41" t="s">
        <v>53</v>
      </c>
      <c r="H515" s="8" t="s">
        <v>33</v>
      </c>
      <c r="I515" s="70"/>
      <c r="J515" s="70"/>
      <c r="K515" s="70"/>
      <c r="L515" s="41" t="s">
        <v>55</v>
      </c>
      <c r="M515" s="41"/>
      <c r="N515" s="10" t="s">
        <v>974</v>
      </c>
      <c r="O515" s="8"/>
      <c r="P515" s="1"/>
    </row>
    <row r="516" spans="1:16" ht="21" customHeight="1">
      <c r="A516" s="10">
        <v>1</v>
      </c>
      <c r="B516" s="33" t="s">
        <v>2929</v>
      </c>
      <c r="C516" s="41" t="s">
        <v>28</v>
      </c>
      <c r="D516" s="41" t="s">
        <v>3391</v>
      </c>
      <c r="E516" s="41" t="s">
        <v>3392</v>
      </c>
      <c r="F516" s="41">
        <v>51998707207</v>
      </c>
      <c r="G516" s="41" t="s">
        <v>85</v>
      </c>
      <c r="H516" s="8" t="s">
        <v>33</v>
      </c>
      <c r="I516" s="70" t="s">
        <v>105</v>
      </c>
      <c r="J516" s="70"/>
      <c r="K516" s="70"/>
      <c r="L516" s="41" t="s">
        <v>55</v>
      </c>
      <c r="M516" s="41" t="s">
        <v>56</v>
      </c>
      <c r="N516" s="10" t="s">
        <v>3393</v>
      </c>
      <c r="O516" s="8"/>
      <c r="P516" s="1"/>
    </row>
    <row r="517" spans="1:16" ht="21" hidden="1" customHeight="1">
      <c r="A517" s="10">
        <v>1</v>
      </c>
      <c r="B517" s="33" t="s">
        <v>2929</v>
      </c>
      <c r="C517" s="41" t="s">
        <v>93</v>
      </c>
      <c r="D517" s="41" t="s">
        <v>3394</v>
      </c>
      <c r="E517" s="41" t="s">
        <v>182</v>
      </c>
      <c r="F517" s="41">
        <v>51984476186</v>
      </c>
      <c r="G517" s="41" t="s">
        <v>66</v>
      </c>
      <c r="H517" s="8" t="s">
        <v>67</v>
      </c>
      <c r="I517" s="70"/>
      <c r="J517" s="70"/>
      <c r="K517" s="70"/>
      <c r="L517" s="41" t="s">
        <v>55</v>
      </c>
      <c r="M517" s="41"/>
      <c r="N517" s="10" t="s">
        <v>3395</v>
      </c>
      <c r="O517" s="8"/>
      <c r="P517" s="1"/>
    </row>
    <row r="518" spans="1:16" ht="21" hidden="1" customHeight="1">
      <c r="A518" s="10">
        <v>1</v>
      </c>
      <c r="B518" s="33" t="s">
        <v>2929</v>
      </c>
      <c r="C518" s="41" t="s">
        <v>93</v>
      </c>
      <c r="D518" s="41" t="s">
        <v>3396</v>
      </c>
      <c r="E518" s="41" t="s">
        <v>3397</v>
      </c>
      <c r="F518" s="41">
        <v>51980389663</v>
      </c>
      <c r="G518" s="41" t="s">
        <v>91</v>
      </c>
      <c r="H518" s="8" t="s">
        <v>67</v>
      </c>
      <c r="I518" s="70"/>
      <c r="J518" s="70"/>
      <c r="K518" s="70"/>
      <c r="L518" s="41" t="s">
        <v>55</v>
      </c>
      <c r="M518" s="41"/>
      <c r="N518" s="10" t="s">
        <v>102</v>
      </c>
      <c r="O518" s="8"/>
      <c r="P518" s="1"/>
    </row>
    <row r="519" spans="1:16" ht="21" customHeight="1">
      <c r="A519" s="10">
        <v>1</v>
      </c>
      <c r="B519" s="33" t="s">
        <v>2929</v>
      </c>
      <c r="C519" s="41" t="s">
        <v>28</v>
      </c>
      <c r="D519" s="41" t="s">
        <v>3398</v>
      </c>
      <c r="E519" s="41" t="s">
        <v>597</v>
      </c>
      <c r="F519" s="41">
        <v>11986197412</v>
      </c>
      <c r="G519" s="41" t="s">
        <v>91</v>
      </c>
      <c r="H519" s="8" t="s">
        <v>67</v>
      </c>
      <c r="I519" s="70"/>
      <c r="J519" s="70"/>
      <c r="K519" s="70"/>
      <c r="L519" s="41" t="s">
        <v>55</v>
      </c>
      <c r="M519" s="41" t="s">
        <v>128</v>
      </c>
      <c r="N519" s="10" t="s">
        <v>3399</v>
      </c>
      <c r="O519" s="8"/>
      <c r="P519" s="1"/>
    </row>
    <row r="520" spans="1:16" ht="21" hidden="1" customHeight="1">
      <c r="A520" s="10">
        <v>1</v>
      </c>
      <c r="B520" s="33" t="s">
        <v>2929</v>
      </c>
      <c r="C520" s="41" t="s">
        <v>93</v>
      </c>
      <c r="D520" s="41" t="s">
        <v>3400</v>
      </c>
      <c r="E520" s="41" t="s">
        <v>39</v>
      </c>
      <c r="F520" s="41" t="s">
        <v>3401</v>
      </c>
      <c r="G520" s="41" t="s">
        <v>41</v>
      </c>
      <c r="H520" s="8" t="s">
        <v>33</v>
      </c>
      <c r="I520" s="70"/>
      <c r="J520" s="70"/>
      <c r="K520" s="70"/>
      <c r="L520" s="41" t="s">
        <v>49</v>
      </c>
      <c r="M520" s="41"/>
      <c r="N520" s="10" t="s">
        <v>3402</v>
      </c>
      <c r="O520" s="8"/>
      <c r="P520" s="1"/>
    </row>
    <row r="521" spans="1:16" ht="21" customHeight="1">
      <c r="A521" s="10">
        <v>1</v>
      </c>
      <c r="B521" s="33" t="s">
        <v>2929</v>
      </c>
      <c r="C521" s="41" t="s">
        <v>28</v>
      </c>
      <c r="D521" s="41" t="s">
        <v>3403</v>
      </c>
      <c r="E521" s="41" t="s">
        <v>407</v>
      </c>
      <c r="F521" s="41" t="s">
        <v>3404</v>
      </c>
      <c r="G521" s="41" t="s">
        <v>66</v>
      </c>
      <c r="H521" s="8" t="s">
        <v>67</v>
      </c>
      <c r="I521" s="70" t="s">
        <v>3227</v>
      </c>
      <c r="J521" s="70"/>
      <c r="K521" s="70"/>
      <c r="L521" s="41" t="s">
        <v>49</v>
      </c>
      <c r="M521" s="41" t="s">
        <v>80</v>
      </c>
      <c r="N521" s="10" t="s">
        <v>3405</v>
      </c>
      <c r="O521" s="8"/>
      <c r="P521" s="1"/>
    </row>
    <row r="522" spans="1:16" ht="21" hidden="1" customHeight="1">
      <c r="A522" s="10">
        <v>1</v>
      </c>
      <c r="B522" s="33" t="s">
        <v>2929</v>
      </c>
      <c r="C522" s="41" t="s">
        <v>93</v>
      </c>
      <c r="D522" s="41" t="s">
        <v>3406</v>
      </c>
      <c r="E522" s="41" t="s">
        <v>2769</v>
      </c>
      <c r="F522" s="41">
        <v>51998838394</v>
      </c>
      <c r="G522" s="41" t="s">
        <v>85</v>
      </c>
      <c r="H522" s="8" t="s">
        <v>33</v>
      </c>
      <c r="I522" s="70"/>
      <c r="J522" s="70"/>
      <c r="K522" s="70"/>
      <c r="L522" s="41" t="s">
        <v>55</v>
      </c>
      <c r="M522" s="41"/>
      <c r="N522" s="10" t="s">
        <v>3407</v>
      </c>
      <c r="O522" s="8"/>
      <c r="P522" s="1"/>
    </row>
    <row r="523" spans="1:16" ht="21" hidden="1" customHeight="1">
      <c r="A523" s="10">
        <v>1</v>
      </c>
      <c r="B523" s="33" t="s">
        <v>2929</v>
      </c>
      <c r="C523" s="41" t="s">
        <v>93</v>
      </c>
      <c r="D523" s="41" t="s">
        <v>3408</v>
      </c>
      <c r="E523" s="41" t="s">
        <v>1415</v>
      </c>
      <c r="F523" s="41">
        <v>51995152012</v>
      </c>
      <c r="G523" s="41" t="s">
        <v>66</v>
      </c>
      <c r="H523" s="8" t="s">
        <v>67</v>
      </c>
      <c r="I523" s="70"/>
      <c r="J523" s="70"/>
      <c r="K523" s="70"/>
      <c r="L523" s="41" t="s">
        <v>55</v>
      </c>
      <c r="M523" s="41"/>
      <c r="N523" s="10" t="s">
        <v>3409</v>
      </c>
      <c r="O523" s="8"/>
      <c r="P523" s="1"/>
    </row>
    <row r="524" spans="1:16" ht="21" customHeight="1">
      <c r="A524" s="10">
        <v>1</v>
      </c>
      <c r="B524" s="33" t="s">
        <v>2929</v>
      </c>
      <c r="C524" s="41" t="s">
        <v>28</v>
      </c>
      <c r="D524" s="41" t="s">
        <v>3410</v>
      </c>
      <c r="E524" s="41" t="s">
        <v>3411</v>
      </c>
      <c r="F524" s="41" t="s">
        <v>3412</v>
      </c>
      <c r="G524" s="41" t="s">
        <v>32</v>
      </c>
      <c r="H524" s="8" t="s">
        <v>33</v>
      </c>
      <c r="I524" s="70" t="s">
        <v>3413</v>
      </c>
      <c r="J524" s="70"/>
      <c r="K524" s="70"/>
      <c r="L524" s="41" t="s">
        <v>49</v>
      </c>
      <c r="M524" s="41" t="s">
        <v>80</v>
      </c>
      <c r="N524" s="10" t="s">
        <v>3414</v>
      </c>
      <c r="O524" s="8"/>
      <c r="P524" s="1"/>
    </row>
    <row r="525" spans="1:16" ht="21" customHeight="1">
      <c r="A525" s="10">
        <v>1</v>
      </c>
      <c r="B525" s="33" t="s">
        <v>2929</v>
      </c>
      <c r="C525" s="41" t="s">
        <v>28</v>
      </c>
      <c r="D525" s="41" t="s">
        <v>3415</v>
      </c>
      <c r="E525" s="41" t="s">
        <v>260</v>
      </c>
      <c r="F525" s="41">
        <v>51986864665</v>
      </c>
      <c r="G525" s="41" t="s">
        <v>32</v>
      </c>
      <c r="H525" s="8" t="s">
        <v>33</v>
      </c>
      <c r="I525" s="70" t="s">
        <v>3416</v>
      </c>
      <c r="J525" s="70"/>
      <c r="K525" s="70"/>
      <c r="L525" s="41" t="s">
        <v>55</v>
      </c>
      <c r="M525" s="41" t="s">
        <v>56</v>
      </c>
      <c r="N525" s="10" t="s">
        <v>3417</v>
      </c>
      <c r="O525" s="8"/>
      <c r="P525" s="1"/>
    </row>
    <row r="526" spans="1:16" ht="21" customHeight="1">
      <c r="A526" s="10">
        <v>1</v>
      </c>
      <c r="B526" s="33" t="s">
        <v>2929</v>
      </c>
      <c r="C526" s="41" t="s">
        <v>28</v>
      </c>
      <c r="D526" s="41" t="s">
        <v>3418</v>
      </c>
      <c r="E526" s="41" t="s">
        <v>145</v>
      </c>
      <c r="F526" s="41">
        <v>51985501535</v>
      </c>
      <c r="G526" s="41" t="s">
        <v>238</v>
      </c>
      <c r="H526" s="8" t="s">
        <v>47</v>
      </c>
      <c r="I526" s="70"/>
      <c r="J526" s="70"/>
      <c r="K526" s="70"/>
      <c r="L526" s="41" t="s">
        <v>55</v>
      </c>
      <c r="M526" s="41" t="s">
        <v>56</v>
      </c>
      <c r="N526" s="10" t="s">
        <v>3419</v>
      </c>
      <c r="O526" s="8"/>
      <c r="P526" s="1"/>
    </row>
    <row r="527" spans="1:16" ht="21" hidden="1" customHeight="1">
      <c r="A527" s="10">
        <v>1</v>
      </c>
      <c r="B527" s="33" t="s">
        <v>2929</v>
      </c>
      <c r="C527" s="41" t="s">
        <v>93</v>
      </c>
      <c r="D527" s="41" t="s">
        <v>3420</v>
      </c>
      <c r="E527" s="41" t="s">
        <v>253</v>
      </c>
      <c r="F527" s="41" t="s">
        <v>3421</v>
      </c>
      <c r="G527" s="41" t="s">
        <v>91</v>
      </c>
      <c r="H527" s="8" t="s">
        <v>67</v>
      </c>
      <c r="I527" s="70"/>
      <c r="J527" s="70"/>
      <c r="K527" s="70"/>
      <c r="L527" s="41" t="s">
        <v>34</v>
      </c>
      <c r="M527" s="41"/>
      <c r="N527" s="10" t="s">
        <v>3422</v>
      </c>
      <c r="O527" s="8"/>
      <c r="P527" s="1"/>
    </row>
    <row r="528" spans="1:16" ht="21" customHeight="1">
      <c r="A528" s="10">
        <v>1</v>
      </c>
      <c r="B528" s="33" t="s">
        <v>2929</v>
      </c>
      <c r="C528" s="41" t="s">
        <v>28</v>
      </c>
      <c r="D528" s="41" t="s">
        <v>3423</v>
      </c>
      <c r="E528" s="41" t="s">
        <v>615</v>
      </c>
      <c r="F528" s="41" t="s">
        <v>3424</v>
      </c>
      <c r="G528" s="41" t="s">
        <v>66</v>
      </c>
      <c r="H528" s="8" t="s">
        <v>67</v>
      </c>
      <c r="I528" s="70" t="s">
        <v>110</v>
      </c>
      <c r="J528" s="70"/>
      <c r="K528" s="70"/>
      <c r="L528" s="41" t="s">
        <v>49</v>
      </c>
      <c r="M528" s="41" t="s">
        <v>80</v>
      </c>
      <c r="N528" s="10" t="s">
        <v>3425</v>
      </c>
      <c r="O528" s="8"/>
      <c r="P528" s="1"/>
    </row>
    <row r="529" spans="1:16" ht="21" customHeight="1">
      <c r="A529" s="10">
        <v>1</v>
      </c>
      <c r="B529" s="33" t="s">
        <v>2929</v>
      </c>
      <c r="C529" s="41" t="s">
        <v>28</v>
      </c>
      <c r="D529" s="41" t="s">
        <v>3279</v>
      </c>
      <c r="E529" s="41" t="s">
        <v>661</v>
      </c>
      <c r="F529" s="41" t="s">
        <v>3426</v>
      </c>
      <c r="G529" s="41" t="s">
        <v>85</v>
      </c>
      <c r="H529" s="8" t="s">
        <v>33</v>
      </c>
      <c r="I529" s="70" t="s">
        <v>105</v>
      </c>
      <c r="J529" s="70"/>
      <c r="K529" s="70"/>
      <c r="L529" s="41" t="s">
        <v>49</v>
      </c>
      <c r="M529" s="41" t="s">
        <v>80</v>
      </c>
      <c r="N529" s="10" t="s">
        <v>3427</v>
      </c>
      <c r="O529" s="8"/>
      <c r="P529" s="1"/>
    </row>
    <row r="530" spans="1:16" ht="21" hidden="1" customHeight="1">
      <c r="A530" s="10">
        <v>1</v>
      </c>
      <c r="B530" s="33" t="s">
        <v>2929</v>
      </c>
      <c r="C530" s="41" t="s">
        <v>93</v>
      </c>
      <c r="D530" s="41" t="s">
        <v>88</v>
      </c>
      <c r="E530" s="41" t="s">
        <v>89</v>
      </c>
      <c r="F530" s="41" t="s">
        <v>90</v>
      </c>
      <c r="G530" s="41" t="s">
        <v>91</v>
      </c>
      <c r="H530" s="8" t="s">
        <v>67</v>
      </c>
      <c r="I530" s="70"/>
      <c r="J530" s="70"/>
      <c r="K530" s="70"/>
      <c r="L530" s="41" t="s">
        <v>49</v>
      </c>
      <c r="M530" s="41"/>
      <c r="N530" s="10" t="s">
        <v>3428</v>
      </c>
      <c r="O530" s="8"/>
      <c r="P530" s="1"/>
    </row>
    <row r="531" spans="1:16" ht="21" customHeight="1">
      <c r="A531" s="10">
        <v>1</v>
      </c>
      <c r="B531" s="33" t="s">
        <v>2929</v>
      </c>
      <c r="C531" s="41" t="s">
        <v>28</v>
      </c>
      <c r="D531" s="41" t="s">
        <v>3429</v>
      </c>
      <c r="E531" s="41" t="s">
        <v>285</v>
      </c>
      <c r="F531" s="41">
        <v>51986864665</v>
      </c>
      <c r="G531" s="41" t="s">
        <v>66</v>
      </c>
      <c r="H531" s="8" t="s">
        <v>67</v>
      </c>
      <c r="I531" s="70" t="s">
        <v>3227</v>
      </c>
      <c r="J531" s="70"/>
      <c r="K531" s="70"/>
      <c r="L531" s="41" t="s">
        <v>55</v>
      </c>
      <c r="M531" s="41" t="s">
        <v>61</v>
      </c>
      <c r="N531" s="10" t="s">
        <v>367</v>
      </c>
      <c r="O531" s="8"/>
      <c r="P531" s="1"/>
    </row>
    <row r="532" spans="1:16" ht="21" hidden="1" customHeight="1">
      <c r="A532" s="10">
        <v>1</v>
      </c>
      <c r="B532" s="33" t="s">
        <v>2929</v>
      </c>
      <c r="C532" s="41" t="s">
        <v>93</v>
      </c>
      <c r="D532" s="41" t="s">
        <v>3430</v>
      </c>
      <c r="E532" s="41" t="s">
        <v>145</v>
      </c>
      <c r="F532" s="41" t="s">
        <v>3431</v>
      </c>
      <c r="G532" s="41" t="s">
        <v>85</v>
      </c>
      <c r="H532" s="8" t="s">
        <v>33</v>
      </c>
      <c r="I532" s="70"/>
      <c r="J532" s="70"/>
      <c r="K532" s="70"/>
      <c r="L532" s="41" t="s">
        <v>34</v>
      </c>
      <c r="M532" s="41"/>
      <c r="N532" s="10" t="s">
        <v>3432</v>
      </c>
      <c r="O532" s="8"/>
      <c r="P532" s="1"/>
    </row>
    <row r="533" spans="1:16" ht="21" customHeight="1">
      <c r="A533" s="10">
        <v>1</v>
      </c>
      <c r="B533" s="33" t="s">
        <v>2929</v>
      </c>
      <c r="C533" s="41" t="s">
        <v>28</v>
      </c>
      <c r="D533" s="41" t="s">
        <v>3433</v>
      </c>
      <c r="E533" s="41" t="s">
        <v>3434</v>
      </c>
      <c r="F533" s="41" t="s">
        <v>3435</v>
      </c>
      <c r="G533" s="41" t="s">
        <v>85</v>
      </c>
      <c r="H533" s="8" t="s">
        <v>33</v>
      </c>
      <c r="I533" s="70"/>
      <c r="J533" s="70"/>
      <c r="K533" s="70"/>
      <c r="L533" s="41" t="s">
        <v>34</v>
      </c>
      <c r="M533" s="41" t="s">
        <v>61</v>
      </c>
      <c r="N533" s="10" t="s">
        <v>3436</v>
      </c>
      <c r="O533" s="8"/>
      <c r="P533" s="1"/>
    </row>
    <row r="534" spans="1:16" ht="21" hidden="1" customHeight="1">
      <c r="A534" s="10">
        <v>1</v>
      </c>
      <c r="B534" s="33" t="s">
        <v>2929</v>
      </c>
      <c r="C534" s="41" t="s">
        <v>93</v>
      </c>
      <c r="D534" s="41" t="s">
        <v>308</v>
      </c>
      <c r="E534" s="41" t="s">
        <v>3437</v>
      </c>
      <c r="F534" s="41" t="s">
        <v>3438</v>
      </c>
      <c r="G534" s="41" t="s">
        <v>79</v>
      </c>
      <c r="H534" s="8" t="s">
        <v>47</v>
      </c>
      <c r="I534" s="70"/>
      <c r="J534" s="70"/>
      <c r="K534" s="70"/>
      <c r="L534" s="41" t="s">
        <v>49</v>
      </c>
      <c r="M534" s="41"/>
      <c r="N534" s="10" t="s">
        <v>3439</v>
      </c>
      <c r="O534" s="8"/>
      <c r="P534" s="1"/>
    </row>
    <row r="535" spans="1:16" ht="21" customHeight="1">
      <c r="A535" s="10">
        <v>1</v>
      </c>
      <c r="B535" s="33" t="s">
        <v>2929</v>
      </c>
      <c r="C535" s="41" t="s">
        <v>28</v>
      </c>
      <c r="D535" s="41" t="s">
        <v>3440</v>
      </c>
      <c r="E535" s="41" t="s">
        <v>1710</v>
      </c>
      <c r="F535" s="41">
        <v>51997296451</v>
      </c>
      <c r="G535" s="41" t="s">
        <v>85</v>
      </c>
      <c r="H535" s="8" t="s">
        <v>33</v>
      </c>
      <c r="I535" s="70" t="s">
        <v>54</v>
      </c>
      <c r="J535" s="70"/>
      <c r="K535" s="70"/>
      <c r="L535" s="41" t="s">
        <v>55</v>
      </c>
      <c r="M535" s="41" t="s">
        <v>61</v>
      </c>
      <c r="N535" s="10" t="s">
        <v>2041</v>
      </c>
      <c r="O535" s="8"/>
      <c r="P535" s="1"/>
    </row>
    <row r="536" spans="1:16" ht="21" customHeight="1">
      <c r="A536" s="10">
        <v>1</v>
      </c>
      <c r="B536" s="33" t="s">
        <v>2929</v>
      </c>
      <c r="C536" s="41" t="s">
        <v>28</v>
      </c>
      <c r="D536" s="41" t="s">
        <v>3441</v>
      </c>
      <c r="E536" s="41" t="s">
        <v>2316</v>
      </c>
      <c r="F536" s="41" t="s">
        <v>3442</v>
      </c>
      <c r="G536" s="41" t="s">
        <v>283</v>
      </c>
      <c r="H536" s="8" t="s">
        <v>47</v>
      </c>
      <c r="I536" s="70" t="s">
        <v>27</v>
      </c>
      <c r="J536" s="70"/>
      <c r="K536" s="70"/>
      <c r="L536" s="41" t="s">
        <v>49</v>
      </c>
      <c r="M536" s="41" t="s">
        <v>128</v>
      </c>
      <c r="N536" s="10" t="s">
        <v>3443</v>
      </c>
      <c r="O536" s="8"/>
      <c r="P536" s="1"/>
    </row>
    <row r="537" spans="1:16" ht="21" hidden="1" customHeight="1">
      <c r="A537" s="10">
        <v>1</v>
      </c>
      <c r="B537" s="33" t="s">
        <v>2929</v>
      </c>
      <c r="C537" s="41" t="s">
        <v>93</v>
      </c>
      <c r="D537" s="41" t="s">
        <v>3444</v>
      </c>
      <c r="E537" s="41" t="s">
        <v>400</v>
      </c>
      <c r="F537" s="41" t="s">
        <v>1399</v>
      </c>
      <c r="G537" s="41" t="s">
        <v>79</v>
      </c>
      <c r="H537" s="8" t="s">
        <v>47</v>
      </c>
      <c r="I537" s="70"/>
      <c r="J537" s="70"/>
      <c r="K537" s="70"/>
      <c r="L537" s="41" t="s">
        <v>49</v>
      </c>
      <c r="M537" s="41"/>
      <c r="N537" s="10" t="s">
        <v>3445</v>
      </c>
      <c r="O537" s="8"/>
      <c r="P537" s="1"/>
    </row>
    <row r="538" spans="1:16" ht="21" customHeight="1">
      <c r="A538" s="10">
        <v>1</v>
      </c>
      <c r="B538" s="33" t="s">
        <v>2929</v>
      </c>
      <c r="C538" s="41" t="s">
        <v>28</v>
      </c>
      <c r="D538" s="41" t="s">
        <v>3446</v>
      </c>
      <c r="E538" s="41" t="s">
        <v>1250</v>
      </c>
      <c r="F538" s="41" t="s">
        <v>3447</v>
      </c>
      <c r="G538" s="41" t="s">
        <v>41</v>
      </c>
      <c r="H538" s="8" t="s">
        <v>33</v>
      </c>
      <c r="I538" s="70" t="s">
        <v>60</v>
      </c>
      <c r="J538" s="70"/>
      <c r="K538" s="70"/>
      <c r="L538" s="41" t="s">
        <v>49</v>
      </c>
      <c r="M538" s="41" t="s">
        <v>133</v>
      </c>
      <c r="N538" s="10" t="s">
        <v>3448</v>
      </c>
      <c r="O538" s="8"/>
      <c r="P538" s="1"/>
    </row>
    <row r="539" spans="1:16" ht="21" customHeight="1">
      <c r="A539" s="10">
        <v>1</v>
      </c>
      <c r="B539" s="33" t="s">
        <v>2929</v>
      </c>
      <c r="C539" s="41" t="s">
        <v>28</v>
      </c>
      <c r="D539" s="41" t="s">
        <v>3449</v>
      </c>
      <c r="E539" s="41" t="s">
        <v>1250</v>
      </c>
      <c r="F539" s="41" t="s">
        <v>3447</v>
      </c>
      <c r="G539" s="41" t="s">
        <v>41</v>
      </c>
      <c r="H539" s="8" t="s">
        <v>33</v>
      </c>
      <c r="I539" s="70" t="s">
        <v>60</v>
      </c>
      <c r="J539" s="70"/>
      <c r="K539" s="70"/>
      <c r="L539" s="41" t="s">
        <v>49</v>
      </c>
      <c r="M539" s="41" t="s">
        <v>133</v>
      </c>
      <c r="N539" s="10" t="s">
        <v>3448</v>
      </c>
      <c r="O539" s="8"/>
      <c r="P539" s="1"/>
    </row>
    <row r="540" spans="1:16" ht="21" hidden="1" customHeight="1">
      <c r="A540" s="10">
        <v>1</v>
      </c>
      <c r="B540" s="33" t="s">
        <v>2929</v>
      </c>
      <c r="C540" s="41" t="s">
        <v>93</v>
      </c>
      <c r="D540" s="41" t="s">
        <v>3450</v>
      </c>
      <c r="E540" s="41" t="s">
        <v>1134</v>
      </c>
      <c r="F540" s="41" t="s">
        <v>3451</v>
      </c>
      <c r="G540" s="41" t="s">
        <v>41</v>
      </c>
      <c r="H540" s="8" t="s">
        <v>33</v>
      </c>
      <c r="I540" s="70"/>
      <c r="J540" s="70"/>
      <c r="K540" s="70"/>
      <c r="L540" s="41" t="s">
        <v>49</v>
      </c>
      <c r="M540" s="41"/>
      <c r="N540" s="10" t="s">
        <v>3452</v>
      </c>
      <c r="O540" s="8"/>
      <c r="P540" s="1"/>
    </row>
    <row r="541" spans="1:16" ht="21" hidden="1" customHeight="1">
      <c r="A541" s="10">
        <v>1</v>
      </c>
      <c r="B541" s="33" t="s">
        <v>2929</v>
      </c>
      <c r="C541" s="41" t="s">
        <v>93</v>
      </c>
      <c r="D541" s="41" t="s">
        <v>3453</v>
      </c>
      <c r="E541" s="41" t="s">
        <v>39</v>
      </c>
      <c r="F541" s="41" t="s">
        <v>3454</v>
      </c>
      <c r="G541" s="41" t="s">
        <v>41</v>
      </c>
      <c r="H541" s="8" t="s">
        <v>33</v>
      </c>
      <c r="I541" s="70"/>
      <c r="J541" s="70"/>
      <c r="K541" s="70"/>
      <c r="L541" s="41" t="s">
        <v>49</v>
      </c>
      <c r="M541" s="41"/>
      <c r="N541" s="10" t="s">
        <v>3455</v>
      </c>
      <c r="O541" s="8"/>
      <c r="P541" s="1"/>
    </row>
    <row r="542" spans="1:16" ht="21" customHeight="1">
      <c r="A542" s="10">
        <v>1</v>
      </c>
      <c r="B542" s="33" t="s">
        <v>2929</v>
      </c>
      <c r="C542" s="41" t="s">
        <v>28</v>
      </c>
      <c r="D542" s="41" t="s">
        <v>3456</v>
      </c>
      <c r="E542" s="41" t="s">
        <v>438</v>
      </c>
      <c r="F542" s="41" t="s">
        <v>3457</v>
      </c>
      <c r="G542" s="41" t="s">
        <v>91</v>
      </c>
      <c r="H542" s="8" t="s">
        <v>67</v>
      </c>
      <c r="I542" s="70" t="s">
        <v>3227</v>
      </c>
      <c r="J542" s="70"/>
      <c r="K542" s="70"/>
      <c r="L542" s="41" t="s">
        <v>49</v>
      </c>
      <c r="M542" s="41" t="s">
        <v>133</v>
      </c>
      <c r="N542" s="10" t="s">
        <v>3458</v>
      </c>
      <c r="O542" s="8"/>
      <c r="P542" s="1"/>
    </row>
    <row r="543" spans="1:16" ht="21" hidden="1" customHeight="1">
      <c r="A543" s="10">
        <v>1</v>
      </c>
      <c r="B543" s="33" t="s">
        <v>3212</v>
      </c>
      <c r="C543" s="41" t="s">
        <v>93</v>
      </c>
      <c r="D543" s="56" t="s">
        <v>3459</v>
      </c>
      <c r="E543" s="41" t="s">
        <v>79</v>
      </c>
      <c r="F543" s="41">
        <v>51996008752</v>
      </c>
      <c r="G543" s="41" t="s">
        <v>79</v>
      </c>
      <c r="H543" s="8" t="s">
        <v>47</v>
      </c>
      <c r="I543" s="70"/>
      <c r="J543" s="70"/>
      <c r="K543" s="70"/>
      <c r="L543" s="41" t="s">
        <v>55</v>
      </c>
      <c r="M543" s="41"/>
      <c r="N543" s="10" t="s">
        <v>3460</v>
      </c>
      <c r="O543" s="8"/>
      <c r="P543" s="1"/>
    </row>
    <row r="544" spans="1:16" ht="21" hidden="1" customHeight="1">
      <c r="A544" s="10">
        <v>1</v>
      </c>
      <c r="B544" s="33" t="s">
        <v>3212</v>
      </c>
      <c r="C544" s="41" t="s">
        <v>93</v>
      </c>
      <c r="D544" s="41" t="s">
        <v>3461</v>
      </c>
      <c r="E544" s="41" t="s">
        <v>619</v>
      </c>
      <c r="F544" s="41" t="s">
        <v>3462</v>
      </c>
      <c r="G544" s="41" t="s">
        <v>66</v>
      </c>
      <c r="H544" s="8" t="s">
        <v>67</v>
      </c>
      <c r="I544" s="70"/>
      <c r="J544" s="70"/>
      <c r="K544" s="70"/>
      <c r="L544" s="41" t="s">
        <v>49</v>
      </c>
      <c r="M544" s="41"/>
      <c r="N544" s="10" t="s">
        <v>3463</v>
      </c>
      <c r="O544" s="8"/>
      <c r="P544" s="1"/>
    </row>
    <row r="545" spans="1:16" ht="21" customHeight="1">
      <c r="A545" s="10">
        <v>1</v>
      </c>
      <c r="B545" s="33" t="s">
        <v>3212</v>
      </c>
      <c r="C545" s="41" t="s">
        <v>28</v>
      </c>
      <c r="D545" s="41" t="s">
        <v>3464</v>
      </c>
      <c r="E545" s="41" t="s">
        <v>253</v>
      </c>
      <c r="F545" s="41" t="s">
        <v>3465</v>
      </c>
      <c r="G545" s="41" t="s">
        <v>91</v>
      </c>
      <c r="H545" s="8" t="s">
        <v>67</v>
      </c>
      <c r="I545" s="70"/>
      <c r="J545" s="70"/>
      <c r="K545" s="70"/>
      <c r="L545" s="41" t="s">
        <v>49</v>
      </c>
      <c r="M545" s="41" t="s">
        <v>128</v>
      </c>
      <c r="N545" s="10" t="s">
        <v>3466</v>
      </c>
      <c r="O545" s="8"/>
      <c r="P545" s="1"/>
    </row>
    <row r="546" spans="1:16" ht="21" hidden="1" customHeight="1">
      <c r="A546" s="10">
        <v>1</v>
      </c>
      <c r="B546" s="33" t="s">
        <v>3212</v>
      </c>
      <c r="C546" s="41" t="s">
        <v>93</v>
      </c>
      <c r="D546" s="41" t="s">
        <v>3347</v>
      </c>
      <c r="E546" s="41" t="s">
        <v>705</v>
      </c>
      <c r="F546" s="41" t="s">
        <v>3348</v>
      </c>
      <c r="G546" s="41" t="s">
        <v>53</v>
      </c>
      <c r="H546" s="8" t="s">
        <v>33</v>
      </c>
      <c r="I546" s="70"/>
      <c r="J546" s="70"/>
      <c r="K546" s="70"/>
      <c r="L546" s="41" t="s">
        <v>49</v>
      </c>
      <c r="M546" s="41"/>
      <c r="N546" s="10" t="s">
        <v>3467</v>
      </c>
      <c r="O546" s="8"/>
      <c r="P546" s="1"/>
    </row>
    <row r="547" spans="1:16" ht="21" customHeight="1">
      <c r="A547" s="10">
        <v>1</v>
      </c>
      <c r="B547" s="33" t="s">
        <v>3212</v>
      </c>
      <c r="C547" s="41" t="s">
        <v>28</v>
      </c>
      <c r="D547" s="56" t="s">
        <v>3468</v>
      </c>
      <c r="E547" s="41" t="s">
        <v>3469</v>
      </c>
      <c r="F547" s="41">
        <v>51981774544</v>
      </c>
      <c r="G547" s="41" t="s">
        <v>79</v>
      </c>
      <c r="H547" s="8" t="s">
        <v>47</v>
      </c>
      <c r="I547" s="70" t="s">
        <v>3227</v>
      </c>
      <c r="J547" s="70"/>
      <c r="K547" s="70"/>
      <c r="L547" s="41" t="s">
        <v>55</v>
      </c>
      <c r="M547" s="41" t="s">
        <v>35</v>
      </c>
      <c r="N547" s="10" t="s">
        <v>3470</v>
      </c>
      <c r="O547" s="8"/>
      <c r="P547" s="1"/>
    </row>
    <row r="548" spans="1:16" ht="21" hidden="1" customHeight="1">
      <c r="A548" s="10">
        <v>1</v>
      </c>
      <c r="B548" s="33" t="s">
        <v>3212</v>
      </c>
      <c r="C548" s="41" t="s">
        <v>93</v>
      </c>
      <c r="D548" s="41" t="s">
        <v>3471</v>
      </c>
      <c r="E548" s="41" t="s">
        <v>597</v>
      </c>
      <c r="F548" s="41" t="s">
        <v>3472</v>
      </c>
      <c r="G548" s="41" t="s">
        <v>91</v>
      </c>
      <c r="H548" s="8" t="s">
        <v>67</v>
      </c>
      <c r="I548" s="70"/>
      <c r="J548" s="70"/>
      <c r="K548" s="70"/>
      <c r="L548" s="41" t="s">
        <v>49</v>
      </c>
      <c r="M548" s="41"/>
      <c r="N548" s="10" t="s">
        <v>3473</v>
      </c>
      <c r="O548" s="8"/>
      <c r="P548" s="1"/>
    </row>
    <row r="549" spans="1:16" ht="21" customHeight="1">
      <c r="A549" s="10">
        <v>1</v>
      </c>
      <c r="B549" s="33" t="s">
        <v>3212</v>
      </c>
      <c r="C549" s="41" t="s">
        <v>28</v>
      </c>
      <c r="D549" s="41" t="s">
        <v>3474</v>
      </c>
      <c r="E549" s="41" t="s">
        <v>174</v>
      </c>
      <c r="F549" s="41" t="s">
        <v>3475</v>
      </c>
      <c r="G549" s="41" t="s">
        <v>66</v>
      </c>
      <c r="H549" s="8" t="s">
        <v>67</v>
      </c>
      <c r="I549" s="70" t="s">
        <v>110</v>
      </c>
      <c r="J549" s="70"/>
      <c r="K549" s="70"/>
      <c r="L549" s="41" t="s">
        <v>49</v>
      </c>
      <c r="M549" s="41" t="s">
        <v>128</v>
      </c>
      <c r="N549" s="10" t="s">
        <v>3476</v>
      </c>
      <c r="O549" s="8"/>
      <c r="P549" s="1"/>
    </row>
    <row r="550" spans="1:16" ht="21" hidden="1" customHeight="1">
      <c r="A550" s="10">
        <v>1</v>
      </c>
      <c r="B550" s="33" t="s">
        <v>3212</v>
      </c>
      <c r="C550" s="41" t="s">
        <v>93</v>
      </c>
      <c r="D550" s="41" t="s">
        <v>259</v>
      </c>
      <c r="E550" s="41" t="s">
        <v>260</v>
      </c>
      <c r="F550" s="41" t="s">
        <v>261</v>
      </c>
      <c r="G550" s="41" t="s">
        <v>32</v>
      </c>
      <c r="H550" s="8" t="s">
        <v>33</v>
      </c>
      <c r="I550" s="70"/>
      <c r="J550" s="70"/>
      <c r="K550" s="70"/>
      <c r="L550" s="41" t="s">
        <v>49</v>
      </c>
      <c r="M550" s="41"/>
      <c r="N550" s="10" t="s">
        <v>3477</v>
      </c>
      <c r="O550" s="8"/>
      <c r="P550" s="1"/>
    </row>
    <row r="551" spans="1:16" ht="21" customHeight="1">
      <c r="A551" s="10">
        <v>1</v>
      </c>
      <c r="B551" s="33" t="s">
        <v>3212</v>
      </c>
      <c r="C551" s="41" t="s">
        <v>28</v>
      </c>
      <c r="D551" s="41" t="s">
        <v>3478</v>
      </c>
      <c r="E551" s="41" t="s">
        <v>292</v>
      </c>
      <c r="F551" s="41" t="s">
        <v>3479</v>
      </c>
      <c r="G551" s="41" t="s">
        <v>41</v>
      </c>
      <c r="H551" s="8" t="s">
        <v>33</v>
      </c>
      <c r="I551" s="70" t="s">
        <v>60</v>
      </c>
      <c r="J551" s="70"/>
      <c r="K551" s="70"/>
      <c r="L551" s="41" t="s">
        <v>49</v>
      </c>
      <c r="M551" s="41" t="s">
        <v>133</v>
      </c>
      <c r="N551" s="10" t="s">
        <v>3480</v>
      </c>
      <c r="O551" s="8"/>
      <c r="P551" s="1"/>
    </row>
    <row r="552" spans="1:16" ht="21" customHeight="1">
      <c r="A552" s="10">
        <v>1</v>
      </c>
      <c r="B552" s="33" t="s">
        <v>3212</v>
      </c>
      <c r="C552" s="41" t="s">
        <v>28</v>
      </c>
      <c r="D552" s="41" t="s">
        <v>3481</v>
      </c>
      <c r="E552" s="41" t="s">
        <v>454</v>
      </c>
      <c r="F552" s="41">
        <v>51993829831</v>
      </c>
      <c r="G552" s="41" t="s">
        <v>66</v>
      </c>
      <c r="H552" s="8" t="s">
        <v>67</v>
      </c>
      <c r="I552" s="70"/>
      <c r="J552" s="70"/>
      <c r="K552" s="70"/>
      <c r="L552" s="41" t="s">
        <v>55</v>
      </c>
      <c r="M552" s="41" t="s">
        <v>61</v>
      </c>
      <c r="N552" s="10" t="s">
        <v>3482</v>
      </c>
      <c r="O552" s="8"/>
      <c r="P552" s="1"/>
    </row>
    <row r="553" spans="1:16" ht="21" customHeight="1">
      <c r="A553" s="10">
        <v>1</v>
      </c>
      <c r="B553" s="33" t="s">
        <v>3212</v>
      </c>
      <c r="C553" s="41" t="s">
        <v>28</v>
      </c>
      <c r="D553" s="41" t="s">
        <v>3483</v>
      </c>
      <c r="E553" s="41" t="s">
        <v>404</v>
      </c>
      <c r="F553" s="41" t="s">
        <v>3484</v>
      </c>
      <c r="G553" s="41" t="s">
        <v>243</v>
      </c>
      <c r="H553" s="8" t="s">
        <v>191</v>
      </c>
      <c r="I553" s="70" t="s">
        <v>3485</v>
      </c>
      <c r="J553" s="70" t="s">
        <v>171</v>
      </c>
      <c r="K553" s="70" t="s">
        <v>555</v>
      </c>
      <c r="L553" s="41" t="s">
        <v>34</v>
      </c>
      <c r="M553" s="41" t="s">
        <v>128</v>
      </c>
      <c r="N553" s="10" t="s">
        <v>3486</v>
      </c>
      <c r="O553" s="8"/>
      <c r="P553" s="1"/>
    </row>
    <row r="554" spans="1:16" ht="21" customHeight="1">
      <c r="A554" s="10">
        <v>1</v>
      </c>
      <c r="B554" s="33" t="s">
        <v>3227</v>
      </c>
      <c r="C554" s="41" t="s">
        <v>28</v>
      </c>
      <c r="D554" s="41" t="s">
        <v>3487</v>
      </c>
      <c r="E554" s="41" t="s">
        <v>3488</v>
      </c>
      <c r="F554" s="41" t="s">
        <v>3489</v>
      </c>
      <c r="G554" s="41" t="s">
        <v>3490</v>
      </c>
      <c r="H554" s="8" t="s">
        <v>3157</v>
      </c>
      <c r="I554" s="70" t="s">
        <v>3491</v>
      </c>
      <c r="J554" s="70" t="s">
        <v>588</v>
      </c>
      <c r="K554" s="70" t="s">
        <v>250</v>
      </c>
      <c r="L554" s="41" t="s">
        <v>769</v>
      </c>
      <c r="M554" s="41" t="s">
        <v>56</v>
      </c>
      <c r="N554" s="10" t="s">
        <v>3492</v>
      </c>
      <c r="O554" s="8"/>
      <c r="P554" s="1"/>
    </row>
    <row r="555" spans="1:16" ht="21" customHeight="1">
      <c r="A555" s="10">
        <v>1</v>
      </c>
      <c r="B555" s="33" t="s">
        <v>3227</v>
      </c>
      <c r="C555" s="41" t="s">
        <v>28</v>
      </c>
      <c r="D555" s="41" t="s">
        <v>3493</v>
      </c>
      <c r="E555" s="41" t="s">
        <v>653</v>
      </c>
      <c r="F555" s="41">
        <v>51996024676</v>
      </c>
      <c r="G555" s="41" t="s">
        <v>730</v>
      </c>
      <c r="H555" s="8" t="s">
        <v>33</v>
      </c>
      <c r="I555" s="70" t="s">
        <v>124</v>
      </c>
      <c r="J555" s="70"/>
      <c r="K555" s="70" t="s">
        <v>154</v>
      </c>
      <c r="L555" s="41" t="s">
        <v>55</v>
      </c>
      <c r="M555" s="41" t="s">
        <v>80</v>
      </c>
      <c r="N555" s="10" t="s">
        <v>120</v>
      </c>
      <c r="O555" s="8"/>
      <c r="P555" s="1"/>
    </row>
    <row r="556" spans="1:16" ht="21" customHeight="1">
      <c r="A556" s="10">
        <v>1</v>
      </c>
      <c r="B556" s="33" t="s">
        <v>3227</v>
      </c>
      <c r="C556" s="41" t="s">
        <v>28</v>
      </c>
      <c r="D556" s="41" t="s">
        <v>3494</v>
      </c>
      <c r="E556" s="41" t="s">
        <v>285</v>
      </c>
      <c r="F556" s="41">
        <v>51995924495</v>
      </c>
      <c r="G556" s="41" t="s">
        <v>66</v>
      </c>
      <c r="H556" s="8" t="s">
        <v>67</v>
      </c>
      <c r="I556" s="70" t="s">
        <v>68</v>
      </c>
      <c r="J556" s="70"/>
      <c r="K556" s="70" t="s">
        <v>184</v>
      </c>
      <c r="L556" s="41" t="s">
        <v>55</v>
      </c>
      <c r="M556" s="41" t="s">
        <v>61</v>
      </c>
      <c r="N556" s="10" t="s">
        <v>599</v>
      </c>
      <c r="O556" s="8"/>
      <c r="P556" s="1"/>
    </row>
    <row r="557" spans="1:16" ht="21" customHeight="1">
      <c r="A557" s="10">
        <v>1</v>
      </c>
      <c r="B557" s="33" t="s">
        <v>3227</v>
      </c>
      <c r="C557" s="41" t="s">
        <v>28</v>
      </c>
      <c r="D557" s="41" t="s">
        <v>3495</v>
      </c>
      <c r="E557" s="41" t="s">
        <v>3496</v>
      </c>
      <c r="F557" s="41">
        <v>51989152921</v>
      </c>
      <c r="G557" s="41" t="s">
        <v>41</v>
      </c>
      <c r="H557" s="8" t="s">
        <v>33</v>
      </c>
      <c r="I557" s="70" t="s">
        <v>54</v>
      </c>
      <c r="J557" s="70"/>
      <c r="K557" s="70" t="s">
        <v>184</v>
      </c>
      <c r="L557" s="41" t="s">
        <v>55</v>
      </c>
      <c r="M557" s="41" t="s">
        <v>56</v>
      </c>
      <c r="N557" s="10" t="s">
        <v>3497</v>
      </c>
      <c r="O557" s="8"/>
      <c r="P557" s="1"/>
    </row>
    <row r="558" spans="1:16" ht="21" customHeight="1">
      <c r="A558" s="10">
        <v>1</v>
      </c>
      <c r="B558" s="33" t="s">
        <v>3227</v>
      </c>
      <c r="C558" s="41" t="s">
        <v>28</v>
      </c>
      <c r="D558" s="41" t="s">
        <v>3495</v>
      </c>
      <c r="E558" s="41" t="s">
        <v>3496</v>
      </c>
      <c r="F558" s="41">
        <v>51989152921</v>
      </c>
      <c r="G558" s="41" t="s">
        <v>41</v>
      </c>
      <c r="H558" s="8" t="s">
        <v>33</v>
      </c>
      <c r="I558" s="70" t="s">
        <v>54</v>
      </c>
      <c r="J558" s="70"/>
      <c r="K558" s="70" t="s">
        <v>179</v>
      </c>
      <c r="L558" s="41" t="s">
        <v>55</v>
      </c>
      <c r="M558" s="41" t="s">
        <v>56</v>
      </c>
      <c r="N558" s="10" t="s">
        <v>3497</v>
      </c>
      <c r="O558" s="8"/>
      <c r="P558" s="1"/>
    </row>
    <row r="559" spans="1:16" ht="21" customHeight="1">
      <c r="A559" s="10">
        <v>1</v>
      </c>
      <c r="B559" s="33" t="s">
        <v>3227</v>
      </c>
      <c r="C559" s="41" t="s">
        <v>28</v>
      </c>
      <c r="D559" s="41" t="s">
        <v>3498</v>
      </c>
      <c r="E559" s="41" t="s">
        <v>1182</v>
      </c>
      <c r="F559" s="41">
        <v>51997068080</v>
      </c>
      <c r="G559" s="41" t="s">
        <v>147</v>
      </c>
      <c r="H559" s="8" t="s">
        <v>33</v>
      </c>
      <c r="I559" s="70" t="s">
        <v>86</v>
      </c>
      <c r="J559" s="70"/>
      <c r="K559" s="70" t="s">
        <v>97</v>
      </c>
      <c r="L559" s="41" t="s">
        <v>55</v>
      </c>
      <c r="M559" s="41" t="s">
        <v>61</v>
      </c>
      <c r="N559" s="10" t="s">
        <v>599</v>
      </c>
      <c r="O559" s="8"/>
      <c r="P559" s="1"/>
    </row>
    <row r="560" spans="1:16" ht="21" customHeight="1">
      <c r="A560" s="10">
        <v>1</v>
      </c>
      <c r="B560" s="33" t="s">
        <v>3227</v>
      </c>
      <c r="C560" s="41" t="s">
        <v>28</v>
      </c>
      <c r="D560" s="41" t="s">
        <v>3499</v>
      </c>
      <c r="E560" s="41" t="s">
        <v>3042</v>
      </c>
      <c r="F560" s="41" t="s">
        <v>3500</v>
      </c>
      <c r="G560" s="41" t="s">
        <v>79</v>
      </c>
      <c r="H560" s="8" t="s">
        <v>47</v>
      </c>
      <c r="I560" s="70"/>
      <c r="J560" s="70"/>
      <c r="K560" s="70"/>
      <c r="L560" s="41" t="s">
        <v>49</v>
      </c>
      <c r="M560" s="41" t="s">
        <v>128</v>
      </c>
      <c r="N560" s="10" t="s">
        <v>3501</v>
      </c>
      <c r="O560" s="8"/>
      <c r="P560" s="1"/>
    </row>
    <row r="561" spans="1:16" ht="21" hidden="1" customHeight="1">
      <c r="A561" s="10">
        <v>1</v>
      </c>
      <c r="B561" s="33" t="s">
        <v>3227</v>
      </c>
      <c r="C561" s="41" t="s">
        <v>93</v>
      </c>
      <c r="D561" s="41" t="s">
        <v>3502</v>
      </c>
      <c r="E561" s="41" t="s">
        <v>145</v>
      </c>
      <c r="F561" s="41" t="s">
        <v>3503</v>
      </c>
      <c r="G561" s="41" t="s">
        <v>79</v>
      </c>
      <c r="H561" s="8" t="s">
        <v>47</v>
      </c>
      <c r="I561" s="70"/>
      <c r="J561" s="70"/>
      <c r="K561" s="70"/>
      <c r="L561" s="41" t="s">
        <v>49</v>
      </c>
      <c r="M561" s="41"/>
      <c r="N561" s="10" t="s">
        <v>670</v>
      </c>
      <c r="O561" s="8"/>
      <c r="P561" s="1"/>
    </row>
    <row r="562" spans="1:16" ht="21" customHeight="1">
      <c r="A562" s="10">
        <v>1</v>
      </c>
      <c r="B562" s="33" t="s">
        <v>3227</v>
      </c>
      <c r="C562" s="41" t="s">
        <v>28</v>
      </c>
      <c r="D562" s="41" t="s">
        <v>3504</v>
      </c>
      <c r="E562" s="41" t="s">
        <v>407</v>
      </c>
      <c r="F562" s="41" t="s">
        <v>3505</v>
      </c>
      <c r="G562" s="41" t="s">
        <v>66</v>
      </c>
      <c r="H562" s="8" t="s">
        <v>67</v>
      </c>
      <c r="I562" s="70" t="s">
        <v>68</v>
      </c>
      <c r="J562" s="70"/>
      <c r="K562" s="70"/>
      <c r="L562" s="41" t="s">
        <v>49</v>
      </c>
      <c r="M562" s="41" t="s">
        <v>80</v>
      </c>
      <c r="N562" s="10" t="s">
        <v>3506</v>
      </c>
      <c r="O562" s="8"/>
      <c r="P562" s="1"/>
    </row>
    <row r="563" spans="1:16" ht="21" hidden="1" customHeight="1">
      <c r="A563" s="10">
        <v>1</v>
      </c>
      <c r="B563" s="33" t="s">
        <v>3227</v>
      </c>
      <c r="C563" s="41" t="s">
        <v>93</v>
      </c>
      <c r="D563" s="41" t="s">
        <v>3507</v>
      </c>
      <c r="E563" s="41" t="s">
        <v>79</v>
      </c>
      <c r="F563" s="41">
        <v>51980464316</v>
      </c>
      <c r="G563" s="41" t="s">
        <v>79</v>
      </c>
      <c r="H563" s="8" t="s">
        <v>402</v>
      </c>
      <c r="I563" s="70"/>
      <c r="J563" s="70"/>
      <c r="K563" s="70" t="s">
        <v>97</v>
      </c>
      <c r="L563" s="41" t="s">
        <v>55</v>
      </c>
      <c r="M563" s="41"/>
      <c r="N563" s="10" t="s">
        <v>3508</v>
      </c>
      <c r="O563" s="8"/>
      <c r="P563" s="1"/>
    </row>
    <row r="564" spans="1:16" ht="21" customHeight="1">
      <c r="A564" s="10">
        <v>1</v>
      </c>
      <c r="B564" s="33" t="s">
        <v>3227</v>
      </c>
      <c r="C564" s="41" t="s">
        <v>28</v>
      </c>
      <c r="D564" s="41" t="s">
        <v>3509</v>
      </c>
      <c r="E564" s="41" t="s">
        <v>296</v>
      </c>
      <c r="F564" s="41" t="s">
        <v>3510</v>
      </c>
      <c r="G564" s="41" t="s">
        <v>66</v>
      </c>
      <c r="H564" s="8" t="s">
        <v>67</v>
      </c>
      <c r="I564" s="70" t="s">
        <v>110</v>
      </c>
      <c r="J564" s="70"/>
      <c r="K564" s="70" t="s">
        <v>3511</v>
      </c>
      <c r="L564" s="41" t="s">
        <v>49</v>
      </c>
      <c r="M564" s="41" t="s">
        <v>56</v>
      </c>
      <c r="N564" s="10" t="s">
        <v>3512</v>
      </c>
      <c r="O564" s="8"/>
      <c r="P564" s="1"/>
    </row>
    <row r="565" spans="1:16" ht="21" customHeight="1">
      <c r="A565" s="10">
        <v>1</v>
      </c>
      <c r="B565" s="33" t="s">
        <v>3227</v>
      </c>
      <c r="C565" s="41" t="s">
        <v>28</v>
      </c>
      <c r="D565" s="41" t="s">
        <v>3513</v>
      </c>
      <c r="E565" s="41" t="s">
        <v>145</v>
      </c>
      <c r="F565" s="41" t="s">
        <v>3514</v>
      </c>
      <c r="G565" s="41" t="s">
        <v>280</v>
      </c>
      <c r="H565" s="8" t="s">
        <v>33</v>
      </c>
      <c r="I565" s="70"/>
      <c r="J565" s="70"/>
      <c r="K565" s="70" t="s">
        <v>555</v>
      </c>
      <c r="L565" s="41" t="s">
        <v>49</v>
      </c>
      <c r="M565" s="41" t="s">
        <v>128</v>
      </c>
      <c r="N565" s="10" t="s">
        <v>2744</v>
      </c>
      <c r="O565" s="8"/>
      <c r="P565" s="1"/>
    </row>
    <row r="566" spans="1:16" ht="21" hidden="1" customHeight="1">
      <c r="A566" s="10">
        <v>1</v>
      </c>
      <c r="B566" s="33" t="s">
        <v>3227</v>
      </c>
      <c r="C566" s="41" t="s">
        <v>93</v>
      </c>
      <c r="D566" s="41" t="s">
        <v>3515</v>
      </c>
      <c r="E566" s="41" t="s">
        <v>298</v>
      </c>
      <c r="F566" s="41" t="s">
        <v>3516</v>
      </c>
      <c r="G566" s="41" t="s">
        <v>91</v>
      </c>
      <c r="H566" s="8" t="s">
        <v>67</v>
      </c>
      <c r="I566" s="70"/>
      <c r="J566" s="70"/>
      <c r="K566" s="70" t="s">
        <v>97</v>
      </c>
      <c r="L566" s="41" t="s">
        <v>49</v>
      </c>
      <c r="M566" s="41"/>
      <c r="N566" s="10" t="s">
        <v>3517</v>
      </c>
      <c r="O566" s="8"/>
      <c r="P566" s="1"/>
    </row>
    <row r="567" spans="1:16" ht="21" hidden="1" customHeight="1">
      <c r="A567" s="10">
        <v>1</v>
      </c>
      <c r="B567" s="33" t="s">
        <v>3227</v>
      </c>
      <c r="C567" s="41" t="s">
        <v>93</v>
      </c>
      <c r="D567" s="41" t="s">
        <v>1325</v>
      </c>
      <c r="E567" s="41" t="s">
        <v>235</v>
      </c>
      <c r="F567" s="41">
        <v>51999025462</v>
      </c>
      <c r="G567" s="41" t="s">
        <v>41</v>
      </c>
      <c r="H567" s="8" t="s">
        <v>33</v>
      </c>
      <c r="I567" s="70"/>
      <c r="J567" s="70"/>
      <c r="K567" s="70" t="s">
        <v>154</v>
      </c>
      <c r="L567" s="41" t="s">
        <v>55</v>
      </c>
      <c r="M567" s="41"/>
      <c r="N567" s="10" t="s">
        <v>239</v>
      </c>
      <c r="O567" s="8"/>
      <c r="P567" s="1"/>
    </row>
    <row r="568" spans="1:16" ht="21" hidden="1" customHeight="1">
      <c r="A568" s="10">
        <v>1</v>
      </c>
      <c r="B568" s="33" t="s">
        <v>3227</v>
      </c>
      <c r="C568" s="41" t="s">
        <v>93</v>
      </c>
      <c r="D568" s="41" t="s">
        <v>3518</v>
      </c>
      <c r="E568" s="41" t="s">
        <v>231</v>
      </c>
      <c r="F568" s="41">
        <v>51999504839</v>
      </c>
      <c r="G568" s="41" t="s">
        <v>32</v>
      </c>
      <c r="H568" s="8" t="s">
        <v>33</v>
      </c>
      <c r="I568" s="70"/>
      <c r="J568" s="70"/>
      <c r="K568" s="70" t="s">
        <v>97</v>
      </c>
      <c r="L568" s="41" t="s">
        <v>55</v>
      </c>
      <c r="M568" s="41"/>
      <c r="N568" s="10" t="s">
        <v>3519</v>
      </c>
      <c r="O568" s="8"/>
      <c r="P568" s="1"/>
    </row>
    <row r="569" spans="1:16" ht="21" customHeight="1">
      <c r="A569" s="10">
        <v>1</v>
      </c>
      <c r="B569" s="33" t="s">
        <v>3227</v>
      </c>
      <c r="C569" s="41" t="s">
        <v>28</v>
      </c>
      <c r="D569" s="41" t="s">
        <v>3520</v>
      </c>
      <c r="E569" s="41" t="s">
        <v>3242</v>
      </c>
      <c r="F569" s="41" t="s">
        <v>3521</v>
      </c>
      <c r="G569" s="41" t="s">
        <v>66</v>
      </c>
      <c r="H569" s="8" t="s">
        <v>67</v>
      </c>
      <c r="I569" s="70" t="s">
        <v>110</v>
      </c>
      <c r="J569" s="70"/>
      <c r="K569" s="70" t="s">
        <v>97</v>
      </c>
      <c r="L569" s="41" t="s">
        <v>49</v>
      </c>
      <c r="M569" s="41" t="s">
        <v>61</v>
      </c>
      <c r="N569" s="10" t="s">
        <v>3522</v>
      </c>
      <c r="O569" s="8"/>
      <c r="P569" s="1"/>
    </row>
    <row r="570" spans="1:16" ht="21" hidden="1" customHeight="1">
      <c r="A570" s="10">
        <v>1</v>
      </c>
      <c r="B570" s="33" t="s">
        <v>3227</v>
      </c>
      <c r="C570" s="41" t="s">
        <v>93</v>
      </c>
      <c r="D570" s="41" t="s">
        <v>330</v>
      </c>
      <c r="E570" s="41" t="s">
        <v>118</v>
      </c>
      <c r="F570" s="41" t="s">
        <v>331</v>
      </c>
      <c r="G570" s="41" t="s">
        <v>66</v>
      </c>
      <c r="H570" s="8" t="s">
        <v>67</v>
      </c>
      <c r="I570" s="70"/>
      <c r="J570" s="70"/>
      <c r="K570" s="70" t="s">
        <v>97</v>
      </c>
      <c r="L570" s="41" t="s">
        <v>49</v>
      </c>
      <c r="M570" s="41"/>
      <c r="N570" s="10" t="s">
        <v>3523</v>
      </c>
      <c r="O570" s="8"/>
      <c r="P570" s="1"/>
    </row>
    <row r="571" spans="1:16" ht="21" hidden="1" customHeight="1">
      <c r="A571" s="10">
        <v>1</v>
      </c>
      <c r="B571" s="33" t="s">
        <v>3227</v>
      </c>
      <c r="C571" s="41" t="s">
        <v>93</v>
      </c>
      <c r="D571" s="41" t="s">
        <v>3524</v>
      </c>
      <c r="E571" s="41" t="s">
        <v>552</v>
      </c>
      <c r="F571" s="41">
        <v>51994416434</v>
      </c>
      <c r="G571" s="41" t="s">
        <v>756</v>
      </c>
      <c r="H571" s="8" t="s">
        <v>67</v>
      </c>
      <c r="I571" s="70"/>
      <c r="J571" s="70"/>
      <c r="K571" s="70" t="s">
        <v>97</v>
      </c>
      <c r="L571" s="41" t="s">
        <v>55</v>
      </c>
      <c r="M571" s="41"/>
      <c r="N571" s="10" t="s">
        <v>3525</v>
      </c>
      <c r="O571" s="8"/>
      <c r="P571" s="1"/>
    </row>
    <row r="572" spans="1:16" ht="21" hidden="1" customHeight="1">
      <c r="A572" s="10">
        <v>1</v>
      </c>
      <c r="B572" s="33" t="s">
        <v>3227</v>
      </c>
      <c r="C572" s="41" t="s">
        <v>93</v>
      </c>
      <c r="D572" s="41" t="s">
        <v>3526</v>
      </c>
      <c r="E572" s="41" t="s">
        <v>3527</v>
      </c>
      <c r="F572" s="41">
        <v>51991815955</v>
      </c>
      <c r="G572" s="41" t="s">
        <v>91</v>
      </c>
      <c r="H572" s="8" t="s">
        <v>67</v>
      </c>
      <c r="I572" s="70"/>
      <c r="J572" s="70"/>
      <c r="K572" s="70" t="s">
        <v>568</v>
      </c>
      <c r="L572" s="41" t="s">
        <v>55</v>
      </c>
      <c r="M572" s="41"/>
      <c r="N572" s="10" t="s">
        <v>3528</v>
      </c>
      <c r="O572" s="8"/>
      <c r="P572" s="1"/>
    </row>
    <row r="573" spans="1:16" ht="21" hidden="1" customHeight="1">
      <c r="A573" s="10">
        <v>1</v>
      </c>
      <c r="B573" s="33" t="s">
        <v>3227</v>
      </c>
      <c r="C573" s="41" t="s">
        <v>93</v>
      </c>
      <c r="D573" s="41" t="s">
        <v>3529</v>
      </c>
      <c r="E573" s="41" t="s">
        <v>3530</v>
      </c>
      <c r="F573" s="41" t="s">
        <v>3531</v>
      </c>
      <c r="G573" s="41" t="s">
        <v>1810</v>
      </c>
      <c r="H573" s="8" t="s">
        <v>33</v>
      </c>
      <c r="I573" s="70"/>
      <c r="J573" s="70"/>
      <c r="K573" s="70" t="s">
        <v>179</v>
      </c>
      <c r="L573" s="41" t="s">
        <v>49</v>
      </c>
      <c r="M573" s="41"/>
      <c r="N573" s="10" t="s">
        <v>3532</v>
      </c>
      <c r="O573" s="8"/>
      <c r="P573" s="1"/>
    </row>
    <row r="574" spans="1:16" ht="21" customHeight="1">
      <c r="A574" s="10">
        <v>1</v>
      </c>
      <c r="B574" s="33" t="s">
        <v>3227</v>
      </c>
      <c r="C574" s="41" t="s">
        <v>28</v>
      </c>
      <c r="D574" s="41" t="s">
        <v>3453</v>
      </c>
      <c r="E574" s="41" t="s">
        <v>39</v>
      </c>
      <c r="F574" s="41" t="s">
        <v>3454</v>
      </c>
      <c r="G574" s="41" t="s">
        <v>41</v>
      </c>
      <c r="H574" s="8" t="s">
        <v>33</v>
      </c>
      <c r="I574" s="70"/>
      <c r="J574" s="70"/>
      <c r="K574" s="70" t="s">
        <v>179</v>
      </c>
      <c r="L574" s="41" t="s">
        <v>49</v>
      </c>
      <c r="M574" s="41" t="s">
        <v>35</v>
      </c>
      <c r="N574" s="10" t="s">
        <v>3533</v>
      </c>
      <c r="O574" s="8"/>
      <c r="P574" s="1"/>
    </row>
    <row r="575" spans="1:16" ht="21" hidden="1" customHeight="1">
      <c r="A575" s="10">
        <v>1</v>
      </c>
      <c r="B575" s="33" t="s">
        <v>48</v>
      </c>
      <c r="C575" s="41" t="s">
        <v>93</v>
      </c>
      <c r="D575" s="41" t="s">
        <v>2914</v>
      </c>
      <c r="E575" s="41" t="s">
        <v>39</v>
      </c>
      <c r="F575" s="41">
        <v>51982224992</v>
      </c>
      <c r="G575" s="41" t="s">
        <v>41</v>
      </c>
      <c r="H575" s="8" t="s">
        <v>33</v>
      </c>
      <c r="I575" s="70"/>
      <c r="J575" s="70"/>
      <c r="K575" s="70" t="s">
        <v>250</v>
      </c>
      <c r="L575" s="41" t="s">
        <v>55</v>
      </c>
      <c r="M575" s="41"/>
      <c r="N575" s="10" t="s">
        <v>3534</v>
      </c>
      <c r="O575" s="8"/>
      <c r="P575" s="1"/>
    </row>
    <row r="576" spans="1:16" ht="21" customHeight="1">
      <c r="A576" s="10">
        <v>1</v>
      </c>
      <c r="B576" s="33" t="s">
        <v>48</v>
      </c>
      <c r="C576" s="41" t="s">
        <v>28</v>
      </c>
      <c r="D576" s="41" t="s">
        <v>3535</v>
      </c>
      <c r="E576" s="41" t="s">
        <v>1474</v>
      </c>
      <c r="F576" s="41">
        <v>51997948284</v>
      </c>
      <c r="G576" s="41" t="s">
        <v>85</v>
      </c>
      <c r="H576" s="8" t="s">
        <v>33</v>
      </c>
      <c r="I576" s="70"/>
      <c r="J576" s="70"/>
      <c r="K576" s="70" t="s">
        <v>179</v>
      </c>
      <c r="L576" s="41" t="s">
        <v>55</v>
      </c>
      <c r="M576" s="41" t="s">
        <v>128</v>
      </c>
      <c r="N576" s="10" t="s">
        <v>129</v>
      </c>
      <c r="O576" s="8" t="s">
        <v>2056</v>
      </c>
      <c r="P576" s="1"/>
    </row>
    <row r="577" spans="1:16" ht="21" customHeight="1">
      <c r="A577" s="10">
        <v>1</v>
      </c>
      <c r="B577" s="33" t="s">
        <v>48</v>
      </c>
      <c r="C577" s="41" t="s">
        <v>28</v>
      </c>
      <c r="D577" s="41" t="s">
        <v>3536</v>
      </c>
      <c r="E577" s="41" t="s">
        <v>3537</v>
      </c>
      <c r="F577" s="41">
        <v>51984555455</v>
      </c>
      <c r="G577" s="41" t="s">
        <v>283</v>
      </c>
      <c r="H577" s="8" t="s">
        <v>47</v>
      </c>
      <c r="I577" s="70" t="s">
        <v>68</v>
      </c>
      <c r="J577" s="70"/>
      <c r="K577" s="70" t="s">
        <v>142</v>
      </c>
      <c r="L577" s="41" t="s">
        <v>55</v>
      </c>
      <c r="M577" s="41" t="s">
        <v>61</v>
      </c>
      <c r="N577" s="10" t="s">
        <v>294</v>
      </c>
      <c r="O577" s="8"/>
      <c r="P577" s="1"/>
    </row>
    <row r="578" spans="1:16" ht="21" hidden="1" customHeight="1">
      <c r="A578" s="10">
        <v>1</v>
      </c>
      <c r="B578" s="33" t="s">
        <v>48</v>
      </c>
      <c r="C578" s="41" t="s">
        <v>93</v>
      </c>
      <c r="D578" s="41" t="s">
        <v>3507</v>
      </c>
      <c r="E578" s="41" t="s">
        <v>79</v>
      </c>
      <c r="F578" s="41">
        <v>51980464316</v>
      </c>
      <c r="G578" s="41" t="s">
        <v>79</v>
      </c>
      <c r="H578" s="8" t="s">
        <v>47</v>
      </c>
      <c r="I578" s="70"/>
      <c r="J578" s="70"/>
      <c r="K578" s="70" t="s">
        <v>97</v>
      </c>
      <c r="L578" s="41" t="s">
        <v>55</v>
      </c>
      <c r="M578" s="41"/>
      <c r="N578" s="10" t="s">
        <v>3538</v>
      </c>
      <c r="O578" s="8"/>
      <c r="P578" s="1"/>
    </row>
    <row r="579" spans="1:16" ht="21" hidden="1" customHeight="1">
      <c r="A579" s="10">
        <v>1</v>
      </c>
      <c r="B579" s="33" t="s">
        <v>48</v>
      </c>
      <c r="C579" s="41" t="s">
        <v>93</v>
      </c>
      <c r="D579" s="41" t="s">
        <v>3539</v>
      </c>
      <c r="E579" s="41" t="s">
        <v>2898</v>
      </c>
      <c r="F579" s="41">
        <v>51993310416</v>
      </c>
      <c r="G579" s="41" t="s">
        <v>66</v>
      </c>
      <c r="H579" s="8" t="s">
        <v>67</v>
      </c>
      <c r="I579" s="70"/>
      <c r="J579" s="70"/>
      <c r="K579" s="70" t="s">
        <v>250</v>
      </c>
      <c r="L579" s="41" t="s">
        <v>55</v>
      </c>
      <c r="M579" s="41"/>
      <c r="N579" s="10" t="s">
        <v>3540</v>
      </c>
      <c r="O579" s="8"/>
      <c r="P579" s="1"/>
    </row>
    <row r="580" spans="1:16" ht="21" hidden="1" customHeight="1">
      <c r="A580" s="10">
        <v>1</v>
      </c>
      <c r="B580" s="33" t="s">
        <v>48</v>
      </c>
      <c r="C580" s="41" t="s">
        <v>93</v>
      </c>
      <c r="D580" s="41" t="s">
        <v>3541</v>
      </c>
      <c r="E580" s="41" t="s">
        <v>593</v>
      </c>
      <c r="F580" s="41">
        <v>51999538615</v>
      </c>
      <c r="G580" s="41" t="s">
        <v>593</v>
      </c>
      <c r="H580" s="8" t="s">
        <v>67</v>
      </c>
      <c r="I580" s="70"/>
      <c r="J580" s="70"/>
      <c r="K580" s="70" t="s">
        <v>97</v>
      </c>
      <c r="L580" s="41" t="s">
        <v>55</v>
      </c>
      <c r="M580" s="41"/>
      <c r="N580" s="10" t="s">
        <v>3542</v>
      </c>
      <c r="O580" s="8"/>
      <c r="P580" s="1"/>
    </row>
    <row r="581" spans="1:16" ht="21" hidden="1" customHeight="1">
      <c r="A581" s="10">
        <v>1</v>
      </c>
      <c r="B581" s="33" t="s">
        <v>48</v>
      </c>
      <c r="C581" s="41" t="s">
        <v>93</v>
      </c>
      <c r="D581" s="41" t="s">
        <v>3543</v>
      </c>
      <c r="E581" s="41" t="s">
        <v>1242</v>
      </c>
      <c r="F581" s="41" t="s">
        <v>3544</v>
      </c>
      <c r="G581" s="41" t="s">
        <v>66</v>
      </c>
      <c r="H581" s="8" t="s">
        <v>67</v>
      </c>
      <c r="I581" s="70"/>
      <c r="J581" s="70"/>
      <c r="K581" s="70" t="s">
        <v>97</v>
      </c>
      <c r="L581" s="41" t="s">
        <v>55</v>
      </c>
      <c r="M581" s="41"/>
      <c r="N581" s="10" t="s">
        <v>3545</v>
      </c>
      <c r="O581" s="8"/>
      <c r="P581" s="1"/>
    </row>
    <row r="582" spans="1:16" ht="21" customHeight="1">
      <c r="A582" s="10">
        <v>1</v>
      </c>
      <c r="B582" s="33" t="s">
        <v>48</v>
      </c>
      <c r="C582" s="41" t="s">
        <v>28</v>
      </c>
      <c r="D582" s="41" t="s">
        <v>3546</v>
      </c>
      <c r="E582" s="41" t="s">
        <v>39</v>
      </c>
      <c r="F582" s="41">
        <v>51995200541</v>
      </c>
      <c r="G582" s="41" t="s">
        <v>41</v>
      </c>
      <c r="H582" s="8" t="s">
        <v>33</v>
      </c>
      <c r="I582" s="70" t="s">
        <v>60</v>
      </c>
      <c r="J582" s="70"/>
      <c r="K582" s="70" t="s">
        <v>179</v>
      </c>
      <c r="L582" s="41" t="s">
        <v>55</v>
      </c>
      <c r="M582" s="41" t="s">
        <v>128</v>
      </c>
      <c r="N582" s="10" t="s">
        <v>120</v>
      </c>
      <c r="O582" s="8"/>
      <c r="P582" s="1"/>
    </row>
    <row r="583" spans="1:16" ht="21" customHeight="1">
      <c r="A583" s="10">
        <v>1</v>
      </c>
      <c r="B583" s="33" t="s">
        <v>48</v>
      </c>
      <c r="C583" s="41" t="s">
        <v>28</v>
      </c>
      <c r="D583" s="41" t="s">
        <v>3547</v>
      </c>
      <c r="E583" s="41" t="s">
        <v>182</v>
      </c>
      <c r="F583" s="41">
        <v>51997228231</v>
      </c>
      <c r="G583" s="41" t="s">
        <v>66</v>
      </c>
      <c r="H583" s="8" t="s">
        <v>67</v>
      </c>
      <c r="I583" s="70" t="s">
        <v>177</v>
      </c>
      <c r="J583" s="70"/>
      <c r="K583" s="70" t="s">
        <v>97</v>
      </c>
      <c r="L583" s="41" t="s">
        <v>55</v>
      </c>
      <c r="M583" s="41" t="s">
        <v>61</v>
      </c>
      <c r="N583" s="10" t="s">
        <v>120</v>
      </c>
      <c r="O583" s="8"/>
      <c r="P583" s="1"/>
    </row>
    <row r="584" spans="1:16" ht="21" customHeight="1">
      <c r="A584" s="10">
        <v>1</v>
      </c>
      <c r="B584" s="33" t="s">
        <v>48</v>
      </c>
      <c r="C584" s="41" t="s">
        <v>28</v>
      </c>
      <c r="D584" s="41" t="s">
        <v>3548</v>
      </c>
      <c r="E584" s="41" t="s">
        <v>2687</v>
      </c>
      <c r="F584" s="41">
        <v>51999659767</v>
      </c>
      <c r="G584" s="41" t="s">
        <v>91</v>
      </c>
      <c r="H584" s="8" t="s">
        <v>67</v>
      </c>
      <c r="I584" s="70" t="s">
        <v>202</v>
      </c>
      <c r="J584" s="70"/>
      <c r="K584" s="70" t="s">
        <v>142</v>
      </c>
      <c r="L584" s="41" t="s">
        <v>55</v>
      </c>
      <c r="M584" s="41" t="s">
        <v>128</v>
      </c>
      <c r="N584" s="10" t="s">
        <v>120</v>
      </c>
      <c r="O584" s="8"/>
      <c r="P584" s="1"/>
    </row>
    <row r="585" spans="1:16" ht="21" hidden="1" customHeight="1">
      <c r="A585" s="10">
        <v>1</v>
      </c>
      <c r="B585" s="33" t="s">
        <v>48</v>
      </c>
      <c r="C585" s="41" t="s">
        <v>93</v>
      </c>
      <c r="D585" s="41" t="s">
        <v>3549</v>
      </c>
      <c r="E585" s="41" t="s">
        <v>653</v>
      </c>
      <c r="F585" s="41" t="s">
        <v>3550</v>
      </c>
      <c r="G585" s="41" t="s">
        <v>730</v>
      </c>
      <c r="H585" s="8" t="s">
        <v>33</v>
      </c>
      <c r="I585" s="70"/>
      <c r="J585" s="70"/>
      <c r="K585" s="70" t="s">
        <v>250</v>
      </c>
      <c r="L585" s="41" t="s">
        <v>34</v>
      </c>
      <c r="M585" s="41"/>
      <c r="N585" s="10" t="s">
        <v>3551</v>
      </c>
      <c r="O585" s="8"/>
      <c r="P585" s="1"/>
    </row>
    <row r="586" spans="1:16" ht="21" customHeight="1">
      <c r="A586" s="10">
        <v>1</v>
      </c>
      <c r="B586" s="33" t="s">
        <v>48</v>
      </c>
      <c r="C586" s="41" t="s">
        <v>28</v>
      </c>
      <c r="D586" s="41" t="s">
        <v>3552</v>
      </c>
      <c r="E586" s="41" t="s">
        <v>278</v>
      </c>
      <c r="F586" s="41" t="s">
        <v>3553</v>
      </c>
      <c r="G586" s="41" t="s">
        <v>280</v>
      </c>
      <c r="H586" s="8" t="s">
        <v>33</v>
      </c>
      <c r="I586" s="70" t="s">
        <v>86</v>
      </c>
      <c r="J586" s="70"/>
      <c r="K586" s="70" t="s">
        <v>184</v>
      </c>
      <c r="L586" s="41" t="s">
        <v>49</v>
      </c>
      <c r="M586" s="41" t="s">
        <v>56</v>
      </c>
      <c r="N586" s="10" t="s">
        <v>3554</v>
      </c>
      <c r="O586" s="8"/>
      <c r="P586" s="1"/>
    </row>
    <row r="587" spans="1:16" ht="21" hidden="1" customHeight="1">
      <c r="A587" s="10">
        <v>1</v>
      </c>
      <c r="B587" s="33" t="s">
        <v>48</v>
      </c>
      <c r="C587" s="41" t="s">
        <v>93</v>
      </c>
      <c r="D587" s="41" t="s">
        <v>770</v>
      </c>
      <c r="E587" s="41" t="s">
        <v>454</v>
      </c>
      <c r="F587" s="41" t="s">
        <v>771</v>
      </c>
      <c r="G587" s="41" t="s">
        <v>66</v>
      </c>
      <c r="H587" s="56" t="s">
        <v>67</v>
      </c>
      <c r="I587" s="70"/>
      <c r="J587" s="70"/>
      <c r="K587" s="70" t="s">
        <v>250</v>
      </c>
      <c r="L587" s="41" t="s">
        <v>49</v>
      </c>
      <c r="M587" s="41"/>
      <c r="N587" s="10" t="s">
        <v>3555</v>
      </c>
      <c r="O587" s="8"/>
      <c r="P587" s="1"/>
    </row>
    <row r="588" spans="1:16" ht="21" customHeight="1">
      <c r="A588" s="10">
        <v>1</v>
      </c>
      <c r="B588" s="33" t="s">
        <v>48</v>
      </c>
      <c r="C588" s="41" t="s">
        <v>28</v>
      </c>
      <c r="D588" s="41" t="s">
        <v>3556</v>
      </c>
      <c r="E588" s="41" t="s">
        <v>2586</v>
      </c>
      <c r="F588" s="41" t="s">
        <v>3557</v>
      </c>
      <c r="G588" s="41" t="s">
        <v>79</v>
      </c>
      <c r="H588" s="8" t="s">
        <v>47</v>
      </c>
      <c r="I588" s="70" t="s">
        <v>3558</v>
      </c>
      <c r="J588" s="70"/>
      <c r="K588" s="70" t="s">
        <v>250</v>
      </c>
      <c r="L588" s="41" t="s">
        <v>49</v>
      </c>
      <c r="M588" s="41" t="s">
        <v>128</v>
      </c>
      <c r="N588" s="10" t="s">
        <v>3559</v>
      </c>
      <c r="O588" s="8"/>
      <c r="P588" s="1"/>
    </row>
    <row r="589" spans="1:16" ht="21" hidden="1" customHeight="1">
      <c r="A589" s="10">
        <v>1</v>
      </c>
      <c r="B589" s="33" t="s">
        <v>48</v>
      </c>
      <c r="C589" s="41" t="s">
        <v>93</v>
      </c>
      <c r="D589" s="41" t="s">
        <v>3560</v>
      </c>
      <c r="E589" s="41" t="s">
        <v>3434</v>
      </c>
      <c r="F589" s="41" t="s">
        <v>3561</v>
      </c>
      <c r="G589" s="41" t="s">
        <v>85</v>
      </c>
      <c r="H589" s="8" t="s">
        <v>33</v>
      </c>
      <c r="I589" s="70"/>
      <c r="J589" s="70"/>
      <c r="K589" s="70" t="s">
        <v>101</v>
      </c>
      <c r="L589" s="41" t="s">
        <v>49</v>
      </c>
      <c r="M589" s="41"/>
      <c r="N589" s="10" t="s">
        <v>3562</v>
      </c>
      <c r="O589" s="8"/>
      <c r="P589" s="1"/>
    </row>
    <row r="590" spans="1:16" ht="21" customHeight="1">
      <c r="A590" s="10">
        <v>1</v>
      </c>
      <c r="B590" s="33" t="s">
        <v>48</v>
      </c>
      <c r="C590" s="41" t="s">
        <v>28</v>
      </c>
      <c r="D590" s="41" t="s">
        <v>3563</v>
      </c>
      <c r="E590" s="41" t="s">
        <v>841</v>
      </c>
      <c r="F590" s="41" t="s">
        <v>3564</v>
      </c>
      <c r="G590" s="41" t="s">
        <v>91</v>
      </c>
      <c r="H590" s="56" t="s">
        <v>67</v>
      </c>
      <c r="I590" s="70" t="s">
        <v>177</v>
      </c>
      <c r="J590" s="70"/>
      <c r="K590" s="70" t="s">
        <v>250</v>
      </c>
      <c r="L590" s="41" t="s">
        <v>49</v>
      </c>
      <c r="M590" s="41" t="s">
        <v>61</v>
      </c>
      <c r="N590" s="10" t="s">
        <v>3565</v>
      </c>
      <c r="O590" s="8"/>
      <c r="P590" s="1"/>
    </row>
    <row r="591" spans="1:16" ht="21" customHeight="1">
      <c r="A591" s="10">
        <v>1</v>
      </c>
      <c r="B591" s="33" t="s">
        <v>48</v>
      </c>
      <c r="C591" s="41" t="s">
        <v>398</v>
      </c>
      <c r="D591" s="110" t="s">
        <v>3566</v>
      </c>
      <c r="E591" s="110" t="s">
        <v>686</v>
      </c>
      <c r="F591" s="110" t="s">
        <v>3567</v>
      </c>
      <c r="G591" s="110" t="s">
        <v>1570</v>
      </c>
      <c r="H591" s="8" t="s">
        <v>206</v>
      </c>
      <c r="I591" s="70"/>
      <c r="J591" s="70"/>
      <c r="K591" s="70"/>
      <c r="L591" s="111" t="s">
        <v>3568</v>
      </c>
      <c r="M591" s="41"/>
      <c r="N591" s="10"/>
      <c r="O591" s="8"/>
      <c r="P591" s="1"/>
    </row>
    <row r="592" spans="1:16" ht="21" customHeight="1">
      <c r="A592" s="10">
        <v>1</v>
      </c>
      <c r="B592" s="33" t="s">
        <v>48</v>
      </c>
      <c r="C592" s="41" t="s">
        <v>398</v>
      </c>
      <c r="D592" s="110" t="s">
        <v>3569</v>
      </c>
      <c r="E592" s="110" t="s">
        <v>315</v>
      </c>
      <c r="F592" s="110" t="s">
        <v>3570</v>
      </c>
      <c r="G592" s="110" t="s">
        <v>66</v>
      </c>
      <c r="H592" s="8" t="s">
        <v>206</v>
      </c>
      <c r="I592" s="70"/>
      <c r="J592" s="70"/>
      <c r="K592" s="70"/>
      <c r="L592" s="111" t="s">
        <v>3568</v>
      </c>
      <c r="M592" s="41"/>
      <c r="N592" s="10"/>
      <c r="O592" s="8"/>
      <c r="P592" s="1"/>
    </row>
    <row r="593" spans="1:16" ht="21" customHeight="1">
      <c r="A593" s="10">
        <v>1</v>
      </c>
      <c r="B593" s="33" t="s">
        <v>48</v>
      </c>
      <c r="C593" s="41" t="s">
        <v>398</v>
      </c>
      <c r="D593" s="110" t="s">
        <v>3571</v>
      </c>
      <c r="E593" s="110" t="s">
        <v>145</v>
      </c>
      <c r="F593" s="110" t="s">
        <v>3572</v>
      </c>
      <c r="G593" s="110" t="s">
        <v>1593</v>
      </c>
      <c r="H593" s="8" t="s">
        <v>249</v>
      </c>
      <c r="I593" s="70"/>
      <c r="J593" s="70"/>
      <c r="K593" s="70"/>
      <c r="L593" s="111" t="s">
        <v>3568</v>
      </c>
      <c r="M593" s="41"/>
      <c r="N593" s="10"/>
      <c r="O593" s="8"/>
      <c r="P593" s="1"/>
    </row>
    <row r="594" spans="1:16" ht="21" customHeight="1">
      <c r="A594" s="10">
        <v>1</v>
      </c>
      <c r="B594" s="33" t="s">
        <v>48</v>
      </c>
      <c r="C594" s="41" t="s">
        <v>398</v>
      </c>
      <c r="D594" s="110" t="s">
        <v>3573</v>
      </c>
      <c r="E594" s="110" t="s">
        <v>3263</v>
      </c>
      <c r="F594" s="110" t="s">
        <v>3574</v>
      </c>
      <c r="G594" s="110" t="s">
        <v>1570</v>
      </c>
      <c r="H594" s="8" t="s">
        <v>206</v>
      </c>
      <c r="I594" s="70"/>
      <c r="J594" s="70"/>
      <c r="K594" s="70"/>
      <c r="L594" s="111" t="s">
        <v>3568</v>
      </c>
      <c r="M594" s="41"/>
      <c r="N594" s="10"/>
      <c r="O594" s="8"/>
      <c r="P594" s="1"/>
    </row>
    <row r="595" spans="1:16" ht="21" customHeight="1">
      <c r="A595" s="10">
        <v>1</v>
      </c>
      <c r="B595" s="33" t="s">
        <v>48</v>
      </c>
      <c r="C595" s="41" t="s">
        <v>398</v>
      </c>
      <c r="D595" s="110" t="s">
        <v>3575</v>
      </c>
      <c r="E595" s="110" t="s">
        <v>1637</v>
      </c>
      <c r="F595" s="110" t="s">
        <v>3576</v>
      </c>
      <c r="G595" s="110" t="s">
        <v>66</v>
      </c>
      <c r="H595" s="8" t="s">
        <v>206</v>
      </c>
      <c r="I595" s="70"/>
      <c r="J595" s="70"/>
      <c r="K595" s="70"/>
      <c r="L595" s="111" t="s">
        <v>3568</v>
      </c>
      <c r="M595" s="41"/>
      <c r="N595" s="10"/>
      <c r="O595" s="8"/>
      <c r="P595" s="1"/>
    </row>
    <row r="596" spans="1:16" ht="21" customHeight="1">
      <c r="A596" s="10">
        <v>1</v>
      </c>
      <c r="B596" s="33" t="s">
        <v>48</v>
      </c>
      <c r="C596" s="41" t="s">
        <v>398</v>
      </c>
      <c r="D596" s="110" t="s">
        <v>3577</v>
      </c>
      <c r="E596" s="110" t="s">
        <v>298</v>
      </c>
      <c r="F596" s="110" t="s">
        <v>3578</v>
      </c>
      <c r="G596" s="110" t="s">
        <v>1570</v>
      </c>
      <c r="H596" s="8" t="s">
        <v>206</v>
      </c>
      <c r="I596" s="70"/>
      <c r="J596" s="70"/>
      <c r="K596" s="70"/>
      <c r="L596" s="111" t="s">
        <v>3568</v>
      </c>
      <c r="M596" s="41"/>
      <c r="N596" s="10"/>
      <c r="O596" s="8"/>
      <c r="P596" s="1"/>
    </row>
    <row r="597" spans="1:16" ht="21" customHeight="1">
      <c r="A597" s="10">
        <v>1</v>
      </c>
      <c r="B597" s="33" t="s">
        <v>48</v>
      </c>
      <c r="C597" s="41" t="s">
        <v>398</v>
      </c>
      <c r="D597" s="110" t="s">
        <v>3579</v>
      </c>
      <c r="E597" s="110" t="s">
        <v>1637</v>
      </c>
      <c r="F597" s="110" t="s">
        <v>3580</v>
      </c>
      <c r="G597" s="110" t="s">
        <v>66</v>
      </c>
      <c r="H597" s="8" t="s">
        <v>206</v>
      </c>
      <c r="I597" s="70"/>
      <c r="J597" s="70"/>
      <c r="K597" s="70"/>
      <c r="L597" s="111" t="s">
        <v>3568</v>
      </c>
      <c r="M597" s="41"/>
      <c r="N597" s="10"/>
      <c r="O597" s="8"/>
      <c r="P597" s="1"/>
    </row>
    <row r="598" spans="1:16" ht="21" customHeight="1">
      <c r="A598" s="10">
        <v>1</v>
      </c>
      <c r="B598" s="33" t="s">
        <v>48</v>
      </c>
      <c r="C598" s="41" t="s">
        <v>398</v>
      </c>
      <c r="D598" s="110" t="s">
        <v>3581</v>
      </c>
      <c r="E598" s="110" t="s">
        <v>363</v>
      </c>
      <c r="F598" s="110" t="s">
        <v>3582</v>
      </c>
      <c r="G598" s="110" t="s">
        <v>66</v>
      </c>
      <c r="H598" s="8" t="s">
        <v>206</v>
      </c>
      <c r="I598" s="70"/>
      <c r="J598" s="70"/>
      <c r="K598" s="70"/>
      <c r="L598" s="111" t="s">
        <v>3568</v>
      </c>
      <c r="M598" s="41"/>
      <c r="N598" s="10"/>
      <c r="O598" s="8"/>
      <c r="P598" s="1"/>
    </row>
    <row r="599" spans="1:16" ht="21" customHeight="1">
      <c r="A599" s="10">
        <v>1</v>
      </c>
      <c r="B599" s="33" t="s">
        <v>48</v>
      </c>
      <c r="C599" s="41" t="s">
        <v>398</v>
      </c>
      <c r="D599" s="110" t="s">
        <v>3583</v>
      </c>
      <c r="E599" s="110" t="s">
        <v>315</v>
      </c>
      <c r="F599" s="110" t="s">
        <v>3584</v>
      </c>
      <c r="G599" s="110" t="s">
        <v>66</v>
      </c>
      <c r="H599" s="8" t="s">
        <v>206</v>
      </c>
      <c r="I599" s="70"/>
      <c r="J599" s="70"/>
      <c r="K599" s="70"/>
      <c r="L599" s="111" t="s">
        <v>3568</v>
      </c>
      <c r="M599" s="41"/>
      <c r="N599" s="10"/>
      <c r="O599" s="8"/>
      <c r="P599" s="1"/>
    </row>
    <row r="600" spans="1:16" ht="21" customHeight="1">
      <c r="A600" s="10">
        <v>1</v>
      </c>
      <c r="B600" s="33" t="s">
        <v>48</v>
      </c>
      <c r="C600" s="41" t="s">
        <v>398</v>
      </c>
      <c r="D600" s="110" t="s">
        <v>3585</v>
      </c>
      <c r="E600" s="110" t="s">
        <v>39</v>
      </c>
      <c r="F600" s="110" t="s">
        <v>3586</v>
      </c>
      <c r="G600" s="110" t="s">
        <v>41</v>
      </c>
      <c r="H600" s="8" t="s">
        <v>215</v>
      </c>
      <c r="I600" s="70"/>
      <c r="J600" s="70"/>
      <c r="K600" s="70"/>
      <c r="L600" s="111" t="s">
        <v>3568</v>
      </c>
      <c r="M600" s="41"/>
      <c r="N600" s="10"/>
      <c r="O600" s="8"/>
      <c r="P600" s="1"/>
    </row>
    <row r="601" spans="1:16" ht="21" customHeight="1">
      <c r="A601" s="10">
        <v>1</v>
      </c>
      <c r="B601" s="33" t="s">
        <v>48</v>
      </c>
      <c r="C601" s="41" t="s">
        <v>398</v>
      </c>
      <c r="D601" s="110" t="s">
        <v>3587</v>
      </c>
      <c r="E601" s="110" t="s">
        <v>315</v>
      </c>
      <c r="F601" s="110" t="s">
        <v>3588</v>
      </c>
      <c r="G601" s="110" t="s">
        <v>66</v>
      </c>
      <c r="H601" s="8" t="s">
        <v>206</v>
      </c>
      <c r="I601" s="70"/>
      <c r="J601" s="70"/>
      <c r="K601" s="70"/>
      <c r="L601" s="111" t="s">
        <v>3568</v>
      </c>
      <c r="M601" s="41"/>
      <c r="N601" s="10"/>
      <c r="O601" s="8"/>
      <c r="P601" s="1"/>
    </row>
    <row r="602" spans="1:16" ht="21" customHeight="1">
      <c r="A602" s="10">
        <v>1</v>
      </c>
      <c r="B602" s="33" t="s">
        <v>48</v>
      </c>
      <c r="C602" s="41" t="s">
        <v>398</v>
      </c>
      <c r="D602" s="110" t="s">
        <v>3589</v>
      </c>
      <c r="E602" s="110" t="s">
        <v>1637</v>
      </c>
      <c r="F602" s="110" t="s">
        <v>3590</v>
      </c>
      <c r="G602" s="110" t="s">
        <v>66</v>
      </c>
      <c r="H602" s="8" t="s">
        <v>206</v>
      </c>
      <c r="I602" s="70"/>
      <c r="J602" s="70"/>
      <c r="K602" s="70"/>
      <c r="L602" s="111" t="s">
        <v>3568</v>
      </c>
      <c r="M602" s="41"/>
      <c r="N602" s="10"/>
      <c r="O602" s="8"/>
      <c r="P602" s="1"/>
    </row>
    <row r="603" spans="1:16" ht="21" customHeight="1">
      <c r="A603" s="10">
        <v>1</v>
      </c>
      <c r="B603" s="33" t="s">
        <v>48</v>
      </c>
      <c r="C603" s="41" t="s">
        <v>398</v>
      </c>
      <c r="D603" s="110" t="s">
        <v>3591</v>
      </c>
      <c r="E603" s="110" t="s">
        <v>363</v>
      </c>
      <c r="F603" s="110" t="s">
        <v>3592</v>
      </c>
      <c r="G603" s="110" t="s">
        <v>66</v>
      </c>
      <c r="H603" s="8" t="s">
        <v>206</v>
      </c>
      <c r="I603" s="70"/>
      <c r="J603" s="70"/>
      <c r="K603" s="70"/>
      <c r="L603" s="111" t="s">
        <v>3568</v>
      </c>
      <c r="M603" s="41"/>
      <c r="N603" s="10"/>
      <c r="O603" s="8"/>
      <c r="P603" s="1"/>
    </row>
    <row r="604" spans="1:16" ht="21" customHeight="1">
      <c r="A604" s="10">
        <v>1</v>
      </c>
      <c r="B604" s="33" t="s">
        <v>48</v>
      </c>
      <c r="C604" s="41" t="s">
        <v>398</v>
      </c>
      <c r="D604" s="110" t="s">
        <v>3593</v>
      </c>
      <c r="E604" s="110" t="s">
        <v>298</v>
      </c>
      <c r="F604" s="110" t="s">
        <v>3594</v>
      </c>
      <c r="G604" s="110" t="s">
        <v>1570</v>
      </c>
      <c r="H604" s="8" t="s">
        <v>206</v>
      </c>
      <c r="I604" s="70"/>
      <c r="J604" s="70"/>
      <c r="K604" s="70"/>
      <c r="L604" s="111" t="s">
        <v>3568</v>
      </c>
      <c r="M604" s="41"/>
      <c r="N604" s="10"/>
      <c r="O604" s="8"/>
      <c r="P604" s="1"/>
    </row>
    <row r="605" spans="1:16" ht="21" customHeight="1">
      <c r="A605" s="10">
        <v>1</v>
      </c>
      <c r="B605" s="33" t="s">
        <v>48</v>
      </c>
      <c r="C605" s="41" t="s">
        <v>398</v>
      </c>
      <c r="D605" s="110" t="s">
        <v>3595</v>
      </c>
      <c r="E605" s="110" t="s">
        <v>226</v>
      </c>
      <c r="F605" s="110" t="s">
        <v>3596</v>
      </c>
      <c r="G605" s="110" t="s">
        <v>1570</v>
      </c>
      <c r="H605" s="8" t="s">
        <v>206</v>
      </c>
      <c r="I605" s="70"/>
      <c r="J605" s="70"/>
      <c r="K605" s="70"/>
      <c r="L605" s="111" t="s">
        <v>3568</v>
      </c>
      <c r="M605" s="41"/>
      <c r="N605" s="10"/>
      <c r="O605" s="8"/>
      <c r="P605" s="1"/>
    </row>
    <row r="606" spans="1:16" ht="21" customHeight="1">
      <c r="A606" s="10">
        <v>1</v>
      </c>
      <c r="B606" s="33" t="s">
        <v>48</v>
      </c>
      <c r="C606" s="41" t="s">
        <v>398</v>
      </c>
      <c r="D606" s="110" t="s">
        <v>3597</v>
      </c>
      <c r="E606" s="110" t="s">
        <v>1242</v>
      </c>
      <c r="F606" s="110" t="s">
        <v>3598</v>
      </c>
      <c r="G606" s="110" t="s">
        <v>66</v>
      </c>
      <c r="H606" s="8" t="s">
        <v>206</v>
      </c>
      <c r="I606" s="70"/>
      <c r="J606" s="70"/>
      <c r="K606" s="70"/>
      <c r="L606" s="111" t="s">
        <v>3568</v>
      </c>
      <c r="M606" s="41"/>
      <c r="N606" s="10"/>
      <c r="O606" s="8"/>
      <c r="P606" s="1"/>
    </row>
    <row r="607" spans="1:16" ht="21" customHeight="1">
      <c r="A607" s="10">
        <v>1</v>
      </c>
      <c r="B607" s="33" t="s">
        <v>48</v>
      </c>
      <c r="C607" s="41" t="s">
        <v>398</v>
      </c>
      <c r="D607" s="110" t="s">
        <v>3599</v>
      </c>
      <c r="E607" s="110" t="s">
        <v>1595</v>
      </c>
      <c r="F607" s="110" t="s">
        <v>3600</v>
      </c>
      <c r="G607" s="110" t="s">
        <v>66</v>
      </c>
      <c r="H607" s="8" t="s">
        <v>206</v>
      </c>
      <c r="I607" s="70"/>
      <c r="J607" s="70"/>
      <c r="K607" s="70"/>
      <c r="L607" s="111" t="s">
        <v>3568</v>
      </c>
      <c r="M607" s="41"/>
      <c r="N607" s="10"/>
      <c r="O607" s="8"/>
      <c r="P607" s="1"/>
    </row>
    <row r="608" spans="1:16" ht="21" customHeight="1">
      <c r="A608" s="10">
        <v>1</v>
      </c>
      <c r="B608" s="33" t="s">
        <v>48</v>
      </c>
      <c r="C608" s="41" t="s">
        <v>398</v>
      </c>
      <c r="D608" s="110" t="s">
        <v>3601</v>
      </c>
      <c r="E608" s="110" t="s">
        <v>145</v>
      </c>
      <c r="F608" s="110" t="s">
        <v>3602</v>
      </c>
      <c r="G608" s="110" t="s">
        <v>1582</v>
      </c>
      <c r="H608" s="8" t="s">
        <v>249</v>
      </c>
      <c r="I608" s="70"/>
      <c r="J608" s="70"/>
      <c r="K608" s="70"/>
      <c r="L608" s="111" t="s">
        <v>3568</v>
      </c>
      <c r="M608" s="41"/>
      <c r="N608" s="10"/>
      <c r="O608" s="8"/>
      <c r="P608" s="1"/>
    </row>
    <row r="609" spans="1:16" ht="21" customHeight="1">
      <c r="A609" s="10">
        <v>1</v>
      </c>
      <c r="B609" s="33" t="s">
        <v>48</v>
      </c>
      <c r="C609" s="41" t="s">
        <v>398</v>
      </c>
      <c r="D609" s="110" t="s">
        <v>3603</v>
      </c>
      <c r="E609" s="110" t="s">
        <v>1595</v>
      </c>
      <c r="F609" s="110" t="s">
        <v>3604</v>
      </c>
      <c r="G609" s="110" t="s">
        <v>66</v>
      </c>
      <c r="H609" s="8" t="s">
        <v>206</v>
      </c>
      <c r="I609" s="70"/>
      <c r="J609" s="70"/>
      <c r="K609" s="70"/>
      <c r="L609" s="111" t="s">
        <v>3568</v>
      </c>
      <c r="M609" s="41"/>
      <c r="N609" s="10"/>
      <c r="O609" s="8"/>
      <c r="P609" s="1"/>
    </row>
    <row r="610" spans="1:16" ht="21" customHeight="1">
      <c r="A610" s="10">
        <v>1</v>
      </c>
      <c r="B610" s="33" t="s">
        <v>48</v>
      </c>
      <c r="C610" s="41" t="s">
        <v>398</v>
      </c>
      <c r="D610" s="110" t="s">
        <v>3605</v>
      </c>
      <c r="E610" s="110" t="s">
        <v>315</v>
      </c>
      <c r="F610" s="110" t="s">
        <v>3606</v>
      </c>
      <c r="G610" s="110" t="s">
        <v>66</v>
      </c>
      <c r="H610" s="8" t="s">
        <v>206</v>
      </c>
      <c r="I610" s="70"/>
      <c r="J610" s="70"/>
      <c r="K610" s="70"/>
      <c r="L610" s="111" t="s">
        <v>3568</v>
      </c>
      <c r="M610" s="41"/>
      <c r="N610" s="10"/>
      <c r="O610" s="8"/>
      <c r="P610" s="1"/>
    </row>
    <row r="611" spans="1:16" ht="21" customHeight="1">
      <c r="A611" s="10">
        <v>1</v>
      </c>
      <c r="B611" s="33" t="s">
        <v>48</v>
      </c>
      <c r="C611" s="41" t="s">
        <v>398</v>
      </c>
      <c r="D611" s="110" t="s">
        <v>3607</v>
      </c>
      <c r="E611" s="110" t="s">
        <v>231</v>
      </c>
      <c r="F611" s="110" t="s">
        <v>3608</v>
      </c>
      <c r="G611" s="110" t="s">
        <v>32</v>
      </c>
      <c r="H611" s="8" t="s">
        <v>215</v>
      </c>
      <c r="I611" s="70"/>
      <c r="J611" s="70"/>
      <c r="K611" s="70"/>
      <c r="L611" s="111" t="s">
        <v>3568</v>
      </c>
      <c r="M611" s="41"/>
      <c r="N611" s="10"/>
      <c r="O611" s="8"/>
      <c r="P611" s="1"/>
    </row>
    <row r="612" spans="1:16" ht="21" customHeight="1">
      <c r="A612" s="10">
        <v>1</v>
      </c>
      <c r="B612" s="33" t="s">
        <v>48</v>
      </c>
      <c r="C612" s="41" t="s">
        <v>398</v>
      </c>
      <c r="D612" s="110" t="s">
        <v>3609</v>
      </c>
      <c r="E612" s="110" t="s">
        <v>1595</v>
      </c>
      <c r="F612" s="110" t="s">
        <v>3610</v>
      </c>
      <c r="G612" s="110" t="s">
        <v>66</v>
      </c>
      <c r="H612" s="8" t="s">
        <v>206</v>
      </c>
      <c r="I612" s="70"/>
      <c r="J612" s="70"/>
      <c r="K612" s="70"/>
      <c r="L612" s="111" t="s">
        <v>3568</v>
      </c>
      <c r="M612" s="41"/>
      <c r="N612" s="10"/>
      <c r="O612" s="8"/>
      <c r="P612" s="1"/>
    </row>
    <row r="613" spans="1:16" ht="21" customHeight="1">
      <c r="A613" s="10">
        <v>1</v>
      </c>
      <c r="B613" s="33" t="s">
        <v>48</v>
      </c>
      <c r="C613" s="41" t="s">
        <v>398</v>
      </c>
      <c r="D613" s="110" t="s">
        <v>3611</v>
      </c>
      <c r="E613" s="110" t="s">
        <v>39</v>
      </c>
      <c r="F613" s="110" t="s">
        <v>3612</v>
      </c>
      <c r="G613" s="110" t="s">
        <v>41</v>
      </c>
      <c r="H613" s="8" t="s">
        <v>215</v>
      </c>
      <c r="I613" s="70"/>
      <c r="J613" s="70"/>
      <c r="K613" s="70"/>
      <c r="L613" s="111" t="s">
        <v>3568</v>
      </c>
      <c r="M613" s="41"/>
      <c r="N613" s="10"/>
      <c r="O613" s="8"/>
      <c r="P613" s="1"/>
    </row>
    <row r="614" spans="1:16" ht="21" customHeight="1">
      <c r="A614" s="10">
        <v>1</v>
      </c>
      <c r="B614" s="33" t="s">
        <v>48</v>
      </c>
      <c r="C614" s="41" t="s">
        <v>398</v>
      </c>
      <c r="D614" s="110" t="s">
        <v>3613</v>
      </c>
      <c r="E614" s="110" t="s">
        <v>1802</v>
      </c>
      <c r="F614" s="110" t="s">
        <v>3614</v>
      </c>
      <c r="G614" s="110" t="s">
        <v>41</v>
      </c>
      <c r="H614" s="8" t="s">
        <v>215</v>
      </c>
      <c r="I614" s="70"/>
      <c r="J614" s="70"/>
      <c r="K614" s="70"/>
      <c r="L614" s="111" t="s">
        <v>3568</v>
      </c>
      <c r="M614" s="41"/>
      <c r="N614" s="10"/>
      <c r="O614" s="8"/>
      <c r="P614" s="1"/>
    </row>
    <row r="615" spans="1:16" ht="21" customHeight="1">
      <c r="A615" s="10">
        <v>1</v>
      </c>
      <c r="B615" s="33" t="s">
        <v>48</v>
      </c>
      <c r="C615" s="41" t="s">
        <v>398</v>
      </c>
      <c r="D615" s="110" t="s">
        <v>3615</v>
      </c>
      <c r="E615" s="110" t="s">
        <v>3616</v>
      </c>
      <c r="F615" s="110" t="s">
        <v>3617</v>
      </c>
      <c r="G615" s="110" t="s">
        <v>66</v>
      </c>
      <c r="H615" s="8" t="s">
        <v>206</v>
      </c>
      <c r="I615" s="70"/>
      <c r="J615" s="70"/>
      <c r="K615" s="70"/>
      <c r="L615" s="111" t="s">
        <v>3568</v>
      </c>
      <c r="M615" s="41"/>
      <c r="N615" s="10"/>
      <c r="O615" s="8"/>
      <c r="P615" s="1"/>
    </row>
    <row r="616" spans="1:16" ht="21" customHeight="1">
      <c r="A616" s="10">
        <v>1</v>
      </c>
      <c r="B616" s="33" t="s">
        <v>48</v>
      </c>
      <c r="C616" s="41" t="s">
        <v>398</v>
      </c>
      <c r="D616" s="110" t="s">
        <v>3618</v>
      </c>
      <c r="E616" s="110" t="s">
        <v>1916</v>
      </c>
      <c r="F616" s="110" t="s">
        <v>3619</v>
      </c>
      <c r="G616" s="110" t="s">
        <v>1570</v>
      </c>
      <c r="H616" s="8" t="s">
        <v>206</v>
      </c>
      <c r="I616" s="70"/>
      <c r="J616" s="70"/>
      <c r="K616" s="70"/>
      <c r="L616" s="111" t="s">
        <v>3568</v>
      </c>
      <c r="M616" s="41"/>
      <c r="N616" s="10"/>
      <c r="O616" s="8"/>
      <c r="P616" s="1"/>
    </row>
    <row r="617" spans="1:16" ht="21" customHeight="1">
      <c r="A617" s="10">
        <v>1</v>
      </c>
      <c r="B617" s="33" t="s">
        <v>48</v>
      </c>
      <c r="C617" s="41" t="s">
        <v>398</v>
      </c>
      <c r="D617" s="110" t="s">
        <v>3620</v>
      </c>
      <c r="E617" s="110" t="s">
        <v>1782</v>
      </c>
      <c r="F617" s="110" t="s">
        <v>3621</v>
      </c>
      <c r="G617" s="110" t="s">
        <v>1570</v>
      </c>
      <c r="H617" s="8" t="s">
        <v>206</v>
      </c>
      <c r="I617" s="70"/>
      <c r="J617" s="70"/>
      <c r="K617" s="70"/>
      <c r="L617" s="111" t="s">
        <v>3568</v>
      </c>
      <c r="M617" s="41"/>
      <c r="N617" s="10"/>
      <c r="O617" s="8"/>
      <c r="P617" s="1"/>
    </row>
    <row r="618" spans="1:16" ht="21" customHeight="1">
      <c r="A618" s="10">
        <v>1</v>
      </c>
      <c r="B618" s="33" t="s">
        <v>48</v>
      </c>
      <c r="C618" s="41" t="s">
        <v>398</v>
      </c>
      <c r="D618" s="110" t="s">
        <v>3622</v>
      </c>
      <c r="E618" s="110" t="s">
        <v>619</v>
      </c>
      <c r="F618" s="110" t="s">
        <v>3623</v>
      </c>
      <c r="G618" s="110" t="s">
        <v>66</v>
      </c>
      <c r="H618" s="8" t="s">
        <v>206</v>
      </c>
      <c r="I618" s="70"/>
      <c r="J618" s="70"/>
      <c r="K618" s="70"/>
      <c r="L618" s="111" t="s">
        <v>3568</v>
      </c>
      <c r="M618" s="41"/>
      <c r="N618" s="10"/>
      <c r="O618" s="8"/>
      <c r="P618" s="1"/>
    </row>
    <row r="619" spans="1:16" ht="21" customHeight="1">
      <c r="A619" s="10">
        <v>1</v>
      </c>
      <c r="B619" s="33" t="s">
        <v>48</v>
      </c>
      <c r="C619" s="41" t="s">
        <v>398</v>
      </c>
      <c r="D619" s="110" t="s">
        <v>3624</v>
      </c>
      <c r="E619" s="110" t="s">
        <v>298</v>
      </c>
      <c r="F619" s="110" t="s">
        <v>3625</v>
      </c>
      <c r="G619" s="110" t="s">
        <v>1570</v>
      </c>
      <c r="H619" s="8" t="s">
        <v>206</v>
      </c>
      <c r="I619" s="70"/>
      <c r="J619" s="70"/>
      <c r="K619" s="70"/>
      <c r="L619" s="111" t="s">
        <v>3568</v>
      </c>
      <c r="M619" s="41"/>
      <c r="N619" s="10"/>
      <c r="O619" s="8"/>
      <c r="P619" s="1"/>
    </row>
    <row r="620" spans="1:16" ht="21" customHeight="1">
      <c r="A620" s="10">
        <v>1</v>
      </c>
      <c r="B620" s="33" t="s">
        <v>48</v>
      </c>
      <c r="C620" s="41" t="s">
        <v>398</v>
      </c>
      <c r="D620" s="110" t="s">
        <v>3626</v>
      </c>
      <c r="E620" s="110" t="s">
        <v>1595</v>
      </c>
      <c r="F620" s="110" t="s">
        <v>3627</v>
      </c>
      <c r="G620" s="110" t="s">
        <v>66</v>
      </c>
      <c r="H620" s="8" t="s">
        <v>206</v>
      </c>
      <c r="I620" s="70"/>
      <c r="J620" s="70"/>
      <c r="K620" s="70"/>
      <c r="L620" s="111" t="s">
        <v>3568</v>
      </c>
      <c r="M620" s="41"/>
      <c r="N620" s="10"/>
      <c r="O620" s="8"/>
      <c r="P620" s="1"/>
    </row>
    <row r="621" spans="1:16" ht="21" customHeight="1">
      <c r="A621" s="10">
        <v>1</v>
      </c>
      <c r="B621" s="33" t="s">
        <v>48</v>
      </c>
      <c r="C621" s="41" t="s">
        <v>398</v>
      </c>
      <c r="D621" s="110" t="s">
        <v>3628</v>
      </c>
      <c r="E621" s="110" t="s">
        <v>1899</v>
      </c>
      <c r="F621" s="110" t="s">
        <v>3629</v>
      </c>
      <c r="G621" s="110" t="s">
        <v>1570</v>
      </c>
      <c r="H621" s="8" t="s">
        <v>206</v>
      </c>
      <c r="I621" s="70"/>
      <c r="J621" s="70"/>
      <c r="K621" s="70"/>
      <c r="L621" s="111" t="s">
        <v>3568</v>
      </c>
      <c r="M621" s="41"/>
      <c r="N621" s="10"/>
      <c r="O621" s="8"/>
      <c r="P621" s="1"/>
    </row>
    <row r="622" spans="1:16" ht="21" customHeight="1">
      <c r="A622" s="10">
        <v>1</v>
      </c>
      <c r="B622" s="33" t="s">
        <v>48</v>
      </c>
      <c r="C622" s="41" t="s">
        <v>398</v>
      </c>
      <c r="D622" s="110" t="s">
        <v>3630</v>
      </c>
      <c r="E622" s="110" t="s">
        <v>89</v>
      </c>
      <c r="F622" s="110" t="s">
        <v>3631</v>
      </c>
      <c r="G622" s="110" t="s">
        <v>1570</v>
      </c>
      <c r="H622" s="8" t="s">
        <v>206</v>
      </c>
      <c r="I622" s="70"/>
      <c r="J622" s="70"/>
      <c r="K622" s="70"/>
      <c r="L622" s="111" t="s">
        <v>3568</v>
      </c>
      <c r="M622" s="41"/>
      <c r="N622" s="10"/>
      <c r="O622" s="8"/>
      <c r="P622" s="1"/>
    </row>
    <row r="623" spans="1:16" ht="21" customHeight="1">
      <c r="A623" s="10">
        <v>1</v>
      </c>
      <c r="B623" s="33" t="s">
        <v>48</v>
      </c>
      <c r="C623" s="41" t="s">
        <v>398</v>
      </c>
      <c r="D623" s="110" t="s">
        <v>3632</v>
      </c>
      <c r="E623" s="110" t="s">
        <v>3042</v>
      </c>
      <c r="F623" s="110" t="s">
        <v>3633</v>
      </c>
      <c r="G623" s="110" t="s">
        <v>1582</v>
      </c>
      <c r="H623" s="8" t="s">
        <v>249</v>
      </c>
      <c r="I623" s="70"/>
      <c r="J623" s="70"/>
      <c r="K623" s="70"/>
      <c r="L623" s="111" t="s">
        <v>3568</v>
      </c>
      <c r="M623" s="41"/>
      <c r="N623" s="10"/>
      <c r="O623" s="8"/>
      <c r="P623" s="1"/>
    </row>
    <row r="624" spans="1:16" ht="21" customHeight="1">
      <c r="A624" s="10">
        <v>1</v>
      </c>
      <c r="B624" s="33" t="s">
        <v>48</v>
      </c>
      <c r="C624" s="41" t="s">
        <v>398</v>
      </c>
      <c r="D624" s="110" t="s">
        <v>3634</v>
      </c>
      <c r="E624" s="110" t="s">
        <v>290</v>
      </c>
      <c r="F624" s="110" t="s">
        <v>3635</v>
      </c>
      <c r="G624" s="110" t="s">
        <v>1570</v>
      </c>
      <c r="H624" s="8" t="s">
        <v>206</v>
      </c>
      <c r="I624" s="70"/>
      <c r="J624" s="70"/>
      <c r="K624" s="70"/>
      <c r="L624" s="111" t="s">
        <v>3568</v>
      </c>
      <c r="M624" s="41"/>
      <c r="N624" s="10"/>
      <c r="O624" s="8"/>
      <c r="P624" s="1"/>
    </row>
    <row r="625" spans="1:16" ht="21" customHeight="1">
      <c r="A625" s="10">
        <v>1</v>
      </c>
      <c r="B625" s="33" t="s">
        <v>48</v>
      </c>
      <c r="C625" s="41" t="s">
        <v>398</v>
      </c>
      <c r="D625" s="110" t="s">
        <v>3636</v>
      </c>
      <c r="E625" s="110" t="s">
        <v>1612</v>
      </c>
      <c r="F625" s="110" t="s">
        <v>3637</v>
      </c>
      <c r="G625" s="110" t="s">
        <v>66</v>
      </c>
      <c r="H625" s="8" t="s">
        <v>206</v>
      </c>
      <c r="I625" s="70"/>
      <c r="J625" s="70"/>
      <c r="K625" s="70"/>
      <c r="L625" s="111" t="s">
        <v>3568</v>
      </c>
      <c r="M625" s="41"/>
      <c r="N625" s="10"/>
      <c r="O625" s="8"/>
      <c r="P625" s="1"/>
    </row>
    <row r="626" spans="1:16" ht="21" customHeight="1">
      <c r="A626" s="10">
        <v>1</v>
      </c>
      <c r="B626" s="33" t="s">
        <v>48</v>
      </c>
      <c r="C626" s="41" t="s">
        <v>398</v>
      </c>
      <c r="D626" s="110" t="s">
        <v>3638</v>
      </c>
      <c r="E626" s="110" t="s">
        <v>1620</v>
      </c>
      <c r="F626" s="110" t="s">
        <v>3639</v>
      </c>
      <c r="G626" s="110" t="s">
        <v>41</v>
      </c>
      <c r="H626" s="8" t="s">
        <v>215</v>
      </c>
      <c r="I626" s="70"/>
      <c r="J626" s="70"/>
      <c r="K626" s="70"/>
      <c r="L626" s="111" t="s">
        <v>3568</v>
      </c>
      <c r="M626" s="41"/>
      <c r="N626" s="10"/>
      <c r="O626" s="8"/>
      <c r="P626" s="1"/>
    </row>
    <row r="627" spans="1:16" ht="21" customHeight="1">
      <c r="A627" s="10">
        <v>1</v>
      </c>
      <c r="B627" s="33" t="s">
        <v>48</v>
      </c>
      <c r="C627" s="41" t="s">
        <v>398</v>
      </c>
      <c r="D627" s="110" t="s">
        <v>3640</v>
      </c>
      <c r="E627" s="110" t="s">
        <v>1134</v>
      </c>
      <c r="F627" s="110" t="s">
        <v>3641</v>
      </c>
      <c r="G627" s="110" t="s">
        <v>41</v>
      </c>
      <c r="H627" s="8" t="s">
        <v>215</v>
      </c>
      <c r="I627" s="70"/>
      <c r="J627" s="70"/>
      <c r="K627" s="70"/>
      <c r="L627" s="111" t="s">
        <v>3568</v>
      </c>
      <c r="M627" s="41"/>
      <c r="N627" s="10"/>
      <c r="O627" s="8"/>
      <c r="P627" s="1"/>
    </row>
    <row r="628" spans="1:16" ht="21" customHeight="1">
      <c r="A628" s="10">
        <v>1</v>
      </c>
      <c r="B628" s="33" t="s">
        <v>48</v>
      </c>
      <c r="C628" s="41" t="s">
        <v>398</v>
      </c>
      <c r="D628" s="110" t="s">
        <v>3642</v>
      </c>
      <c r="E628" s="110" t="s">
        <v>623</v>
      </c>
      <c r="F628" s="110" t="s">
        <v>3643</v>
      </c>
      <c r="G628" s="110" t="s">
        <v>280</v>
      </c>
      <c r="H628" s="8" t="s">
        <v>215</v>
      </c>
      <c r="I628" s="70"/>
      <c r="J628" s="70"/>
      <c r="K628" s="70"/>
      <c r="L628" s="111" t="s">
        <v>3568</v>
      </c>
      <c r="M628" s="41"/>
      <c r="N628" s="10"/>
      <c r="O628" s="8"/>
      <c r="P628" s="1"/>
    </row>
    <row r="629" spans="1:16" ht="21" customHeight="1">
      <c r="A629" s="10">
        <v>1</v>
      </c>
      <c r="B629" s="33" t="s">
        <v>48</v>
      </c>
      <c r="C629" s="41" t="s">
        <v>398</v>
      </c>
      <c r="D629" s="110" t="s">
        <v>3644</v>
      </c>
      <c r="E629" s="110" t="s">
        <v>89</v>
      </c>
      <c r="F629" s="110" t="s">
        <v>3645</v>
      </c>
      <c r="G629" s="110" t="s">
        <v>1570</v>
      </c>
      <c r="H629" s="8" t="s">
        <v>206</v>
      </c>
      <c r="I629" s="70"/>
      <c r="J629" s="70"/>
      <c r="K629" s="70"/>
      <c r="L629" s="111" t="s">
        <v>3568</v>
      </c>
      <c r="M629" s="41"/>
      <c r="N629" s="10"/>
      <c r="O629" s="8"/>
      <c r="P629" s="1"/>
    </row>
    <row r="630" spans="1:16" ht="21" customHeight="1">
      <c r="A630" s="10">
        <v>1</v>
      </c>
      <c r="B630" s="33" t="s">
        <v>48</v>
      </c>
      <c r="C630" s="41" t="s">
        <v>398</v>
      </c>
      <c r="D630" s="110" t="s">
        <v>3646</v>
      </c>
      <c r="E630" s="110" t="s">
        <v>136</v>
      </c>
      <c r="F630" s="110" t="s">
        <v>3647</v>
      </c>
      <c r="G630" s="110" t="s">
        <v>66</v>
      </c>
      <c r="H630" s="8" t="s">
        <v>206</v>
      </c>
      <c r="I630" s="70"/>
      <c r="J630" s="70"/>
      <c r="K630" s="70"/>
      <c r="L630" s="111" t="s">
        <v>3568</v>
      </c>
      <c r="M630" s="41"/>
      <c r="N630" s="10"/>
      <c r="O630" s="8"/>
      <c r="P630" s="1"/>
    </row>
    <row r="631" spans="1:16" ht="21" customHeight="1">
      <c r="A631" s="10">
        <v>1</v>
      </c>
      <c r="B631" s="33" t="s">
        <v>48</v>
      </c>
      <c r="C631" s="41" t="s">
        <v>398</v>
      </c>
      <c r="D631" s="110" t="s">
        <v>3648</v>
      </c>
      <c r="E631" s="110" t="s">
        <v>3649</v>
      </c>
      <c r="F631" s="110" t="s">
        <v>3650</v>
      </c>
      <c r="G631" s="110" t="s">
        <v>3651</v>
      </c>
      <c r="H631" s="8" t="s">
        <v>249</v>
      </c>
      <c r="I631" s="70"/>
      <c r="J631" s="70"/>
      <c r="K631" s="70"/>
      <c r="L631" s="111" t="s">
        <v>3568</v>
      </c>
      <c r="M631" s="41"/>
      <c r="N631" s="10"/>
      <c r="O631" s="8"/>
      <c r="P631" s="1"/>
    </row>
    <row r="632" spans="1:16" ht="21" customHeight="1">
      <c r="A632" s="10">
        <v>1</v>
      </c>
      <c r="B632" s="33" t="s">
        <v>48</v>
      </c>
      <c r="C632" s="41" t="s">
        <v>398</v>
      </c>
      <c r="D632" s="110" t="s">
        <v>3652</v>
      </c>
      <c r="E632" s="110" t="s">
        <v>1802</v>
      </c>
      <c r="F632" s="110" t="s">
        <v>3653</v>
      </c>
      <c r="G632" s="110" t="s">
        <v>3654</v>
      </c>
      <c r="H632" s="8" t="s">
        <v>215</v>
      </c>
      <c r="I632" s="70"/>
      <c r="J632" s="70"/>
      <c r="K632" s="70"/>
      <c r="L632" s="111" t="s">
        <v>3568</v>
      </c>
      <c r="M632" s="41"/>
      <c r="N632" s="10"/>
      <c r="O632" s="8"/>
      <c r="P632" s="1"/>
    </row>
    <row r="633" spans="1:16" ht="21" customHeight="1">
      <c r="A633" s="10">
        <v>1</v>
      </c>
      <c r="B633" s="33" t="s">
        <v>48</v>
      </c>
      <c r="C633" s="41" t="s">
        <v>398</v>
      </c>
      <c r="D633" s="110" t="s">
        <v>3655</v>
      </c>
      <c r="E633" s="110" t="s">
        <v>157</v>
      </c>
      <c r="F633" s="110" t="s">
        <v>3656</v>
      </c>
      <c r="G633" s="110" t="s">
        <v>1746</v>
      </c>
      <c r="H633" s="8" t="s">
        <v>215</v>
      </c>
      <c r="I633" s="70"/>
      <c r="J633" s="70"/>
      <c r="K633" s="70"/>
      <c r="L633" s="111" t="s">
        <v>3568</v>
      </c>
      <c r="M633" s="41"/>
      <c r="N633" s="10"/>
      <c r="O633" s="8"/>
      <c r="P633" s="1"/>
    </row>
    <row r="634" spans="1:16" ht="21" customHeight="1">
      <c r="A634" s="10">
        <v>1</v>
      </c>
      <c r="B634" s="33" t="s">
        <v>48</v>
      </c>
      <c r="C634" s="41" t="s">
        <v>398</v>
      </c>
      <c r="D634" s="110" t="s">
        <v>3657</v>
      </c>
      <c r="E634" s="110" t="s">
        <v>122</v>
      </c>
      <c r="F634" s="110" t="s">
        <v>3658</v>
      </c>
      <c r="G634" s="110" t="s">
        <v>1746</v>
      </c>
      <c r="H634" s="8" t="s">
        <v>215</v>
      </c>
      <c r="I634" s="70"/>
      <c r="J634" s="70"/>
      <c r="K634" s="70"/>
      <c r="L634" s="111" t="s">
        <v>3568</v>
      </c>
      <c r="M634" s="41"/>
      <c r="N634" s="10"/>
      <c r="O634" s="8"/>
      <c r="P634" s="1"/>
    </row>
    <row r="635" spans="1:16" ht="21" customHeight="1">
      <c r="A635" s="10">
        <v>1</v>
      </c>
      <c r="B635" s="33" t="s">
        <v>48</v>
      </c>
      <c r="C635" s="41" t="s">
        <v>398</v>
      </c>
      <c r="D635" s="110" t="s">
        <v>3659</v>
      </c>
      <c r="E635" s="110" t="s">
        <v>157</v>
      </c>
      <c r="F635" s="110" t="s">
        <v>3660</v>
      </c>
      <c r="G635" s="110" t="s">
        <v>1746</v>
      </c>
      <c r="H635" s="8" t="s">
        <v>215</v>
      </c>
      <c r="I635" s="70"/>
      <c r="J635" s="70"/>
      <c r="K635" s="70"/>
      <c r="L635" s="111" t="s">
        <v>3568</v>
      </c>
      <c r="M635" s="41"/>
      <c r="N635" s="10"/>
      <c r="O635" s="8"/>
      <c r="P635" s="1"/>
    </row>
    <row r="636" spans="1:16" ht="21" customHeight="1">
      <c r="A636" s="10">
        <v>1</v>
      </c>
      <c r="B636" s="33" t="s">
        <v>48</v>
      </c>
      <c r="C636" s="41" t="s">
        <v>398</v>
      </c>
      <c r="D636" s="110" t="s">
        <v>3661</v>
      </c>
      <c r="E636" s="110" t="s">
        <v>1741</v>
      </c>
      <c r="F636" s="110" t="s">
        <v>3662</v>
      </c>
      <c r="G636" s="110" t="s">
        <v>1570</v>
      </c>
      <c r="H636" s="8" t="s">
        <v>206</v>
      </c>
      <c r="I636" s="70"/>
      <c r="J636" s="70"/>
      <c r="K636" s="70"/>
      <c r="L636" s="111" t="s">
        <v>3568</v>
      </c>
      <c r="M636" s="41"/>
      <c r="N636" s="10"/>
      <c r="O636" s="8"/>
      <c r="P636" s="1"/>
    </row>
    <row r="637" spans="1:16" ht="21" customHeight="1">
      <c r="A637" s="10">
        <v>1</v>
      </c>
      <c r="B637" s="33" t="s">
        <v>48</v>
      </c>
      <c r="C637" s="41" t="s">
        <v>398</v>
      </c>
      <c r="D637" s="110" t="s">
        <v>3663</v>
      </c>
      <c r="E637" s="110" t="s">
        <v>1013</v>
      </c>
      <c r="F637" s="110" t="s">
        <v>3664</v>
      </c>
      <c r="G637" s="110" t="s">
        <v>66</v>
      </c>
      <c r="H637" s="8" t="s">
        <v>206</v>
      </c>
      <c r="I637" s="70"/>
      <c r="J637" s="70"/>
      <c r="K637" s="70"/>
      <c r="L637" s="111" t="s">
        <v>3568</v>
      </c>
      <c r="M637" s="41"/>
      <c r="N637" s="10"/>
      <c r="O637" s="8"/>
      <c r="P637" s="1"/>
    </row>
    <row r="638" spans="1:16" ht="21" customHeight="1">
      <c r="A638" s="10">
        <v>1</v>
      </c>
      <c r="B638" s="33" t="s">
        <v>48</v>
      </c>
      <c r="C638" s="41" t="s">
        <v>398</v>
      </c>
      <c r="D638" s="110" t="s">
        <v>3665</v>
      </c>
      <c r="E638" s="110" t="s">
        <v>3666</v>
      </c>
      <c r="F638" s="110" t="s">
        <v>3667</v>
      </c>
      <c r="G638" s="110" t="s">
        <v>3668</v>
      </c>
      <c r="H638" s="8" t="s">
        <v>215</v>
      </c>
      <c r="I638" s="70"/>
      <c r="J638" s="70"/>
      <c r="K638" s="70"/>
      <c r="L638" s="111" t="s">
        <v>3568</v>
      </c>
      <c r="M638" s="41"/>
      <c r="N638" s="10"/>
      <c r="O638" s="8"/>
      <c r="P638" s="1"/>
    </row>
    <row r="639" spans="1:16" ht="21" customHeight="1">
      <c r="A639" s="10">
        <v>1</v>
      </c>
      <c r="B639" s="33" t="s">
        <v>48</v>
      </c>
      <c r="C639" s="41" t="s">
        <v>398</v>
      </c>
      <c r="D639" s="110" t="s">
        <v>3669</v>
      </c>
      <c r="E639" s="110" t="s">
        <v>161</v>
      </c>
      <c r="F639" s="110" t="s">
        <v>3670</v>
      </c>
      <c r="G639" s="110" t="s">
        <v>66</v>
      </c>
      <c r="H639" s="8" t="s">
        <v>206</v>
      </c>
      <c r="I639" s="70"/>
      <c r="J639" s="70"/>
      <c r="K639" s="70"/>
      <c r="L639" s="111" t="s">
        <v>3568</v>
      </c>
      <c r="M639" s="41"/>
      <c r="N639" s="10"/>
      <c r="O639" s="8"/>
      <c r="P639" s="1"/>
    </row>
    <row r="640" spans="1:16" ht="21" customHeight="1">
      <c r="A640" s="10">
        <v>1</v>
      </c>
      <c r="B640" s="33" t="s">
        <v>48</v>
      </c>
      <c r="C640" s="41" t="s">
        <v>398</v>
      </c>
      <c r="D640" s="110" t="s">
        <v>3671</v>
      </c>
      <c r="E640" s="110" t="s">
        <v>3672</v>
      </c>
      <c r="F640" s="110" t="s">
        <v>3673</v>
      </c>
      <c r="G640" s="110" t="s">
        <v>1603</v>
      </c>
      <c r="H640" s="8" t="s">
        <v>215</v>
      </c>
      <c r="I640" s="70"/>
      <c r="J640" s="70"/>
      <c r="K640" s="70"/>
      <c r="L640" s="111" t="s">
        <v>3568</v>
      </c>
      <c r="M640" s="41"/>
      <c r="N640" s="10"/>
      <c r="O640" s="8"/>
      <c r="P640" s="1"/>
    </row>
    <row r="641" spans="1:16" ht="21" customHeight="1">
      <c r="A641" s="10">
        <v>1</v>
      </c>
      <c r="B641" s="33" t="s">
        <v>48</v>
      </c>
      <c r="C641" s="41" t="s">
        <v>398</v>
      </c>
      <c r="D641" s="110" t="s">
        <v>3674</v>
      </c>
      <c r="E641" s="110" t="s">
        <v>3166</v>
      </c>
      <c r="F641" s="110" t="s">
        <v>3675</v>
      </c>
      <c r="G641" s="110" t="s">
        <v>280</v>
      </c>
      <c r="H641" s="8" t="s">
        <v>215</v>
      </c>
      <c r="I641" s="70"/>
      <c r="J641" s="70"/>
      <c r="K641" s="70"/>
      <c r="L641" s="111" t="s">
        <v>3568</v>
      </c>
      <c r="M641" s="41"/>
      <c r="N641" s="10"/>
      <c r="O641" s="8"/>
      <c r="P641" s="1"/>
    </row>
    <row r="642" spans="1:16" ht="21" customHeight="1">
      <c r="A642" s="10">
        <v>1</v>
      </c>
      <c r="B642" s="33" t="s">
        <v>48</v>
      </c>
      <c r="C642" s="41" t="s">
        <v>398</v>
      </c>
      <c r="D642" s="110" t="s">
        <v>3676</v>
      </c>
      <c r="E642" s="110" t="s">
        <v>3672</v>
      </c>
      <c r="F642" s="110" t="s">
        <v>3677</v>
      </c>
      <c r="G642" s="110" t="s">
        <v>1603</v>
      </c>
      <c r="H642" s="8" t="s">
        <v>215</v>
      </c>
      <c r="I642" s="70"/>
      <c r="J642" s="70"/>
      <c r="K642" s="70"/>
      <c r="L642" s="111" t="s">
        <v>3568</v>
      </c>
      <c r="M642" s="41"/>
      <c r="N642" s="10"/>
      <c r="O642" s="8"/>
      <c r="P642" s="1"/>
    </row>
    <row r="643" spans="1:16" ht="21" customHeight="1">
      <c r="A643" s="10">
        <v>1</v>
      </c>
      <c r="B643" s="33" t="s">
        <v>48</v>
      </c>
      <c r="C643" s="41" t="s">
        <v>398</v>
      </c>
      <c r="D643" s="110" t="s">
        <v>3678</v>
      </c>
      <c r="E643" s="110" t="s">
        <v>817</v>
      </c>
      <c r="F643" s="110" t="s">
        <v>3679</v>
      </c>
      <c r="G643" s="110" t="s">
        <v>41</v>
      </c>
      <c r="H643" s="8" t="s">
        <v>215</v>
      </c>
      <c r="I643" s="70"/>
      <c r="J643" s="70"/>
      <c r="K643" s="70"/>
      <c r="L643" s="111" t="s">
        <v>3568</v>
      </c>
      <c r="M643" s="41"/>
      <c r="N643" s="10"/>
      <c r="O643" s="8"/>
      <c r="P643" s="1"/>
    </row>
    <row r="644" spans="1:16" ht="21" customHeight="1">
      <c r="A644" s="10">
        <v>1</v>
      </c>
      <c r="B644" s="33" t="s">
        <v>48</v>
      </c>
      <c r="C644" s="41" t="s">
        <v>398</v>
      </c>
      <c r="D644" s="110" t="s">
        <v>3680</v>
      </c>
      <c r="E644" s="110" t="s">
        <v>1661</v>
      </c>
      <c r="F644" s="110" t="s">
        <v>3681</v>
      </c>
      <c r="G644" s="110" t="s">
        <v>66</v>
      </c>
      <c r="H644" s="8" t="s">
        <v>206</v>
      </c>
      <c r="I644" s="70"/>
      <c r="J644" s="70"/>
      <c r="K644" s="70"/>
      <c r="L644" s="111" t="s">
        <v>3568</v>
      </c>
      <c r="M644" s="41"/>
      <c r="N644" s="10"/>
      <c r="O644" s="8"/>
      <c r="P644" s="1"/>
    </row>
    <row r="645" spans="1:16" ht="21" customHeight="1">
      <c r="A645" s="10">
        <v>1</v>
      </c>
      <c r="B645" s="33" t="s">
        <v>48</v>
      </c>
      <c r="C645" s="41" t="s">
        <v>398</v>
      </c>
      <c r="D645" s="110" t="s">
        <v>3682</v>
      </c>
      <c r="E645" s="110" t="s">
        <v>270</v>
      </c>
      <c r="F645" s="110" t="s">
        <v>3683</v>
      </c>
      <c r="G645" s="110" t="s">
        <v>66</v>
      </c>
      <c r="H645" s="8" t="s">
        <v>206</v>
      </c>
      <c r="I645" s="70"/>
      <c r="J645" s="70"/>
      <c r="K645" s="70"/>
      <c r="L645" s="111" t="s">
        <v>3568</v>
      </c>
      <c r="M645" s="41"/>
      <c r="N645" s="10"/>
      <c r="O645" s="8"/>
      <c r="P645" s="1"/>
    </row>
    <row r="646" spans="1:16" ht="21" customHeight="1">
      <c r="A646" s="10">
        <v>1</v>
      </c>
      <c r="B646" s="33" t="s">
        <v>48</v>
      </c>
      <c r="C646" s="41" t="s">
        <v>398</v>
      </c>
      <c r="D646" s="110" t="s">
        <v>3684</v>
      </c>
      <c r="E646" s="110" t="s">
        <v>1640</v>
      </c>
      <c r="F646" s="110" t="s">
        <v>3685</v>
      </c>
      <c r="G646" s="110" t="s">
        <v>1582</v>
      </c>
      <c r="H646" s="8" t="s">
        <v>249</v>
      </c>
      <c r="I646" s="70"/>
      <c r="J646" s="70"/>
      <c r="K646" s="70"/>
      <c r="L646" s="111" t="s">
        <v>3568</v>
      </c>
      <c r="M646" s="41"/>
      <c r="N646" s="10"/>
      <c r="O646" s="8"/>
      <c r="P646" s="1"/>
    </row>
    <row r="647" spans="1:16" ht="21" customHeight="1">
      <c r="A647" s="10">
        <v>1</v>
      </c>
      <c r="B647" s="33" t="s">
        <v>48</v>
      </c>
      <c r="C647" s="41" t="s">
        <v>398</v>
      </c>
      <c r="D647" s="110" t="s">
        <v>3686</v>
      </c>
      <c r="E647" s="110" t="s">
        <v>182</v>
      </c>
      <c r="F647" s="110" t="s">
        <v>3687</v>
      </c>
      <c r="G647" s="110" t="s">
        <v>66</v>
      </c>
      <c r="H647" s="8" t="s">
        <v>206</v>
      </c>
      <c r="I647" s="70"/>
      <c r="J647" s="70"/>
      <c r="K647" s="70"/>
      <c r="L647" s="111" t="s">
        <v>3568</v>
      </c>
      <c r="M647" s="41"/>
      <c r="N647" s="10"/>
      <c r="O647" s="8"/>
      <c r="P647" s="1"/>
    </row>
    <row r="648" spans="1:16" ht="21" customHeight="1">
      <c r="A648" s="10">
        <v>1</v>
      </c>
      <c r="B648" s="33" t="s">
        <v>48</v>
      </c>
      <c r="C648" s="41" t="s">
        <v>398</v>
      </c>
      <c r="D648" s="110" t="s">
        <v>3688</v>
      </c>
      <c r="E648" s="110" t="s">
        <v>3689</v>
      </c>
      <c r="F648" s="110" t="s">
        <v>3690</v>
      </c>
      <c r="G648" s="110" t="s">
        <v>1570</v>
      </c>
      <c r="H648" s="8" t="s">
        <v>206</v>
      </c>
      <c r="I648" s="70"/>
      <c r="J648" s="70"/>
      <c r="K648" s="70"/>
      <c r="L648" s="111" t="s">
        <v>3568</v>
      </c>
      <c r="M648" s="41"/>
      <c r="N648" s="10"/>
      <c r="O648" s="8"/>
      <c r="P648" s="1"/>
    </row>
    <row r="649" spans="1:16" ht="21" customHeight="1">
      <c r="A649" s="10">
        <v>1</v>
      </c>
      <c r="B649" s="33" t="s">
        <v>48</v>
      </c>
      <c r="C649" s="41" t="s">
        <v>398</v>
      </c>
      <c r="D649" s="110" t="s">
        <v>1759</v>
      </c>
      <c r="E649" s="110" t="s">
        <v>1692</v>
      </c>
      <c r="F649" s="110" t="s">
        <v>1760</v>
      </c>
      <c r="G649" s="110" t="s">
        <v>1582</v>
      </c>
      <c r="H649" s="8" t="s">
        <v>249</v>
      </c>
      <c r="I649" s="70"/>
      <c r="J649" s="70"/>
      <c r="K649" s="70"/>
      <c r="L649" s="111" t="s">
        <v>3568</v>
      </c>
      <c r="M649" s="41"/>
      <c r="N649" s="10"/>
      <c r="O649" s="8"/>
      <c r="P649" s="1"/>
    </row>
    <row r="650" spans="1:16" ht="21" customHeight="1">
      <c r="A650" s="10">
        <v>1</v>
      </c>
      <c r="B650" s="33" t="s">
        <v>48</v>
      </c>
      <c r="C650" s="41" t="s">
        <v>398</v>
      </c>
      <c r="D650" s="110" t="s">
        <v>3691</v>
      </c>
      <c r="E650" s="110" t="s">
        <v>363</v>
      </c>
      <c r="F650" s="110" t="s">
        <v>3692</v>
      </c>
      <c r="G650" s="110" t="s">
        <v>66</v>
      </c>
      <c r="H650" s="8" t="s">
        <v>206</v>
      </c>
      <c r="I650" s="70"/>
      <c r="J650" s="70"/>
      <c r="K650" s="70"/>
      <c r="L650" s="111" t="s">
        <v>3568</v>
      </c>
      <c r="M650" s="41"/>
      <c r="N650" s="10"/>
      <c r="O650" s="8"/>
      <c r="P650" s="1"/>
    </row>
    <row r="651" spans="1:16" ht="21" customHeight="1">
      <c r="A651" s="10">
        <v>1</v>
      </c>
      <c r="B651" s="33" t="s">
        <v>48</v>
      </c>
      <c r="C651" s="41" t="s">
        <v>398</v>
      </c>
      <c r="D651" s="110" t="s">
        <v>3693</v>
      </c>
      <c r="E651" s="110" t="s">
        <v>315</v>
      </c>
      <c r="F651" s="110" t="s">
        <v>3694</v>
      </c>
      <c r="G651" s="110" t="s">
        <v>66</v>
      </c>
      <c r="H651" s="8" t="s">
        <v>206</v>
      </c>
      <c r="I651" s="70"/>
      <c r="J651" s="70"/>
      <c r="K651" s="70"/>
      <c r="L651" s="111" t="s">
        <v>3568</v>
      </c>
      <c r="M651" s="41"/>
      <c r="N651" s="10"/>
      <c r="O651" s="8"/>
      <c r="P651" s="1"/>
    </row>
    <row r="652" spans="1:16" ht="21" customHeight="1">
      <c r="A652" s="10">
        <v>1</v>
      </c>
      <c r="B652" s="33" t="s">
        <v>48</v>
      </c>
      <c r="C652" s="41" t="s">
        <v>398</v>
      </c>
      <c r="D652" s="110" t="s">
        <v>3695</v>
      </c>
      <c r="E652" s="110" t="s">
        <v>404</v>
      </c>
      <c r="F652" s="110" t="s">
        <v>3696</v>
      </c>
      <c r="G652" s="110" t="s">
        <v>1800</v>
      </c>
      <c r="H652" s="8" t="s">
        <v>215</v>
      </c>
      <c r="I652" s="70"/>
      <c r="J652" s="70"/>
      <c r="K652" s="70"/>
      <c r="L652" s="111" t="s">
        <v>3568</v>
      </c>
      <c r="M652" s="41"/>
      <c r="N652" s="10"/>
      <c r="O652" s="8"/>
      <c r="P652" s="1"/>
    </row>
    <row r="653" spans="1:16" ht="21" customHeight="1">
      <c r="A653" s="10">
        <v>1</v>
      </c>
      <c r="B653" s="33" t="s">
        <v>48</v>
      </c>
      <c r="C653" s="41" t="s">
        <v>398</v>
      </c>
      <c r="D653" s="110" t="s">
        <v>3697</v>
      </c>
      <c r="E653" s="110" t="s">
        <v>3698</v>
      </c>
      <c r="F653" s="110" t="s">
        <v>3699</v>
      </c>
      <c r="G653" s="110" t="s">
        <v>1582</v>
      </c>
      <c r="H653" s="8" t="s">
        <v>249</v>
      </c>
      <c r="I653" s="70"/>
      <c r="J653" s="70"/>
      <c r="K653" s="70"/>
      <c r="L653" s="111" t="s">
        <v>3568</v>
      </c>
      <c r="M653" s="41"/>
      <c r="N653" s="10"/>
      <c r="O653" s="8"/>
      <c r="P653" s="1"/>
    </row>
    <row r="654" spans="1:16" ht="21" customHeight="1">
      <c r="A654" s="10">
        <v>1</v>
      </c>
      <c r="B654" s="33" t="s">
        <v>48</v>
      </c>
      <c r="C654" s="41" t="s">
        <v>398</v>
      </c>
      <c r="D654" s="110" t="s">
        <v>3700</v>
      </c>
      <c r="E654" s="110" t="s">
        <v>1672</v>
      </c>
      <c r="F654" s="110" t="s">
        <v>3701</v>
      </c>
      <c r="G654" s="110" t="s">
        <v>66</v>
      </c>
      <c r="H654" s="8" t="s">
        <v>206</v>
      </c>
      <c r="I654" s="70"/>
      <c r="J654" s="70"/>
      <c r="K654" s="70"/>
      <c r="L654" s="111" t="s">
        <v>3568</v>
      </c>
      <c r="M654" s="41"/>
      <c r="N654" s="10"/>
      <c r="O654" s="8"/>
      <c r="P654" s="1"/>
    </row>
    <row r="655" spans="1:16" ht="21" customHeight="1">
      <c r="A655" s="10">
        <v>1</v>
      </c>
      <c r="B655" s="33" t="s">
        <v>48</v>
      </c>
      <c r="C655" s="41" t="s">
        <v>398</v>
      </c>
      <c r="D655" s="110" t="s">
        <v>3702</v>
      </c>
      <c r="E655" s="110" t="s">
        <v>39</v>
      </c>
      <c r="F655" s="110" t="s">
        <v>3703</v>
      </c>
      <c r="G655" s="110" t="s">
        <v>41</v>
      </c>
      <c r="H655" s="8" t="s">
        <v>215</v>
      </c>
      <c r="I655" s="70"/>
      <c r="J655" s="70"/>
      <c r="K655" s="70"/>
      <c r="L655" s="111" t="s">
        <v>3568</v>
      </c>
      <c r="M655" s="41"/>
      <c r="N655" s="10"/>
      <c r="O655" s="8"/>
      <c r="P655" s="1"/>
    </row>
    <row r="656" spans="1:16" ht="21" customHeight="1">
      <c r="A656" s="10">
        <v>1</v>
      </c>
      <c r="B656" s="33" t="s">
        <v>48</v>
      </c>
      <c r="C656" s="41" t="s">
        <v>398</v>
      </c>
      <c r="D656" s="110" t="s">
        <v>3704</v>
      </c>
      <c r="E656" s="110" t="s">
        <v>619</v>
      </c>
      <c r="F656" s="110" t="s">
        <v>3705</v>
      </c>
      <c r="G656" s="110" t="s">
        <v>66</v>
      </c>
      <c r="H656" s="8" t="s">
        <v>206</v>
      </c>
      <c r="I656" s="70"/>
      <c r="J656" s="70"/>
      <c r="K656" s="70"/>
      <c r="L656" s="111" t="s">
        <v>3568</v>
      </c>
      <c r="M656" s="41"/>
      <c r="N656" s="10"/>
      <c r="O656" s="8"/>
      <c r="P656" s="1"/>
    </row>
    <row r="657" spans="1:16" ht="21" customHeight="1">
      <c r="A657" s="10">
        <v>1</v>
      </c>
      <c r="B657" s="33" t="s">
        <v>48</v>
      </c>
      <c r="C657" s="41" t="s">
        <v>398</v>
      </c>
      <c r="D657" s="110" t="s">
        <v>3706</v>
      </c>
      <c r="E657" s="110" t="s">
        <v>226</v>
      </c>
      <c r="F657" s="110" t="s">
        <v>3707</v>
      </c>
      <c r="G657" s="110" t="s">
        <v>1570</v>
      </c>
      <c r="H657" s="8" t="s">
        <v>206</v>
      </c>
      <c r="I657" s="70"/>
      <c r="J657" s="70"/>
      <c r="K657" s="70"/>
      <c r="L657" s="111" t="s">
        <v>3568</v>
      </c>
      <c r="M657" s="41"/>
      <c r="N657" s="10"/>
      <c r="O657" s="8"/>
      <c r="P657" s="1"/>
    </row>
    <row r="658" spans="1:16" ht="21" customHeight="1">
      <c r="A658" s="10">
        <v>1</v>
      </c>
      <c r="B658" s="33" t="s">
        <v>48</v>
      </c>
      <c r="C658" s="41" t="s">
        <v>398</v>
      </c>
      <c r="D658" s="110" t="s">
        <v>3708</v>
      </c>
      <c r="E658" s="110" t="s">
        <v>169</v>
      </c>
      <c r="F658" s="110" t="s">
        <v>3709</v>
      </c>
      <c r="G658" s="110" t="s">
        <v>1570</v>
      </c>
      <c r="H658" s="8" t="s">
        <v>206</v>
      </c>
      <c r="I658" s="70"/>
      <c r="J658" s="70"/>
      <c r="K658" s="70"/>
      <c r="L658" s="111" t="s">
        <v>3568</v>
      </c>
      <c r="M658" s="41"/>
      <c r="N658" s="10"/>
      <c r="O658" s="8"/>
      <c r="P658" s="1"/>
    </row>
    <row r="659" spans="1:16" ht="21" customHeight="1">
      <c r="A659" s="10">
        <v>1</v>
      </c>
      <c r="B659" s="33" t="s">
        <v>48</v>
      </c>
      <c r="C659" s="41" t="s">
        <v>398</v>
      </c>
      <c r="D659" s="110" t="s">
        <v>3710</v>
      </c>
      <c r="E659" s="110" t="s">
        <v>39</v>
      </c>
      <c r="F659" s="110" t="s">
        <v>3711</v>
      </c>
      <c r="G659" s="110" t="s">
        <v>41</v>
      </c>
      <c r="H659" s="8" t="s">
        <v>215</v>
      </c>
      <c r="I659" s="70"/>
      <c r="J659" s="70"/>
      <c r="K659" s="70"/>
      <c r="L659" s="111" t="s">
        <v>3568</v>
      </c>
      <c r="M659" s="41"/>
      <c r="N659" s="10"/>
      <c r="O659" s="8"/>
      <c r="P659" s="1"/>
    </row>
    <row r="660" spans="1:16" ht="21" customHeight="1">
      <c r="A660" s="10">
        <v>1</v>
      </c>
      <c r="B660" s="33" t="s">
        <v>48</v>
      </c>
      <c r="C660" s="41" t="s">
        <v>398</v>
      </c>
      <c r="D660" s="110" t="s">
        <v>3712</v>
      </c>
      <c r="E660" s="110" t="s">
        <v>165</v>
      </c>
      <c r="F660" s="110" t="s">
        <v>3713</v>
      </c>
      <c r="G660" s="110" t="s">
        <v>66</v>
      </c>
      <c r="H660" s="8" t="s">
        <v>206</v>
      </c>
      <c r="I660" s="70"/>
      <c r="J660" s="70"/>
      <c r="K660" s="70"/>
      <c r="L660" s="111" t="s">
        <v>3568</v>
      </c>
      <c r="M660" s="41"/>
      <c r="N660" s="10"/>
      <c r="O660" s="8"/>
      <c r="P660" s="1"/>
    </row>
    <row r="661" spans="1:16" ht="21" customHeight="1">
      <c r="A661" s="10">
        <v>1</v>
      </c>
      <c r="B661" s="33" t="s">
        <v>48</v>
      </c>
      <c r="C661" s="41" t="s">
        <v>398</v>
      </c>
      <c r="D661" s="110" t="s">
        <v>3714</v>
      </c>
      <c r="E661" s="110" t="s">
        <v>619</v>
      </c>
      <c r="F661" s="110" t="s">
        <v>3715</v>
      </c>
      <c r="G661" s="110" t="s">
        <v>66</v>
      </c>
      <c r="H661" s="8" t="s">
        <v>206</v>
      </c>
      <c r="I661" s="70"/>
      <c r="J661" s="70"/>
      <c r="K661" s="70"/>
      <c r="L661" s="111" t="s">
        <v>3568</v>
      </c>
      <c r="M661" s="41"/>
      <c r="N661" s="10"/>
      <c r="O661" s="8"/>
      <c r="P661" s="1"/>
    </row>
    <row r="662" spans="1:16" ht="21" customHeight="1">
      <c r="A662" s="10">
        <v>1</v>
      </c>
      <c r="B662" s="33" t="s">
        <v>48</v>
      </c>
      <c r="C662" s="41" t="s">
        <v>398</v>
      </c>
      <c r="D662" s="110" t="s">
        <v>3716</v>
      </c>
      <c r="E662" s="110" t="s">
        <v>1595</v>
      </c>
      <c r="F662" s="110" t="s">
        <v>3717</v>
      </c>
      <c r="G662" s="110" t="s">
        <v>66</v>
      </c>
      <c r="H662" s="8" t="s">
        <v>206</v>
      </c>
      <c r="I662" s="70"/>
      <c r="J662" s="70"/>
      <c r="K662" s="70"/>
      <c r="L662" s="111" t="s">
        <v>3568</v>
      </c>
      <c r="M662" s="41"/>
      <c r="N662" s="10"/>
      <c r="O662" s="8"/>
      <c r="P662" s="1"/>
    </row>
    <row r="663" spans="1:16" ht="21" customHeight="1">
      <c r="A663" s="10">
        <v>1</v>
      </c>
      <c r="B663" s="33" t="s">
        <v>48</v>
      </c>
      <c r="C663" s="41" t="s">
        <v>398</v>
      </c>
      <c r="D663" s="110" t="s">
        <v>3718</v>
      </c>
      <c r="E663" s="110" t="s">
        <v>2360</v>
      </c>
      <c r="F663" s="110" t="s">
        <v>3719</v>
      </c>
      <c r="G663" s="110" t="s">
        <v>1603</v>
      </c>
      <c r="H663" s="8" t="s">
        <v>215</v>
      </c>
      <c r="I663" s="70"/>
      <c r="J663" s="70"/>
      <c r="K663" s="70"/>
      <c r="L663" s="111" t="s">
        <v>3568</v>
      </c>
      <c r="M663" s="41"/>
      <c r="N663" s="10"/>
      <c r="O663" s="8"/>
      <c r="P663" s="1"/>
    </row>
    <row r="664" spans="1:16" ht="21" customHeight="1">
      <c r="A664" s="10">
        <v>1</v>
      </c>
      <c r="B664" s="33" t="s">
        <v>48</v>
      </c>
      <c r="C664" s="41" t="s">
        <v>398</v>
      </c>
      <c r="D664" s="110" t="s">
        <v>3720</v>
      </c>
      <c r="E664" s="110" t="s">
        <v>893</v>
      </c>
      <c r="F664" s="110" t="s">
        <v>3721</v>
      </c>
      <c r="G664" s="110" t="s">
        <v>280</v>
      </c>
      <c r="H664" s="8" t="s">
        <v>215</v>
      </c>
      <c r="I664" s="70"/>
      <c r="J664" s="70"/>
      <c r="K664" s="70"/>
      <c r="L664" s="111" t="s">
        <v>3568</v>
      </c>
      <c r="M664" s="41"/>
      <c r="N664" s="10"/>
      <c r="O664" s="8"/>
      <c r="P664" s="1"/>
    </row>
    <row r="665" spans="1:16" ht="21" customHeight="1">
      <c r="A665" s="10">
        <v>1</v>
      </c>
      <c r="B665" s="33" t="s">
        <v>48</v>
      </c>
      <c r="C665" s="41" t="s">
        <v>398</v>
      </c>
      <c r="D665" s="110" t="s">
        <v>3722</v>
      </c>
      <c r="E665" s="110" t="s">
        <v>1637</v>
      </c>
      <c r="F665" s="110" t="s">
        <v>3723</v>
      </c>
      <c r="G665" s="110" t="s">
        <v>66</v>
      </c>
      <c r="H665" s="8" t="s">
        <v>206</v>
      </c>
      <c r="I665" s="70"/>
      <c r="J665" s="70"/>
      <c r="K665" s="70"/>
      <c r="L665" s="111" t="s">
        <v>3568</v>
      </c>
      <c r="M665" s="41"/>
      <c r="N665" s="10"/>
      <c r="O665" s="8"/>
      <c r="P665" s="1"/>
    </row>
    <row r="666" spans="1:16" ht="21" customHeight="1">
      <c r="A666" s="10">
        <v>1</v>
      </c>
      <c r="B666" s="33" t="s">
        <v>48</v>
      </c>
      <c r="C666" s="41" t="s">
        <v>398</v>
      </c>
      <c r="D666" s="110" t="s">
        <v>3724</v>
      </c>
      <c r="E666" s="110" t="s">
        <v>145</v>
      </c>
      <c r="F666" s="110" t="s">
        <v>3725</v>
      </c>
      <c r="G666" s="110" t="s">
        <v>1582</v>
      </c>
      <c r="H666" s="8" t="s">
        <v>249</v>
      </c>
      <c r="I666" s="70"/>
      <c r="J666" s="70"/>
      <c r="K666" s="70"/>
      <c r="L666" s="111" t="s">
        <v>3568</v>
      </c>
      <c r="M666" s="41"/>
      <c r="N666" s="10"/>
      <c r="O666" s="8"/>
      <c r="P666" s="1"/>
    </row>
    <row r="667" spans="1:16" ht="21" customHeight="1">
      <c r="A667" s="10">
        <v>1</v>
      </c>
      <c r="B667" s="33" t="s">
        <v>48</v>
      </c>
      <c r="C667" s="41" t="s">
        <v>398</v>
      </c>
      <c r="D667" s="110" t="s">
        <v>3726</v>
      </c>
      <c r="E667" s="110" t="s">
        <v>363</v>
      </c>
      <c r="F667" s="110" t="s">
        <v>3727</v>
      </c>
      <c r="G667" s="110" t="s">
        <v>66</v>
      </c>
      <c r="H667" s="8" t="s">
        <v>206</v>
      </c>
      <c r="I667" s="70"/>
      <c r="J667" s="70"/>
      <c r="K667" s="70"/>
      <c r="L667" s="111" t="s">
        <v>3568</v>
      </c>
      <c r="M667" s="41"/>
      <c r="N667" s="10"/>
      <c r="O667" s="8"/>
      <c r="P667" s="1"/>
    </row>
    <row r="668" spans="1:16" ht="21" customHeight="1">
      <c r="A668" s="10">
        <v>1</v>
      </c>
      <c r="B668" s="33" t="s">
        <v>48</v>
      </c>
      <c r="C668" s="41" t="s">
        <v>398</v>
      </c>
      <c r="D668" s="110" t="s">
        <v>3728</v>
      </c>
      <c r="E668" s="110" t="s">
        <v>841</v>
      </c>
      <c r="F668" s="110" t="s">
        <v>3729</v>
      </c>
      <c r="G668" s="110" t="s">
        <v>1570</v>
      </c>
      <c r="H668" s="8" t="s">
        <v>206</v>
      </c>
      <c r="I668" s="70"/>
      <c r="J668" s="70"/>
      <c r="K668" s="70"/>
      <c r="L668" s="111" t="s">
        <v>3568</v>
      </c>
      <c r="M668" s="41"/>
      <c r="N668" s="10"/>
      <c r="O668" s="8"/>
      <c r="P668" s="1"/>
    </row>
    <row r="669" spans="1:16" ht="21" customHeight="1">
      <c r="A669" s="10">
        <v>1</v>
      </c>
      <c r="B669" s="33" t="s">
        <v>48</v>
      </c>
      <c r="C669" s="41" t="s">
        <v>398</v>
      </c>
      <c r="D669" s="110" t="s">
        <v>3730</v>
      </c>
      <c r="E669" s="110" t="s">
        <v>1661</v>
      </c>
      <c r="F669" s="110" t="s">
        <v>3731</v>
      </c>
      <c r="G669" s="110" t="s">
        <v>66</v>
      </c>
      <c r="H669" s="8" t="s">
        <v>206</v>
      </c>
      <c r="I669" s="70"/>
      <c r="J669" s="70"/>
      <c r="K669" s="70"/>
      <c r="L669" s="111" t="s">
        <v>3568</v>
      </c>
      <c r="M669" s="41"/>
      <c r="N669" s="10"/>
      <c r="O669" s="8"/>
      <c r="P669" s="1"/>
    </row>
    <row r="670" spans="1:16" ht="21" customHeight="1">
      <c r="A670" s="10">
        <v>1</v>
      </c>
      <c r="B670" s="33" t="s">
        <v>48</v>
      </c>
      <c r="C670" s="41" t="s">
        <v>398</v>
      </c>
      <c r="D670" s="110" t="s">
        <v>3732</v>
      </c>
      <c r="E670" s="110" t="s">
        <v>1919</v>
      </c>
      <c r="F670" s="110" t="s">
        <v>3733</v>
      </c>
      <c r="G670" s="110" t="s">
        <v>1582</v>
      </c>
      <c r="H670" s="8" t="s">
        <v>249</v>
      </c>
      <c r="I670" s="70"/>
      <c r="J670" s="70"/>
      <c r="K670" s="70"/>
      <c r="L670" s="111" t="s">
        <v>3568</v>
      </c>
      <c r="M670" s="41"/>
      <c r="N670" s="10"/>
      <c r="O670" s="8"/>
      <c r="P670" s="1"/>
    </row>
    <row r="671" spans="1:16" ht="21" customHeight="1">
      <c r="A671" s="10">
        <v>1</v>
      </c>
      <c r="B671" s="33" t="s">
        <v>48</v>
      </c>
      <c r="C671" s="41" t="s">
        <v>398</v>
      </c>
      <c r="D671" s="110" t="s">
        <v>1840</v>
      </c>
      <c r="E671" s="110" t="s">
        <v>39</v>
      </c>
      <c r="F671" s="110" t="s">
        <v>1841</v>
      </c>
      <c r="G671" s="110" t="s">
        <v>41</v>
      </c>
      <c r="H671" s="8" t="s">
        <v>215</v>
      </c>
      <c r="I671" s="70"/>
      <c r="J671" s="70"/>
      <c r="K671" s="70"/>
      <c r="L671" s="111" t="s">
        <v>3568</v>
      </c>
      <c r="M671" s="41"/>
      <c r="N671" s="10"/>
      <c r="O671" s="8"/>
      <c r="P671" s="1"/>
    </row>
    <row r="672" spans="1:16" ht="21" customHeight="1">
      <c r="A672" s="10">
        <v>1</v>
      </c>
      <c r="B672" s="33" t="s">
        <v>48</v>
      </c>
      <c r="C672" s="41" t="s">
        <v>398</v>
      </c>
      <c r="D672" s="110" t="s">
        <v>3734</v>
      </c>
      <c r="E672" s="110" t="s">
        <v>2239</v>
      </c>
      <c r="F672" s="110" t="s">
        <v>3735</v>
      </c>
      <c r="G672" s="110" t="s">
        <v>3651</v>
      </c>
      <c r="H672" s="8" t="s">
        <v>249</v>
      </c>
      <c r="I672" s="70"/>
      <c r="J672" s="70"/>
      <c r="K672" s="70"/>
      <c r="L672" s="111" t="s">
        <v>3568</v>
      </c>
      <c r="M672" s="41"/>
      <c r="N672" s="10"/>
      <c r="O672" s="8"/>
      <c r="P672" s="1"/>
    </row>
    <row r="673" spans="1:16" ht="21" customHeight="1">
      <c r="A673" s="10">
        <v>1</v>
      </c>
      <c r="B673" s="33" t="s">
        <v>48</v>
      </c>
      <c r="C673" s="41" t="s">
        <v>398</v>
      </c>
      <c r="D673" s="110" t="s">
        <v>3736</v>
      </c>
      <c r="E673" s="110" t="s">
        <v>3737</v>
      </c>
      <c r="F673" s="110" t="s">
        <v>3738</v>
      </c>
      <c r="G673" s="110" t="s">
        <v>1746</v>
      </c>
      <c r="H673" s="8" t="s">
        <v>215</v>
      </c>
      <c r="I673" s="70"/>
      <c r="J673" s="70"/>
      <c r="K673" s="70"/>
      <c r="L673" s="111" t="s">
        <v>3568</v>
      </c>
      <c r="M673" s="41"/>
      <c r="N673" s="10"/>
      <c r="O673" s="8"/>
      <c r="P673" s="1"/>
    </row>
    <row r="674" spans="1:16" ht="21" customHeight="1">
      <c r="A674" s="10">
        <v>1</v>
      </c>
      <c r="B674" s="33" t="s">
        <v>48</v>
      </c>
      <c r="C674" s="41" t="s">
        <v>398</v>
      </c>
      <c r="D674" s="110" t="s">
        <v>3739</v>
      </c>
      <c r="E674" s="110" t="s">
        <v>315</v>
      </c>
      <c r="F674" s="110" t="s">
        <v>3740</v>
      </c>
      <c r="G674" s="110" t="s">
        <v>66</v>
      </c>
      <c r="H674" s="8" t="s">
        <v>206</v>
      </c>
      <c r="I674" s="70"/>
      <c r="J674" s="70"/>
      <c r="K674" s="70"/>
      <c r="L674" s="111" t="s">
        <v>3568</v>
      </c>
      <c r="M674" s="41"/>
      <c r="N674" s="10"/>
      <c r="O674" s="8"/>
      <c r="P674" s="1"/>
    </row>
    <row r="675" spans="1:16" ht="21" customHeight="1">
      <c r="A675" s="10">
        <v>1</v>
      </c>
      <c r="B675" s="33" t="s">
        <v>48</v>
      </c>
      <c r="C675" s="41" t="s">
        <v>398</v>
      </c>
      <c r="D675" s="110" t="s">
        <v>3741</v>
      </c>
      <c r="E675" s="110" t="s">
        <v>315</v>
      </c>
      <c r="F675" s="110" t="s">
        <v>3742</v>
      </c>
      <c r="G675" s="110" t="s">
        <v>66</v>
      </c>
      <c r="H675" s="8" t="s">
        <v>206</v>
      </c>
      <c r="I675" s="70"/>
      <c r="J675" s="70"/>
      <c r="K675" s="70"/>
      <c r="L675" s="111" t="s">
        <v>3568</v>
      </c>
      <c r="M675" s="41"/>
      <c r="N675" s="10"/>
      <c r="O675" s="8"/>
      <c r="P675" s="1"/>
    </row>
    <row r="676" spans="1:16" ht="21" customHeight="1">
      <c r="A676" s="10">
        <v>1</v>
      </c>
      <c r="B676" s="33" t="s">
        <v>48</v>
      </c>
      <c r="C676" s="41" t="s">
        <v>398</v>
      </c>
      <c r="D676" s="110" t="s">
        <v>3743</v>
      </c>
      <c r="E676" s="110" t="s">
        <v>165</v>
      </c>
      <c r="F676" s="110" t="s">
        <v>3744</v>
      </c>
      <c r="G676" s="110" t="s">
        <v>66</v>
      </c>
      <c r="H676" s="8" t="s">
        <v>206</v>
      </c>
      <c r="I676" s="70"/>
      <c r="J676" s="70"/>
      <c r="K676" s="70"/>
      <c r="L676" s="111" t="s">
        <v>3568</v>
      </c>
      <c r="M676" s="41"/>
      <c r="N676" s="10"/>
      <c r="O676" s="8"/>
      <c r="P676" s="1"/>
    </row>
    <row r="677" spans="1:16" ht="21" customHeight="1">
      <c r="A677" s="10">
        <v>1</v>
      </c>
      <c r="B677" s="33" t="s">
        <v>48</v>
      </c>
      <c r="C677" s="41" t="s">
        <v>398</v>
      </c>
      <c r="D677" s="110" t="s">
        <v>3745</v>
      </c>
      <c r="E677" s="110" t="s">
        <v>39</v>
      </c>
      <c r="F677" s="110" t="s">
        <v>3746</v>
      </c>
      <c r="G677" s="110" t="s">
        <v>41</v>
      </c>
      <c r="H677" s="8" t="s">
        <v>215</v>
      </c>
      <c r="I677" s="70"/>
      <c r="J677" s="70"/>
      <c r="K677" s="70"/>
      <c r="L677" s="111" t="s">
        <v>3568</v>
      </c>
      <c r="M677" s="41"/>
      <c r="N677" s="10"/>
      <c r="O677" s="8"/>
      <c r="P677" s="1"/>
    </row>
    <row r="678" spans="1:16" ht="21" customHeight="1">
      <c r="A678" s="10">
        <v>1</v>
      </c>
      <c r="B678" s="33" t="s">
        <v>48</v>
      </c>
      <c r="C678" s="41" t="s">
        <v>398</v>
      </c>
      <c r="D678" s="110" t="s">
        <v>1973</v>
      </c>
      <c r="E678" s="110" t="s">
        <v>1974</v>
      </c>
      <c r="F678" s="110" t="s">
        <v>1975</v>
      </c>
      <c r="G678" s="110" t="s">
        <v>1582</v>
      </c>
      <c r="H678" s="8" t="s">
        <v>249</v>
      </c>
      <c r="I678" s="70"/>
      <c r="J678" s="70"/>
      <c r="K678" s="70"/>
      <c r="L678" s="111" t="s">
        <v>3568</v>
      </c>
      <c r="M678" s="41"/>
      <c r="N678" s="10"/>
      <c r="O678" s="8"/>
      <c r="P678" s="1"/>
    </row>
    <row r="679" spans="1:16" ht="21" customHeight="1">
      <c r="A679" s="10">
        <v>1</v>
      </c>
      <c r="B679" s="33" t="s">
        <v>48</v>
      </c>
      <c r="C679" s="41" t="s">
        <v>398</v>
      </c>
      <c r="D679" s="110" t="s">
        <v>3747</v>
      </c>
      <c r="E679" s="110" t="s">
        <v>3748</v>
      </c>
      <c r="F679" s="110" t="s">
        <v>3749</v>
      </c>
      <c r="G679" s="110" t="s">
        <v>66</v>
      </c>
      <c r="H679" s="8" t="s">
        <v>206</v>
      </c>
      <c r="I679" s="70"/>
      <c r="J679" s="70"/>
      <c r="K679" s="70"/>
      <c r="L679" s="111" t="s">
        <v>3568</v>
      </c>
      <c r="M679" s="41"/>
      <c r="N679" s="10"/>
      <c r="O679" s="8"/>
      <c r="P679" s="1"/>
    </row>
    <row r="680" spans="1:16" ht="21" customHeight="1">
      <c r="A680" s="10">
        <v>1</v>
      </c>
      <c r="B680" s="33" t="s">
        <v>48</v>
      </c>
      <c r="C680" s="41" t="s">
        <v>398</v>
      </c>
      <c r="D680" s="110" t="s">
        <v>3750</v>
      </c>
      <c r="E680" s="110" t="s">
        <v>165</v>
      </c>
      <c r="F680" s="110" t="s">
        <v>3751</v>
      </c>
      <c r="G680" s="110" t="s">
        <v>66</v>
      </c>
      <c r="H680" s="8" t="s">
        <v>206</v>
      </c>
      <c r="I680" s="70"/>
      <c r="J680" s="70"/>
      <c r="K680" s="70"/>
      <c r="L680" s="111" t="s">
        <v>3568</v>
      </c>
      <c r="M680" s="41"/>
      <c r="N680" s="10"/>
      <c r="O680" s="8"/>
      <c r="P680" s="1"/>
    </row>
    <row r="681" spans="1:16" ht="21" customHeight="1">
      <c r="A681" s="10">
        <v>1</v>
      </c>
      <c r="B681" s="33" t="s">
        <v>48</v>
      </c>
      <c r="C681" s="41" t="s">
        <v>398</v>
      </c>
      <c r="D681" s="110" t="s">
        <v>3752</v>
      </c>
      <c r="E681" s="110" t="s">
        <v>812</v>
      </c>
      <c r="F681" s="110" t="s">
        <v>3753</v>
      </c>
      <c r="G681" s="110" t="s">
        <v>1570</v>
      </c>
      <c r="H681" s="8" t="s">
        <v>206</v>
      </c>
      <c r="I681" s="70"/>
      <c r="J681" s="70"/>
      <c r="K681" s="70"/>
      <c r="L681" s="111" t="s">
        <v>3568</v>
      </c>
      <c r="M681" s="41"/>
      <c r="N681" s="10"/>
      <c r="O681" s="8"/>
      <c r="P681" s="1"/>
    </row>
    <row r="682" spans="1:16" ht="21" customHeight="1">
      <c r="A682" s="10">
        <v>1</v>
      </c>
      <c r="B682" s="33" t="s">
        <v>48</v>
      </c>
      <c r="C682" s="41" t="s">
        <v>398</v>
      </c>
      <c r="D682" s="110" t="s">
        <v>3754</v>
      </c>
      <c r="E682" s="110" t="s">
        <v>3672</v>
      </c>
      <c r="F682" s="110" t="s">
        <v>3755</v>
      </c>
      <c r="G682" s="110" t="s">
        <v>1603</v>
      </c>
      <c r="H682" s="8" t="s">
        <v>215</v>
      </c>
      <c r="I682" s="70"/>
      <c r="J682" s="70"/>
      <c r="K682" s="70"/>
      <c r="L682" s="111" t="s">
        <v>3568</v>
      </c>
      <c r="M682" s="41"/>
      <c r="N682" s="10"/>
      <c r="O682" s="8"/>
      <c r="P682" s="1"/>
    </row>
    <row r="683" spans="1:16" ht="21" customHeight="1">
      <c r="A683" s="10">
        <v>1</v>
      </c>
      <c r="B683" s="33" t="s">
        <v>48</v>
      </c>
      <c r="C683" s="41" t="s">
        <v>398</v>
      </c>
      <c r="D683" s="110" t="s">
        <v>3756</v>
      </c>
      <c r="E683" s="110" t="s">
        <v>1623</v>
      </c>
      <c r="F683" s="110" t="s">
        <v>3757</v>
      </c>
      <c r="G683" s="110" t="s">
        <v>1570</v>
      </c>
      <c r="H683" s="8" t="s">
        <v>206</v>
      </c>
      <c r="I683" s="70"/>
      <c r="J683" s="70"/>
      <c r="K683" s="70"/>
      <c r="L683" s="111" t="s">
        <v>3568</v>
      </c>
      <c r="M683" s="41"/>
      <c r="N683" s="10"/>
      <c r="O683" s="8"/>
      <c r="P683" s="1"/>
    </row>
    <row r="684" spans="1:16" ht="21" customHeight="1">
      <c r="A684" s="10">
        <v>1</v>
      </c>
      <c r="B684" s="33" t="s">
        <v>48</v>
      </c>
      <c r="C684" s="41" t="s">
        <v>398</v>
      </c>
      <c r="D684" s="110" t="s">
        <v>3758</v>
      </c>
      <c r="E684" s="110" t="s">
        <v>619</v>
      </c>
      <c r="F684" s="110" t="s">
        <v>3759</v>
      </c>
      <c r="G684" s="110" t="s">
        <v>66</v>
      </c>
      <c r="H684" s="8" t="s">
        <v>206</v>
      </c>
      <c r="I684" s="70"/>
      <c r="J684" s="70"/>
      <c r="K684" s="70"/>
      <c r="L684" s="111" t="s">
        <v>3568</v>
      </c>
      <c r="M684" s="41"/>
      <c r="N684" s="10"/>
      <c r="O684" s="8"/>
      <c r="P684" s="1"/>
    </row>
    <row r="685" spans="1:16" ht="21" customHeight="1">
      <c r="A685" s="10">
        <v>1</v>
      </c>
      <c r="B685" s="33" t="s">
        <v>48</v>
      </c>
      <c r="C685" s="41" t="s">
        <v>398</v>
      </c>
      <c r="D685" s="110" t="s">
        <v>3760</v>
      </c>
      <c r="E685" s="110" t="s">
        <v>817</v>
      </c>
      <c r="F685" s="110" t="s">
        <v>3761</v>
      </c>
      <c r="G685" s="110" t="s">
        <v>41</v>
      </c>
      <c r="H685" s="8" t="s">
        <v>215</v>
      </c>
      <c r="I685" s="70"/>
      <c r="J685" s="70"/>
      <c r="K685" s="70"/>
      <c r="L685" s="111" t="s">
        <v>3568</v>
      </c>
      <c r="M685" s="41"/>
      <c r="N685" s="10"/>
      <c r="O685" s="8"/>
      <c r="P685" s="1"/>
    </row>
    <row r="686" spans="1:16" ht="21" customHeight="1">
      <c r="A686" s="10">
        <v>1</v>
      </c>
      <c r="B686" s="33" t="s">
        <v>48</v>
      </c>
      <c r="C686" s="41" t="s">
        <v>398</v>
      </c>
      <c r="D686" s="110" t="s">
        <v>3762</v>
      </c>
      <c r="E686" s="110" t="s">
        <v>619</v>
      </c>
      <c r="F686" s="110" t="s">
        <v>3763</v>
      </c>
      <c r="G686" s="110" t="s">
        <v>66</v>
      </c>
      <c r="H686" s="8" t="s">
        <v>206</v>
      </c>
      <c r="I686" s="70"/>
      <c r="J686" s="70"/>
      <c r="K686" s="70"/>
      <c r="L686" s="111" t="s">
        <v>3568</v>
      </c>
      <c r="M686" s="41"/>
      <c r="N686" s="10"/>
      <c r="O686" s="8"/>
      <c r="P686" s="1"/>
    </row>
    <row r="687" spans="1:16" ht="21" customHeight="1">
      <c r="A687" s="10">
        <v>1</v>
      </c>
      <c r="B687" s="33" t="s">
        <v>48</v>
      </c>
      <c r="C687" s="41" t="s">
        <v>398</v>
      </c>
      <c r="D687" s="110" t="s">
        <v>3764</v>
      </c>
      <c r="E687" s="110" t="s">
        <v>3765</v>
      </c>
      <c r="F687" s="110" t="s">
        <v>3766</v>
      </c>
      <c r="G687" s="110" t="s">
        <v>1582</v>
      </c>
      <c r="H687" s="8" t="s">
        <v>249</v>
      </c>
      <c r="I687" s="70"/>
      <c r="J687" s="70"/>
      <c r="K687" s="70"/>
      <c r="L687" s="111" t="s">
        <v>3568</v>
      </c>
      <c r="M687" s="41"/>
      <c r="N687" s="10"/>
      <c r="O687" s="8"/>
      <c r="P687" s="1"/>
    </row>
    <row r="688" spans="1:16" ht="21" customHeight="1">
      <c r="A688" s="10">
        <v>1</v>
      </c>
      <c r="B688" s="33" t="s">
        <v>48</v>
      </c>
      <c r="C688" s="41" t="s">
        <v>398</v>
      </c>
      <c r="D688" s="110" t="s">
        <v>3767</v>
      </c>
      <c r="E688" s="110" t="s">
        <v>841</v>
      </c>
      <c r="F688" s="110" t="s">
        <v>3768</v>
      </c>
      <c r="G688" s="110" t="s">
        <v>1570</v>
      </c>
      <c r="H688" s="8" t="s">
        <v>206</v>
      </c>
      <c r="I688" s="70"/>
      <c r="J688" s="70"/>
      <c r="K688" s="70"/>
      <c r="L688" s="111" t="s">
        <v>3568</v>
      </c>
      <c r="M688" s="41"/>
      <c r="N688" s="10"/>
      <c r="O688" s="8"/>
      <c r="P688" s="1"/>
    </row>
    <row r="689" spans="1:16" ht="21" customHeight="1">
      <c r="A689" s="10">
        <v>1</v>
      </c>
      <c r="B689" s="33" t="s">
        <v>48</v>
      </c>
      <c r="C689" s="41" t="s">
        <v>398</v>
      </c>
      <c r="D689" s="110" t="s">
        <v>3769</v>
      </c>
      <c r="E689" s="110" t="s">
        <v>1707</v>
      </c>
      <c r="F689" s="110" t="s">
        <v>3770</v>
      </c>
      <c r="G689" s="110" t="s">
        <v>1570</v>
      </c>
      <c r="H689" s="8" t="s">
        <v>206</v>
      </c>
      <c r="I689" s="70"/>
      <c r="J689" s="70"/>
      <c r="K689" s="70"/>
      <c r="L689" s="111" t="s">
        <v>3568</v>
      </c>
      <c r="M689" s="41"/>
      <c r="N689" s="10"/>
      <c r="O689" s="8"/>
      <c r="P689" s="1"/>
    </row>
    <row r="690" spans="1:16" ht="21" customHeight="1">
      <c r="A690" s="10">
        <v>1</v>
      </c>
      <c r="B690" s="33" t="s">
        <v>48</v>
      </c>
      <c r="C690" s="41" t="s">
        <v>398</v>
      </c>
      <c r="D690" s="110" t="s">
        <v>3771</v>
      </c>
      <c r="E690" s="110" t="s">
        <v>1677</v>
      </c>
      <c r="F690" s="110" t="s">
        <v>3772</v>
      </c>
      <c r="G690" s="110" t="s">
        <v>66</v>
      </c>
      <c r="H690" s="8" t="s">
        <v>206</v>
      </c>
      <c r="I690" s="70"/>
      <c r="J690" s="70"/>
      <c r="K690" s="70"/>
      <c r="L690" s="111" t="s">
        <v>3568</v>
      </c>
      <c r="M690" s="41"/>
      <c r="N690" s="10"/>
      <c r="O690" s="8"/>
      <c r="P690" s="1"/>
    </row>
    <row r="691" spans="1:16" ht="21" customHeight="1">
      <c r="A691" s="10">
        <v>1</v>
      </c>
      <c r="B691" s="33" t="s">
        <v>48</v>
      </c>
      <c r="C691" s="41" t="s">
        <v>398</v>
      </c>
      <c r="D691" s="110" t="s">
        <v>3773</v>
      </c>
      <c r="E691" s="110" t="s">
        <v>39</v>
      </c>
      <c r="F691" s="110" t="s">
        <v>3774</v>
      </c>
      <c r="G691" s="110" t="s">
        <v>41</v>
      </c>
      <c r="H691" s="8" t="s">
        <v>215</v>
      </c>
      <c r="I691" s="70"/>
      <c r="J691" s="70"/>
      <c r="K691" s="70"/>
      <c r="L691" s="111" t="s">
        <v>3568</v>
      </c>
      <c r="M691" s="41"/>
      <c r="N691" s="10"/>
      <c r="O691" s="8"/>
      <c r="P691" s="1"/>
    </row>
    <row r="692" spans="1:16" ht="21" customHeight="1">
      <c r="A692" s="10">
        <v>1</v>
      </c>
      <c r="B692" s="33" t="s">
        <v>48</v>
      </c>
      <c r="C692" s="41" t="s">
        <v>398</v>
      </c>
      <c r="D692" s="110" t="s">
        <v>3775</v>
      </c>
      <c r="E692" s="110" t="s">
        <v>1661</v>
      </c>
      <c r="F692" s="110" t="s">
        <v>3776</v>
      </c>
      <c r="G692" s="110" t="s">
        <v>66</v>
      </c>
      <c r="H692" s="8" t="s">
        <v>206</v>
      </c>
      <c r="I692" s="70"/>
      <c r="J692" s="70"/>
      <c r="K692" s="70"/>
      <c r="L692" s="111" t="s">
        <v>3568</v>
      </c>
      <c r="M692" s="41"/>
      <c r="N692" s="10"/>
      <c r="O692" s="8"/>
      <c r="P692" s="1"/>
    </row>
    <row r="693" spans="1:16" ht="21" customHeight="1">
      <c r="A693" s="10">
        <v>1</v>
      </c>
      <c r="B693" s="33" t="s">
        <v>48</v>
      </c>
      <c r="C693" s="41" t="s">
        <v>398</v>
      </c>
      <c r="D693" s="110" t="s">
        <v>3777</v>
      </c>
      <c r="E693" s="110" t="s">
        <v>1752</v>
      </c>
      <c r="F693" s="110" t="s">
        <v>3778</v>
      </c>
      <c r="G693" s="110" t="s">
        <v>1582</v>
      </c>
      <c r="H693" s="8" t="s">
        <v>249</v>
      </c>
      <c r="I693" s="70"/>
      <c r="J693" s="70"/>
      <c r="K693" s="70"/>
      <c r="L693" s="111" t="s">
        <v>3568</v>
      </c>
      <c r="M693" s="41"/>
      <c r="N693" s="10"/>
      <c r="O693" s="8"/>
      <c r="P693" s="1"/>
    </row>
    <row r="694" spans="1:16" ht="21" customHeight="1">
      <c r="A694" s="10">
        <v>1</v>
      </c>
      <c r="B694" s="33" t="s">
        <v>48</v>
      </c>
      <c r="C694" s="41" t="s">
        <v>398</v>
      </c>
      <c r="D694" s="110" t="s">
        <v>3779</v>
      </c>
      <c r="E694" s="110" t="s">
        <v>39</v>
      </c>
      <c r="F694" s="110" t="s">
        <v>3780</v>
      </c>
      <c r="G694" s="110" t="s">
        <v>41</v>
      </c>
      <c r="H694" s="8" t="s">
        <v>215</v>
      </c>
      <c r="I694" s="70"/>
      <c r="J694" s="70"/>
      <c r="K694" s="70"/>
      <c r="L694" s="111" t="s">
        <v>3568</v>
      </c>
      <c r="M694" s="41"/>
      <c r="N694" s="10"/>
      <c r="O694" s="8"/>
      <c r="P694" s="1"/>
    </row>
    <row r="695" spans="1:16" ht="21" customHeight="1">
      <c r="A695" s="10">
        <v>1</v>
      </c>
      <c r="B695" s="33" t="s">
        <v>48</v>
      </c>
      <c r="C695" s="41" t="s">
        <v>398</v>
      </c>
      <c r="D695" s="110" t="s">
        <v>3781</v>
      </c>
      <c r="E695" s="110" t="s">
        <v>253</v>
      </c>
      <c r="F695" s="110" t="s">
        <v>3782</v>
      </c>
      <c r="G695" s="110" t="s">
        <v>1570</v>
      </c>
      <c r="H695" s="8" t="s">
        <v>206</v>
      </c>
      <c r="I695" s="70"/>
      <c r="J695" s="70"/>
      <c r="K695" s="70"/>
      <c r="L695" s="111" t="s">
        <v>3568</v>
      </c>
      <c r="M695" s="41"/>
      <c r="N695" s="10"/>
      <c r="O695" s="8"/>
      <c r="P695" s="1"/>
    </row>
    <row r="696" spans="1:16" ht="21" customHeight="1">
      <c r="A696" s="10">
        <v>1</v>
      </c>
      <c r="B696" s="33" t="s">
        <v>48</v>
      </c>
      <c r="C696" s="41" t="s">
        <v>398</v>
      </c>
      <c r="D696" s="110" t="s">
        <v>3783</v>
      </c>
      <c r="E696" s="110" t="s">
        <v>1637</v>
      </c>
      <c r="F696" s="110" t="s">
        <v>3784</v>
      </c>
      <c r="G696" s="110" t="s">
        <v>66</v>
      </c>
      <c r="H696" s="8" t="s">
        <v>206</v>
      </c>
      <c r="I696" s="70"/>
      <c r="J696" s="70"/>
      <c r="K696" s="70"/>
      <c r="L696" s="111" t="s">
        <v>3568</v>
      </c>
      <c r="M696" s="41"/>
      <c r="N696" s="10"/>
      <c r="O696" s="8"/>
      <c r="P696" s="1"/>
    </row>
    <row r="697" spans="1:16" ht="21" customHeight="1">
      <c r="A697" s="10">
        <v>1</v>
      </c>
      <c r="B697" s="33" t="s">
        <v>48</v>
      </c>
      <c r="C697" s="41" t="s">
        <v>398</v>
      </c>
      <c r="D697" s="110" t="s">
        <v>3785</v>
      </c>
      <c r="E697" s="110" t="s">
        <v>446</v>
      </c>
      <c r="F697" s="110" t="s">
        <v>3786</v>
      </c>
      <c r="G697" s="110" t="s">
        <v>66</v>
      </c>
      <c r="H697" s="8" t="s">
        <v>206</v>
      </c>
      <c r="I697" s="70"/>
      <c r="J697" s="70"/>
      <c r="K697" s="70"/>
      <c r="L697" s="111" t="s">
        <v>3568</v>
      </c>
      <c r="M697" s="41"/>
      <c r="N697" s="10"/>
      <c r="O697" s="8"/>
      <c r="P697" s="1"/>
    </row>
    <row r="698" spans="1:16" ht="21" customHeight="1">
      <c r="A698" s="10">
        <v>1</v>
      </c>
      <c r="B698" s="33" t="s">
        <v>48</v>
      </c>
      <c r="C698" s="41" t="s">
        <v>398</v>
      </c>
      <c r="D698" s="110" t="s">
        <v>3787</v>
      </c>
      <c r="E698" s="110" t="s">
        <v>39</v>
      </c>
      <c r="F698" s="110" t="s">
        <v>3788</v>
      </c>
      <c r="G698" s="110" t="s">
        <v>41</v>
      </c>
      <c r="H698" s="8" t="s">
        <v>215</v>
      </c>
      <c r="I698" s="70"/>
      <c r="J698" s="70"/>
      <c r="K698" s="70"/>
      <c r="L698" s="111" t="s">
        <v>3568</v>
      </c>
      <c r="M698" s="41"/>
      <c r="N698" s="10"/>
      <c r="O698" s="8"/>
      <c r="P698" s="1"/>
    </row>
    <row r="699" spans="1:16" ht="21" customHeight="1">
      <c r="A699" s="10">
        <v>1</v>
      </c>
      <c r="B699" s="33" t="s">
        <v>48</v>
      </c>
      <c r="C699" s="41" t="s">
        <v>398</v>
      </c>
      <c r="D699" s="110" t="s">
        <v>3789</v>
      </c>
      <c r="E699" s="110" t="s">
        <v>213</v>
      </c>
      <c r="F699" s="110" t="s">
        <v>3790</v>
      </c>
      <c r="G699" s="110" t="s">
        <v>3668</v>
      </c>
      <c r="H699" s="8" t="s">
        <v>215</v>
      </c>
      <c r="I699" s="70"/>
      <c r="J699" s="70"/>
      <c r="K699" s="70"/>
      <c r="L699" s="111" t="s">
        <v>3568</v>
      </c>
      <c r="M699" s="41"/>
      <c r="N699" s="10"/>
      <c r="O699" s="8"/>
      <c r="P699" s="1"/>
    </row>
    <row r="700" spans="1:16" ht="21" customHeight="1">
      <c r="A700" s="10">
        <v>1</v>
      </c>
      <c r="B700" s="33" t="s">
        <v>48</v>
      </c>
      <c r="C700" s="41" t="s">
        <v>398</v>
      </c>
      <c r="D700" s="110" t="s">
        <v>3791</v>
      </c>
      <c r="E700" s="110" t="s">
        <v>1640</v>
      </c>
      <c r="F700" s="110" t="s">
        <v>3792</v>
      </c>
      <c r="G700" s="110" t="s">
        <v>1582</v>
      </c>
      <c r="H700" s="8" t="s">
        <v>249</v>
      </c>
      <c r="I700" s="70"/>
      <c r="J700" s="70"/>
      <c r="K700" s="70"/>
      <c r="L700" s="111" t="s">
        <v>3568</v>
      </c>
      <c r="M700" s="41"/>
      <c r="N700" s="10"/>
      <c r="O700" s="8"/>
      <c r="P700" s="1"/>
    </row>
    <row r="701" spans="1:16" ht="21" customHeight="1">
      <c r="A701" s="10">
        <v>1</v>
      </c>
      <c r="B701" s="33" t="s">
        <v>48</v>
      </c>
      <c r="C701" s="41" t="s">
        <v>398</v>
      </c>
      <c r="D701" s="110" t="s">
        <v>3793</v>
      </c>
      <c r="E701" s="110" t="s">
        <v>1595</v>
      </c>
      <c r="F701" s="110" t="s">
        <v>3794</v>
      </c>
      <c r="G701" s="110" t="s">
        <v>66</v>
      </c>
      <c r="H701" s="8" t="s">
        <v>206</v>
      </c>
      <c r="I701" s="70"/>
      <c r="J701" s="70"/>
      <c r="K701" s="70"/>
      <c r="L701" s="111" t="s">
        <v>3568</v>
      </c>
      <c r="M701" s="41"/>
      <c r="N701" s="10"/>
      <c r="O701" s="8"/>
      <c r="P701" s="1"/>
    </row>
    <row r="702" spans="1:16" ht="21" customHeight="1">
      <c r="A702" s="10">
        <v>1</v>
      </c>
      <c r="B702" s="33" t="s">
        <v>48</v>
      </c>
      <c r="C702" s="41" t="s">
        <v>398</v>
      </c>
      <c r="D702" s="110" t="s">
        <v>3795</v>
      </c>
      <c r="E702" s="110" t="s">
        <v>817</v>
      </c>
      <c r="F702" s="110" t="s">
        <v>3796</v>
      </c>
      <c r="G702" s="110" t="s">
        <v>41</v>
      </c>
      <c r="H702" s="8" t="s">
        <v>215</v>
      </c>
      <c r="I702" s="70"/>
      <c r="J702" s="70"/>
      <c r="K702" s="70"/>
      <c r="L702" s="111" t="s">
        <v>3568</v>
      </c>
      <c r="M702" s="41"/>
      <c r="N702" s="10"/>
      <c r="O702" s="8"/>
      <c r="P702" s="1"/>
    </row>
    <row r="703" spans="1:16" ht="21" customHeight="1">
      <c r="A703" s="10">
        <v>1</v>
      </c>
      <c r="B703" s="33" t="s">
        <v>48</v>
      </c>
      <c r="C703" s="41" t="s">
        <v>398</v>
      </c>
      <c r="D703" s="110" t="s">
        <v>3797</v>
      </c>
      <c r="E703" s="110" t="s">
        <v>315</v>
      </c>
      <c r="F703" s="110" t="s">
        <v>3798</v>
      </c>
      <c r="G703" s="110" t="s">
        <v>66</v>
      </c>
      <c r="H703" s="8" t="s">
        <v>206</v>
      </c>
      <c r="I703" s="70"/>
      <c r="J703" s="70"/>
      <c r="K703" s="70"/>
      <c r="L703" s="111" t="s">
        <v>3568</v>
      </c>
      <c r="M703" s="41"/>
      <c r="N703" s="10"/>
      <c r="O703" s="8"/>
      <c r="P703" s="1"/>
    </row>
    <row r="704" spans="1:16" ht="21" customHeight="1">
      <c r="A704" s="10">
        <v>1</v>
      </c>
      <c r="B704" s="33" t="s">
        <v>48</v>
      </c>
      <c r="C704" s="41" t="s">
        <v>398</v>
      </c>
      <c r="D704" s="110" t="s">
        <v>3799</v>
      </c>
      <c r="E704" s="110" t="s">
        <v>686</v>
      </c>
      <c r="F704" s="110" t="s">
        <v>3800</v>
      </c>
      <c r="G704" s="110" t="s">
        <v>1570</v>
      </c>
      <c r="H704" s="8" t="s">
        <v>206</v>
      </c>
      <c r="I704" s="70"/>
      <c r="J704" s="70"/>
      <c r="K704" s="70"/>
      <c r="L704" s="111" t="s">
        <v>3568</v>
      </c>
      <c r="M704" s="41"/>
      <c r="N704" s="10"/>
      <c r="O704" s="8"/>
      <c r="P704" s="1"/>
    </row>
    <row r="705" spans="1:16" ht="21" customHeight="1">
      <c r="A705" s="10">
        <v>1</v>
      </c>
      <c r="B705" s="33" t="s">
        <v>48</v>
      </c>
      <c r="C705" s="41" t="s">
        <v>398</v>
      </c>
      <c r="D705" s="110" t="s">
        <v>3801</v>
      </c>
      <c r="E705" s="110" t="s">
        <v>1661</v>
      </c>
      <c r="F705" s="110" t="s">
        <v>3802</v>
      </c>
      <c r="G705" s="110" t="s">
        <v>66</v>
      </c>
      <c r="H705" s="8" t="s">
        <v>206</v>
      </c>
      <c r="I705" s="70"/>
      <c r="J705" s="70"/>
      <c r="K705" s="70"/>
      <c r="L705" s="111" t="s">
        <v>3568</v>
      </c>
      <c r="M705" s="41"/>
      <c r="N705" s="10"/>
      <c r="O705" s="8"/>
      <c r="P705" s="1"/>
    </row>
    <row r="706" spans="1:16" ht="21" customHeight="1">
      <c r="A706" s="10">
        <v>1</v>
      </c>
      <c r="B706" s="33" t="s">
        <v>48</v>
      </c>
      <c r="C706" s="41" t="s">
        <v>398</v>
      </c>
      <c r="D706" s="110" t="s">
        <v>3803</v>
      </c>
      <c r="E706" s="110" t="s">
        <v>817</v>
      </c>
      <c r="F706" s="110" t="s">
        <v>3804</v>
      </c>
      <c r="G706" s="110" t="s">
        <v>41</v>
      </c>
      <c r="H706" s="8" t="s">
        <v>215</v>
      </c>
      <c r="I706" s="70"/>
      <c r="J706" s="70"/>
      <c r="K706" s="70"/>
      <c r="L706" s="111" t="s">
        <v>3568</v>
      </c>
      <c r="M706" s="41"/>
      <c r="N706" s="10"/>
      <c r="O706" s="8"/>
      <c r="P706" s="1"/>
    </row>
    <row r="707" spans="1:16" ht="21" customHeight="1">
      <c r="A707" s="10">
        <v>1</v>
      </c>
      <c r="B707" s="33" t="s">
        <v>48</v>
      </c>
      <c r="C707" s="41" t="s">
        <v>28</v>
      </c>
      <c r="D707" s="41" t="s">
        <v>3805</v>
      </c>
      <c r="E707" s="41" t="s">
        <v>165</v>
      </c>
      <c r="F707" s="41">
        <v>51984561589</v>
      </c>
      <c r="G707" s="41" t="s">
        <v>66</v>
      </c>
      <c r="H707" s="8" t="s">
        <v>67</v>
      </c>
      <c r="I707" s="70" t="s">
        <v>3806</v>
      </c>
      <c r="J707" s="70"/>
      <c r="K707" s="70"/>
      <c r="L707" s="41" t="s">
        <v>55</v>
      </c>
      <c r="M707" s="41" t="s">
        <v>128</v>
      </c>
      <c r="N707" s="10" t="s">
        <v>3807</v>
      </c>
      <c r="O707" s="8" t="s">
        <v>2056</v>
      </c>
      <c r="P707" s="1"/>
    </row>
    <row r="708" spans="1:16" ht="21" hidden="1" customHeight="1">
      <c r="A708" s="10">
        <v>1</v>
      </c>
      <c r="B708" s="33" t="s">
        <v>48</v>
      </c>
      <c r="C708" s="41" t="s">
        <v>93</v>
      </c>
      <c r="D708" s="41" t="s">
        <v>3808</v>
      </c>
      <c r="E708" s="41" t="s">
        <v>3530</v>
      </c>
      <c r="F708" s="41" t="s">
        <v>3809</v>
      </c>
      <c r="G708" s="41" t="s">
        <v>1810</v>
      </c>
      <c r="H708" s="8" t="s">
        <v>33</v>
      </c>
      <c r="I708" s="70"/>
      <c r="J708" s="70"/>
      <c r="K708" s="70" t="s">
        <v>417</v>
      </c>
      <c r="L708" s="41" t="s">
        <v>34</v>
      </c>
      <c r="M708" s="41"/>
      <c r="N708" s="10" t="s">
        <v>3810</v>
      </c>
      <c r="O708" s="8"/>
      <c r="P708" s="1"/>
    </row>
    <row r="709" spans="1:16" ht="21" customHeight="1">
      <c r="A709" s="10">
        <v>1</v>
      </c>
      <c r="B709" s="33" t="s">
        <v>48</v>
      </c>
      <c r="C709" s="41" t="s">
        <v>28</v>
      </c>
      <c r="D709" s="41" t="s">
        <v>708</v>
      </c>
      <c r="E709" s="41" t="s">
        <v>709</v>
      </c>
      <c r="F709" s="41" t="s">
        <v>3811</v>
      </c>
      <c r="G709" s="41" t="s">
        <v>32</v>
      </c>
      <c r="H709" s="8" t="s">
        <v>33</v>
      </c>
      <c r="I709" s="70" t="s">
        <v>177</v>
      </c>
      <c r="J709" s="70"/>
      <c r="K709" s="70"/>
      <c r="L709" s="41" t="s">
        <v>55</v>
      </c>
      <c r="M709" s="41" t="s">
        <v>133</v>
      </c>
      <c r="N709" s="10" t="s">
        <v>3812</v>
      </c>
      <c r="O709" s="8"/>
      <c r="P709" s="1"/>
    </row>
    <row r="710" spans="1:16" ht="21" hidden="1" customHeight="1">
      <c r="A710" s="10">
        <v>1</v>
      </c>
      <c r="B710" s="33" t="s">
        <v>48</v>
      </c>
      <c r="C710" s="41" t="s">
        <v>93</v>
      </c>
      <c r="D710" s="41" t="s">
        <v>419</v>
      </c>
      <c r="E710" s="41" t="s">
        <v>407</v>
      </c>
      <c r="F710" s="41" t="s">
        <v>3813</v>
      </c>
      <c r="G710" s="41" t="s">
        <v>66</v>
      </c>
      <c r="H710" s="8" t="s">
        <v>67</v>
      </c>
      <c r="I710" s="70"/>
      <c r="J710" s="70"/>
      <c r="K710" s="70" t="s">
        <v>97</v>
      </c>
      <c r="L710" s="41" t="s">
        <v>34</v>
      </c>
      <c r="M710" s="41"/>
      <c r="N710" s="10" t="s">
        <v>3814</v>
      </c>
      <c r="O710" s="8"/>
      <c r="P710" s="1"/>
    </row>
    <row r="711" spans="1:16" ht="21" hidden="1" customHeight="1">
      <c r="A711" s="10">
        <v>1</v>
      </c>
      <c r="B711" s="33" t="s">
        <v>48</v>
      </c>
      <c r="C711" s="41" t="s">
        <v>93</v>
      </c>
      <c r="D711" s="41" t="s">
        <v>3129</v>
      </c>
      <c r="E711" s="41" t="s">
        <v>161</v>
      </c>
      <c r="F711" s="41" t="s">
        <v>3815</v>
      </c>
      <c r="G711" s="41" t="s">
        <v>66</v>
      </c>
      <c r="H711" s="8" t="s">
        <v>67</v>
      </c>
      <c r="I711" s="70"/>
      <c r="J711" s="70"/>
      <c r="K711" s="70" t="s">
        <v>179</v>
      </c>
      <c r="L711" s="41" t="s">
        <v>49</v>
      </c>
      <c r="M711" s="41"/>
      <c r="N711" s="10" t="s">
        <v>3816</v>
      </c>
      <c r="O711" s="8"/>
      <c r="P711" s="1"/>
    </row>
    <row r="712" spans="1:16" ht="21" hidden="1" customHeight="1">
      <c r="A712" s="10">
        <v>1</v>
      </c>
      <c r="B712" s="33" t="s">
        <v>48</v>
      </c>
      <c r="C712" s="41" t="s">
        <v>93</v>
      </c>
      <c r="D712" s="41" t="s">
        <v>3817</v>
      </c>
      <c r="E712" s="41" t="s">
        <v>285</v>
      </c>
      <c r="F712" s="41" t="s">
        <v>3818</v>
      </c>
      <c r="G712" s="41" t="s">
        <v>66</v>
      </c>
      <c r="H712" s="8" t="s">
        <v>67</v>
      </c>
      <c r="I712" s="70"/>
      <c r="J712" s="70"/>
      <c r="K712" s="70" t="s">
        <v>184</v>
      </c>
      <c r="L712" s="41" t="s">
        <v>49</v>
      </c>
      <c r="M712" s="41"/>
      <c r="N712" s="10" t="s">
        <v>3819</v>
      </c>
      <c r="O712" s="8"/>
      <c r="P712" s="1"/>
    </row>
    <row r="713" spans="1:16" ht="21" customHeight="1">
      <c r="A713" s="10"/>
      <c r="B713" s="33"/>
      <c r="C713" s="41"/>
      <c r="D713" s="41"/>
      <c r="E713" s="41"/>
      <c r="F713" s="41"/>
      <c r="G713" s="41"/>
      <c r="H713" s="8"/>
      <c r="I713" s="70"/>
      <c r="J713" s="70"/>
      <c r="K713" s="70"/>
      <c r="L713" s="41"/>
      <c r="M713" s="41"/>
      <c r="N713" s="10"/>
      <c r="O713" s="8"/>
      <c r="P713" s="1"/>
    </row>
    <row r="714" spans="1:16" ht="21" customHeight="1">
      <c r="A714" s="10"/>
      <c r="B714" s="33"/>
      <c r="C714" s="41"/>
      <c r="D714" s="41"/>
      <c r="E714" s="41"/>
      <c r="F714" s="41"/>
      <c r="G714" s="41"/>
      <c r="H714" s="8"/>
      <c r="I714" s="70"/>
      <c r="J714" s="70"/>
      <c r="K714" s="70"/>
      <c r="L714" s="41"/>
      <c r="M714" s="41"/>
      <c r="N714" s="10"/>
      <c r="O714" s="8"/>
      <c r="P714" s="1"/>
    </row>
    <row r="715" spans="1:16" ht="21" customHeight="1">
      <c r="A715" s="10"/>
      <c r="B715" s="33"/>
      <c r="C715" s="41"/>
      <c r="D715" s="41"/>
      <c r="E715" s="41"/>
      <c r="F715" s="41"/>
      <c r="G715" s="41"/>
      <c r="H715" s="8"/>
      <c r="I715" s="70"/>
      <c r="J715" s="70"/>
      <c r="K715" s="70"/>
      <c r="L715" s="41"/>
      <c r="M715" s="41"/>
      <c r="N715" s="10"/>
      <c r="O715" s="8"/>
      <c r="P715" s="1"/>
    </row>
    <row r="716" spans="1:16" ht="21" customHeight="1">
      <c r="A716" s="10"/>
      <c r="B716" s="33"/>
      <c r="C716" s="41"/>
      <c r="D716" s="41"/>
      <c r="E716" s="41"/>
      <c r="F716" s="41"/>
      <c r="G716" s="41"/>
      <c r="H716" s="8"/>
      <c r="I716" s="70"/>
      <c r="J716" s="70"/>
      <c r="K716" s="70"/>
      <c r="L716" s="41"/>
      <c r="M716" s="41"/>
      <c r="N716" s="10"/>
      <c r="O716" s="8"/>
      <c r="P716" s="1"/>
    </row>
    <row r="717" spans="1:16" ht="21" customHeight="1">
      <c r="A717" s="10"/>
      <c r="B717" s="33"/>
      <c r="C717" s="41"/>
      <c r="D717" s="41"/>
      <c r="E717" s="41"/>
      <c r="F717" s="41"/>
      <c r="G717" s="41"/>
      <c r="H717" s="8"/>
      <c r="I717" s="70"/>
      <c r="J717" s="70"/>
      <c r="K717" s="70"/>
      <c r="L717" s="41"/>
      <c r="M717" s="41"/>
      <c r="O717" s="8"/>
      <c r="P717" s="1"/>
    </row>
    <row r="718" spans="1:16" ht="21" customHeight="1">
      <c r="A718" s="10">
        <f>SUM(A5:A715)</f>
        <v>708</v>
      </c>
      <c r="B718" s="34"/>
      <c r="C718" s="41"/>
      <c r="D718" s="44"/>
      <c r="E718" s="44"/>
      <c r="F718" s="44"/>
      <c r="G718" s="11"/>
      <c r="H718" s="13"/>
      <c r="I718" s="71"/>
      <c r="J718" s="71"/>
      <c r="K718" s="71"/>
      <c r="L718" s="41"/>
      <c r="M718" s="10"/>
      <c r="N718" s="10"/>
      <c r="O718" s="8"/>
      <c r="P718" s="1"/>
    </row>
    <row r="719" spans="1:16" ht="21" customHeight="1">
      <c r="A719" s="41"/>
      <c r="B719" s="33"/>
      <c r="C719" s="41"/>
      <c r="D719" s="41"/>
      <c r="E719" s="41"/>
      <c r="F719" s="41"/>
      <c r="G719" s="41"/>
      <c r="H719" s="41"/>
      <c r="I719" s="33"/>
      <c r="J719" s="33"/>
      <c r="K719" s="33"/>
      <c r="L719" s="41"/>
      <c r="M719" s="41"/>
      <c r="N719" s="44"/>
      <c r="O719" s="8"/>
      <c r="P719" s="1"/>
    </row>
    <row r="720" spans="1:16" ht="21" customHeight="1">
      <c r="A720" s="128" t="s">
        <v>2012</v>
      </c>
      <c r="B720" s="129"/>
      <c r="C720" s="57" t="s">
        <v>2013</v>
      </c>
      <c r="D720" s="59" t="s">
        <v>2014</v>
      </c>
      <c r="E720" s="58" t="s">
        <v>2015</v>
      </c>
      <c r="F720" s="81">
        <f>H720/A2</f>
        <v>1.053763440860215</v>
      </c>
      <c r="G720" s="83" t="s">
        <v>2016</v>
      </c>
      <c r="H720" s="82">
        <f>L720/F2*G2+L720</f>
        <v>294</v>
      </c>
      <c r="I720" s="10" t="s">
        <v>2017</v>
      </c>
      <c r="J720" s="85">
        <v>2000</v>
      </c>
      <c r="K720" s="85"/>
      <c r="L720">
        <f>C2-59</f>
        <v>294</v>
      </c>
      <c r="M720" s="56" t="s">
        <v>2018</v>
      </c>
      <c r="N720" s="44"/>
      <c r="O720" s="8"/>
      <c r="P720" s="1"/>
    </row>
    <row r="721" spans="1:16" ht="21" customHeight="1">
      <c r="A721" s="130"/>
      <c r="B721" s="131"/>
      <c r="C721" s="61">
        <f>C2</f>
        <v>353</v>
      </c>
      <c r="D721" s="60">
        <f>COUNTIF(C5:C718,"retido")</f>
        <v>236</v>
      </c>
      <c r="E721" s="56"/>
      <c r="G721" s="80">
        <f>A2/19399</f>
        <v>1.4382184648693232E-2</v>
      </c>
      <c r="H721" s="84">
        <f>H720/19554</f>
        <v>1.5035286897821418E-2</v>
      </c>
      <c r="I721" s="40"/>
      <c r="J721" s="40"/>
      <c r="K721" s="40"/>
      <c r="N721" s="44"/>
      <c r="O721" s="8"/>
      <c r="P721" s="1"/>
    </row>
    <row r="722" spans="1:16" ht="21" customHeight="1">
      <c r="A722" s="15" t="s">
        <v>2019</v>
      </c>
      <c r="B722" s="45">
        <f>COUNTIF(M5:M1545,"insatisfação c/ atd")</f>
        <v>27</v>
      </c>
      <c r="C722" s="55">
        <f>B722/$C$721</f>
        <v>7.6487252124645896E-2</v>
      </c>
      <c r="E722" s="10" t="s">
        <v>2020</v>
      </c>
      <c r="F722" s="10" t="s">
        <v>2021</v>
      </c>
      <c r="G722" s="10" t="s">
        <v>2022</v>
      </c>
      <c r="H722" s="44" t="s">
        <v>2023</v>
      </c>
      <c r="I722" s="44" t="s">
        <v>2024</v>
      </c>
      <c r="J722" s="44" t="s">
        <v>2025</v>
      </c>
      <c r="K722" s="44"/>
      <c r="N722" s="44"/>
      <c r="O722" s="8"/>
      <c r="P722" s="1"/>
    </row>
    <row r="723" spans="1:16" ht="21" customHeight="1">
      <c r="A723" s="15" t="s">
        <v>2026</v>
      </c>
      <c r="B723" s="45">
        <f>COUNTIF(M5:M1545,"INSATISFAÇÃO C/ SERVIÇO")</f>
        <v>108</v>
      </c>
      <c r="C723" s="52">
        <f>B723/$C$721</f>
        <v>0.30594900849858359</v>
      </c>
      <c r="D723" s="56" t="s">
        <v>55</v>
      </c>
      <c r="E723" s="10">
        <v>220</v>
      </c>
      <c r="F723" s="10">
        <f>E723-G723</f>
        <v>126</v>
      </c>
      <c r="G723" s="63">
        <v>94</v>
      </c>
      <c r="H723" s="62">
        <f>G723/E723</f>
        <v>0.42727272727272725</v>
      </c>
      <c r="I723" s="64">
        <f>G723/$G$730</f>
        <v>0.39662447257383965</v>
      </c>
      <c r="J723" s="65">
        <f>I723*$J$720</f>
        <v>793.24894514767925</v>
      </c>
      <c r="K723" s="65"/>
      <c r="N723" s="44"/>
      <c r="O723" s="8"/>
      <c r="P723" s="1"/>
    </row>
    <row r="724" spans="1:16" ht="21" customHeight="1">
      <c r="A724" s="16" t="s">
        <v>2027</v>
      </c>
      <c r="B724" s="45">
        <f>COUNTIF(M5:M1545,"MUDANÇA DE ENDEREÇO")</f>
        <v>100</v>
      </c>
      <c r="C724" s="52">
        <f>B724/$C$721</f>
        <v>0.28328611898016998</v>
      </c>
      <c r="D724" s="42" t="s">
        <v>34</v>
      </c>
      <c r="E724" s="10">
        <v>65</v>
      </c>
      <c r="F724" s="10">
        <f>E724-G724</f>
        <v>40</v>
      </c>
      <c r="G724" s="63">
        <v>25</v>
      </c>
      <c r="H724" s="62">
        <f>G724/E724</f>
        <v>0.38461538461538464</v>
      </c>
      <c r="I724" s="64">
        <f>G724/$G$730</f>
        <v>0.10548523206751055</v>
      </c>
      <c r="J724" s="65">
        <f>I724*$J$720</f>
        <v>210.9704641350211</v>
      </c>
      <c r="K724" s="65"/>
      <c r="N724" s="42"/>
      <c r="O724" s="8"/>
      <c r="P724" s="1"/>
    </row>
    <row r="725" spans="1:16" ht="21" customHeight="1">
      <c r="A725" s="15" t="s">
        <v>2028</v>
      </c>
      <c r="B725" s="45">
        <f>COUNTIF(M5:M1545,"MOTIVOS PESSOAIS")</f>
        <v>12</v>
      </c>
      <c r="C725" s="52">
        <f>B725/$C$721</f>
        <v>3.39943342776204E-2</v>
      </c>
      <c r="D725" s="42" t="s">
        <v>49</v>
      </c>
      <c r="E725" s="10">
        <v>283</v>
      </c>
      <c r="F725" s="10">
        <f>E725-G725</f>
        <v>166</v>
      </c>
      <c r="G725" s="63">
        <v>117</v>
      </c>
      <c r="H725" s="62">
        <f>G725/E725</f>
        <v>0.41342756183745583</v>
      </c>
      <c r="I725" s="64">
        <f>G725/$G$730</f>
        <v>0.49367088607594939</v>
      </c>
      <c r="J725" s="65">
        <f>I725*$J$720</f>
        <v>987.34177215189879</v>
      </c>
      <c r="K725" s="65"/>
      <c r="N725" s="42"/>
      <c r="O725" s="8"/>
      <c r="P725" s="1"/>
    </row>
    <row r="726" spans="1:16" ht="21" customHeight="1">
      <c r="A726" s="15" t="s">
        <v>2029</v>
      </c>
      <c r="B726" s="45">
        <f>COUNTIF(M5:M1545,"TROCA DE PROVEDOR")</f>
        <v>59</v>
      </c>
      <c r="C726" s="52">
        <f>B726/$C$721</f>
        <v>0.16713881019830029</v>
      </c>
      <c r="D726" s="42" t="s">
        <v>2050</v>
      </c>
      <c r="E726" s="76">
        <v>29</v>
      </c>
      <c r="F726" s="10">
        <f>E726-G726</f>
        <v>28</v>
      </c>
      <c r="G726" s="63">
        <v>1</v>
      </c>
      <c r="H726" s="62">
        <f>G726/E726</f>
        <v>3.4482758620689655E-2</v>
      </c>
      <c r="I726" s="64">
        <f>G726/$G$730</f>
        <v>4.2194092827004216E-3</v>
      </c>
      <c r="J726" s="65">
        <f>I726*$J$720</f>
        <v>8.4388185654008439</v>
      </c>
      <c r="K726" s="65"/>
      <c r="N726" s="42"/>
      <c r="O726" s="8"/>
      <c r="P726" s="1"/>
    </row>
    <row r="727" spans="1:16" ht="21" customHeight="1">
      <c r="A727" s="17" t="s">
        <v>2030</v>
      </c>
      <c r="B727" s="46">
        <f>COUNTIF(M5:M1545,"PROBLEMAS FINANC")</f>
        <v>15</v>
      </c>
      <c r="C727" s="52">
        <f>B727/$C$721</f>
        <v>4.2492917847025496E-2</v>
      </c>
      <c r="D727" s="56" t="s">
        <v>769</v>
      </c>
      <c r="E727" s="76">
        <v>1</v>
      </c>
      <c r="F727" s="10">
        <f>E727-G727</f>
        <v>1</v>
      </c>
      <c r="G727" s="63">
        <v>0</v>
      </c>
      <c r="H727" s="62">
        <f>G727/E727</f>
        <v>0</v>
      </c>
      <c r="I727" s="64">
        <f>G727/$G$730</f>
        <v>0</v>
      </c>
      <c r="J727" s="65">
        <f>I727*$J$720</f>
        <v>0</v>
      </c>
      <c r="K727" s="66"/>
      <c r="L727" s="14"/>
      <c r="M727" s="14"/>
      <c r="N727" s="42"/>
      <c r="O727" s="14"/>
      <c r="P727" s="1"/>
    </row>
    <row r="728" spans="1:16" ht="21" customHeight="1">
      <c r="A728" s="16" t="s">
        <v>120</v>
      </c>
      <c r="B728" s="45">
        <f>COUNTIF(M5:M1545,"OUTROS")</f>
        <v>35</v>
      </c>
      <c r="C728" s="52">
        <f>B728/$C$721</f>
        <v>9.9150141643059492E-2</v>
      </c>
      <c r="D728" s="56" t="s">
        <v>56</v>
      </c>
      <c r="E728" s="76">
        <v>1</v>
      </c>
      <c r="F728" s="10">
        <f>E728-G728</f>
        <v>1</v>
      </c>
      <c r="G728" s="63"/>
      <c r="H728" s="62">
        <f>G728/E728</f>
        <v>0</v>
      </c>
      <c r="I728" s="64">
        <f>G728/$G$730</f>
        <v>0</v>
      </c>
      <c r="J728" s="65">
        <f>I728*$J$720</f>
        <v>0</v>
      </c>
      <c r="K728" s="73"/>
      <c r="L728" s="14"/>
      <c r="M728" s="14"/>
      <c r="N728" s="42"/>
      <c r="O728" s="14"/>
      <c r="P728" s="1"/>
    </row>
    <row r="729" spans="1:16" ht="21" customHeight="1">
      <c r="A729" s="18" t="s">
        <v>2032</v>
      </c>
      <c r="B729" s="48">
        <f>A718-J2-59</f>
        <v>530</v>
      </c>
      <c r="C729" s="50"/>
      <c r="D729" s="1"/>
      <c r="E729" s="42"/>
      <c r="F729" s="1"/>
      <c r="K729" s="72"/>
      <c r="L729" s="14"/>
      <c r="M729" s="14"/>
      <c r="N729" s="42"/>
      <c r="O729" s="14"/>
      <c r="P729" s="1"/>
    </row>
    <row r="730" spans="1:16" ht="21" customHeight="1">
      <c r="A730" s="19" t="s">
        <v>2034</v>
      </c>
      <c r="B730" s="47">
        <f>D721/B729</f>
        <v>0.44528301886792454</v>
      </c>
      <c r="C730" s="20" t="s">
        <v>2035</v>
      </c>
      <c r="D730" s="106" t="s">
        <v>2031</v>
      </c>
      <c r="E730" s="42"/>
      <c r="F730" s="14"/>
      <c r="G730" s="24">
        <f>SUM(G723:G726)</f>
        <v>237</v>
      </c>
      <c r="I730" s="14"/>
      <c r="J730" s="66">
        <f>SUM(J723:J726)</f>
        <v>2000</v>
      </c>
      <c r="K730" s="36"/>
      <c r="L730" s="14"/>
      <c r="M730" s="14"/>
      <c r="N730" s="42"/>
      <c r="O730" s="14"/>
      <c r="P730" s="1"/>
    </row>
    <row r="731" spans="1:16" ht="21" customHeight="1">
      <c r="A731" s="21"/>
      <c r="B731" s="35"/>
      <c r="C731" s="1"/>
      <c r="D731" s="105" t="s">
        <v>2033</v>
      </c>
      <c r="E731" s="42"/>
      <c r="F731" s="42"/>
      <c r="G731" s="42"/>
      <c r="H731" s="42"/>
      <c r="I731" s="72"/>
      <c r="J731" s="72"/>
      <c r="K731" s="38"/>
      <c r="L731" s="1"/>
      <c r="M731" s="1"/>
      <c r="N731" s="2"/>
      <c r="O731" s="1"/>
      <c r="P731" s="1"/>
    </row>
    <row r="732" spans="1:16" ht="21" customHeight="1">
      <c r="A732" s="11"/>
      <c r="B732" s="36"/>
      <c r="C732" s="23"/>
      <c r="D732" s="105" t="s">
        <v>573</v>
      </c>
      <c r="E732" s="42"/>
      <c r="F732" s="1"/>
      <c r="G732" s="1"/>
      <c r="H732" s="11"/>
      <c r="I732" s="36"/>
      <c r="J732" s="36"/>
      <c r="K732" s="74"/>
      <c r="L732" s="54"/>
      <c r="M732" s="44"/>
      <c r="N732" s="2"/>
      <c r="O732" s="1"/>
      <c r="P732" s="1"/>
    </row>
    <row r="733" spans="1:16" ht="21" customHeight="1">
      <c r="A733" s="25"/>
      <c r="B733" s="37"/>
      <c r="C733" s="27"/>
      <c r="D733" s="105" t="s">
        <v>589</v>
      </c>
      <c r="E733" s="9"/>
      <c r="F733" s="1"/>
      <c r="G733" s="1"/>
      <c r="H733" s="22"/>
      <c r="I733" s="38"/>
      <c r="J733" s="38"/>
      <c r="K733" s="34"/>
      <c r="L733" s="44"/>
      <c r="M733" s="44"/>
      <c r="N733" s="2"/>
      <c r="O733" s="1"/>
      <c r="P733" s="1"/>
    </row>
    <row r="734" spans="1:16" ht="21" customHeight="1">
      <c r="A734" s="25"/>
      <c r="B734" s="37"/>
      <c r="C734" s="27"/>
      <c r="D734" t="s">
        <v>2036</v>
      </c>
      <c r="E734" s="11"/>
      <c r="F734" s="11"/>
      <c r="G734" s="54"/>
      <c r="H734" s="54"/>
      <c r="I734" s="74"/>
      <c r="J734" s="74"/>
      <c r="K734" s="33"/>
      <c r="L734" s="30"/>
      <c r="M734" s="41"/>
      <c r="N734" s="41"/>
      <c r="O734" s="1"/>
      <c r="P734" s="1"/>
    </row>
    <row r="735" spans="1:16" ht="21" customHeight="1">
      <c r="A735" s="25"/>
      <c r="B735" s="37"/>
      <c r="C735" s="27"/>
      <c r="D735" s="105" t="s">
        <v>2038</v>
      </c>
      <c r="E735" s="28"/>
      <c r="F735" s="28"/>
      <c r="G735" s="23"/>
      <c r="H735" s="44"/>
      <c r="I735" s="34"/>
      <c r="J735" s="34"/>
      <c r="K735" s="33"/>
      <c r="L735" s="41"/>
      <c r="M735" s="41"/>
      <c r="N735" s="41"/>
      <c r="O735" s="1"/>
      <c r="P735" s="1"/>
    </row>
    <row r="736" spans="1:16" ht="21" customHeight="1">
      <c r="A736" s="25"/>
      <c r="B736" s="37"/>
      <c r="C736" s="27"/>
      <c r="D736" s="105" t="s">
        <v>2039</v>
      </c>
      <c r="E736" s="28"/>
      <c r="F736" s="28"/>
      <c r="G736" s="41"/>
      <c r="H736" s="29"/>
      <c r="I736" s="33"/>
      <c r="J736" s="33"/>
      <c r="K736" s="33"/>
      <c r="L736" s="41"/>
      <c r="M736" s="41"/>
      <c r="N736" s="2"/>
      <c r="O736" s="1"/>
      <c r="P736" s="1"/>
    </row>
    <row r="737" spans="1:16" ht="21" customHeight="1">
      <c r="A737" s="25"/>
      <c r="B737" s="37"/>
      <c r="C737" s="27"/>
      <c r="D737" s="105" t="s">
        <v>120</v>
      </c>
      <c r="E737" s="28"/>
      <c r="F737" s="28"/>
      <c r="G737" s="41"/>
      <c r="H737" s="30"/>
      <c r="I737" s="33"/>
      <c r="J737" s="33"/>
      <c r="K737" s="33"/>
      <c r="L737" s="41"/>
      <c r="M737" s="41"/>
      <c r="N737" s="2"/>
      <c r="O737" s="1"/>
      <c r="P737" s="1"/>
    </row>
    <row r="738" spans="1:16" ht="21" customHeight="1">
      <c r="A738" s="25"/>
      <c r="B738" s="37"/>
      <c r="C738" s="27"/>
      <c r="E738" s="28"/>
      <c r="F738" s="28"/>
      <c r="G738" s="41"/>
      <c r="H738" s="41"/>
      <c r="I738" s="33"/>
      <c r="J738" s="33"/>
      <c r="K738" s="33"/>
      <c r="L738" s="41"/>
      <c r="M738" s="41"/>
      <c r="N738" s="2"/>
      <c r="O738" s="1"/>
      <c r="P738" s="1"/>
    </row>
    <row r="739" spans="1:16" ht="21" customHeight="1">
      <c r="A739" s="25"/>
      <c r="B739" s="37"/>
      <c r="C739" s="27"/>
      <c r="D739" s="106" t="s">
        <v>2040</v>
      </c>
      <c r="E739" s="2"/>
      <c r="F739" s="2"/>
      <c r="G739" s="41"/>
      <c r="H739" s="30"/>
      <c r="I739" s="33"/>
      <c r="J739" s="33"/>
      <c r="K739" s="33"/>
      <c r="L739" s="41"/>
      <c r="M739" s="41"/>
      <c r="N739" s="2"/>
      <c r="O739" s="1"/>
      <c r="P739" s="1"/>
    </row>
    <row r="740" spans="1:16" ht="21" customHeight="1">
      <c r="A740" s="25"/>
      <c r="B740" s="37"/>
      <c r="C740" s="27"/>
      <c r="D740" t="s">
        <v>358</v>
      </c>
      <c r="E740" s="28"/>
      <c r="F740" s="28"/>
      <c r="G740" s="41"/>
      <c r="H740" s="29"/>
      <c r="I740" s="33"/>
      <c r="J740" s="33"/>
      <c r="K740" s="39"/>
      <c r="L740" s="1"/>
      <c r="M740" s="1"/>
      <c r="N740" s="2"/>
      <c r="O740" s="1"/>
      <c r="P740" s="1"/>
    </row>
    <row r="741" spans="1:16" ht="21" customHeight="1">
      <c r="A741" s="25"/>
      <c r="B741" s="37"/>
      <c r="C741" s="27"/>
      <c r="D741" t="s">
        <v>599</v>
      </c>
      <c r="E741" s="28"/>
      <c r="F741" s="28"/>
      <c r="G741" s="41"/>
      <c r="H741" s="41"/>
      <c r="I741" s="33"/>
      <c r="J741" s="33"/>
      <c r="K741" s="72"/>
      <c r="L741" s="1"/>
      <c r="M741" s="1"/>
      <c r="N741" s="2"/>
      <c r="O741" s="1"/>
      <c r="P741" s="1"/>
    </row>
    <row r="742" spans="1:16" ht="21" customHeight="1">
      <c r="A742" s="25"/>
      <c r="B742" s="37"/>
      <c r="C742" s="26"/>
      <c r="D742" t="s">
        <v>2041</v>
      </c>
      <c r="E742" s="28"/>
      <c r="F742" s="28"/>
      <c r="G742" s="1"/>
      <c r="H742" s="1"/>
      <c r="I742" s="39"/>
      <c r="J742" s="39"/>
      <c r="K742" s="39"/>
      <c r="L742" s="1"/>
      <c r="M742" s="1"/>
      <c r="N742" s="2"/>
      <c r="O742" s="1"/>
      <c r="P742" s="1"/>
    </row>
    <row r="743" spans="1:16" ht="21" customHeight="1">
      <c r="A743" s="11"/>
      <c r="B743" s="36"/>
      <c r="C743" s="2"/>
      <c r="D743" t="s">
        <v>294</v>
      </c>
      <c r="E743" s="2"/>
      <c r="F743" s="2"/>
      <c r="G743" s="1"/>
      <c r="H743" s="42"/>
      <c r="I743" s="72"/>
      <c r="J743" s="72"/>
      <c r="K743" s="39"/>
      <c r="L743" s="1"/>
      <c r="M743" s="1"/>
      <c r="N743" s="2"/>
      <c r="O743" s="1"/>
      <c r="P743" s="1"/>
    </row>
    <row r="744" spans="1:16" ht="21" customHeight="1">
      <c r="A744" s="25"/>
      <c r="B744" s="38"/>
      <c r="C744" s="27"/>
      <c r="D744" t="s">
        <v>367</v>
      </c>
      <c r="E744" s="31"/>
      <c r="F744" s="31"/>
      <c r="G744" s="1"/>
      <c r="H744" s="1"/>
      <c r="I744" s="39"/>
      <c r="J744" s="39"/>
      <c r="K744" s="39"/>
      <c r="L744" s="1"/>
      <c r="M744" s="1"/>
      <c r="N744" s="2"/>
      <c r="O744" s="1"/>
      <c r="P744" s="1"/>
    </row>
    <row r="745" spans="1:16" ht="21" customHeight="1">
      <c r="A745" s="25"/>
      <c r="B745" s="38"/>
      <c r="C745" s="27"/>
      <c r="D745" t="s">
        <v>211</v>
      </c>
      <c r="E745" s="31"/>
      <c r="F745" s="31"/>
      <c r="G745" s="1"/>
      <c r="H745" s="1"/>
      <c r="I745" s="39"/>
      <c r="J745" s="39"/>
      <c r="K745" s="38"/>
      <c r="L745" s="1"/>
      <c r="M745" s="1"/>
      <c r="N745" s="2"/>
      <c r="O745" s="1"/>
      <c r="P745" s="1"/>
    </row>
    <row r="746" spans="1:16" ht="21" customHeight="1">
      <c r="A746" s="25"/>
      <c r="B746" s="38"/>
      <c r="C746" s="27"/>
      <c r="D746" t="s">
        <v>265</v>
      </c>
      <c r="E746" s="27"/>
      <c r="F746" s="27"/>
      <c r="G746" s="1"/>
      <c r="H746" s="1"/>
      <c r="I746" s="39"/>
      <c r="J746" s="39"/>
      <c r="K746" s="38"/>
      <c r="L746" s="1"/>
      <c r="M746" s="1"/>
      <c r="N746" s="2"/>
      <c r="O746" s="1"/>
      <c r="P746" s="1"/>
    </row>
    <row r="747" spans="1:16" ht="21" customHeight="1">
      <c r="A747" s="25"/>
      <c r="B747" s="38"/>
      <c r="C747" s="27"/>
      <c r="D747" t="s">
        <v>120</v>
      </c>
      <c r="E747" s="27"/>
      <c r="F747" s="27"/>
      <c r="G747" s="1"/>
      <c r="H747" s="2"/>
      <c r="I747" s="38"/>
      <c r="J747" s="38"/>
      <c r="K747" s="38"/>
      <c r="L747" s="1"/>
      <c r="M747" s="1"/>
      <c r="N747" s="2"/>
      <c r="O747" s="1"/>
      <c r="P747" s="1"/>
    </row>
    <row r="748" spans="1:16" ht="21" customHeight="1">
      <c r="A748" s="25"/>
      <c r="B748" s="38"/>
      <c r="C748" s="2"/>
      <c r="E748" s="2"/>
      <c r="F748" s="2"/>
      <c r="G748" s="1"/>
      <c r="H748" s="2"/>
      <c r="I748" s="38"/>
      <c r="J748" s="38"/>
      <c r="K748" s="38"/>
      <c r="L748" s="1"/>
      <c r="M748" s="1"/>
      <c r="N748" s="2"/>
      <c r="O748" s="1"/>
      <c r="P748" s="1"/>
    </row>
    <row r="749" spans="1:16" ht="21" customHeight="1">
      <c r="A749" s="25"/>
      <c r="B749" s="38"/>
      <c r="C749" s="27"/>
      <c r="D749" s="106" t="s">
        <v>2042</v>
      </c>
      <c r="E749" s="27"/>
      <c r="F749" s="27"/>
      <c r="G749" s="1"/>
      <c r="H749" s="2"/>
      <c r="I749" s="38"/>
      <c r="J749" s="38"/>
      <c r="K749" s="38"/>
      <c r="L749" s="1"/>
      <c r="M749" s="1"/>
      <c r="N749" s="2"/>
      <c r="O749" s="1"/>
      <c r="P749" s="1"/>
    </row>
    <row r="750" spans="1:16" ht="21" customHeight="1">
      <c r="A750" s="25"/>
      <c r="B750" s="38"/>
      <c r="C750" s="27"/>
      <c r="D750" t="s">
        <v>1170</v>
      </c>
      <c r="E750" s="2"/>
      <c r="F750" s="2"/>
      <c r="G750" s="1"/>
      <c r="H750" s="2"/>
      <c r="I750" s="38"/>
      <c r="J750" s="38"/>
      <c r="K750" s="38"/>
      <c r="L750" s="1"/>
      <c r="M750" s="1"/>
      <c r="N750" s="2"/>
      <c r="O750" s="1"/>
      <c r="P750" s="1"/>
    </row>
    <row r="751" spans="1:16" ht="21" customHeight="1">
      <c r="A751" s="25"/>
      <c r="B751" s="38"/>
      <c r="C751" s="27"/>
      <c r="D751" t="s">
        <v>129</v>
      </c>
      <c r="E751" s="27"/>
      <c r="F751" s="27"/>
      <c r="G751" s="1"/>
      <c r="H751" s="2"/>
      <c r="I751" s="38"/>
      <c r="J751" s="38"/>
      <c r="K751" s="38"/>
      <c r="L751" s="1"/>
      <c r="M751" s="1"/>
      <c r="N751" s="2"/>
      <c r="O751" s="1"/>
      <c r="P751" s="1"/>
    </row>
    <row r="752" spans="1:16" ht="21" customHeight="1">
      <c r="A752" s="25"/>
      <c r="B752" s="38"/>
      <c r="C752" s="2"/>
      <c r="D752" t="s">
        <v>468</v>
      </c>
      <c r="E752" s="27"/>
      <c r="F752" s="27"/>
      <c r="G752" s="2"/>
      <c r="H752" s="2"/>
      <c r="I752" s="38"/>
      <c r="J752" s="38"/>
      <c r="K752" s="38"/>
      <c r="L752" s="1"/>
      <c r="M752" s="1"/>
      <c r="N752" s="2"/>
      <c r="O752" s="1"/>
      <c r="P752" s="1"/>
    </row>
    <row r="753" spans="1:16" ht="21" customHeight="1">
      <c r="A753" s="11"/>
      <c r="B753" s="36"/>
      <c r="C753" s="2"/>
      <c r="D753" t="s">
        <v>120</v>
      </c>
      <c r="E753" s="2"/>
      <c r="F753" s="2"/>
      <c r="G753" s="2"/>
      <c r="H753" s="2"/>
      <c r="I753" s="38"/>
      <c r="J753" s="38"/>
      <c r="K753" s="38"/>
      <c r="L753" s="1"/>
      <c r="M753" s="1"/>
      <c r="N753" s="2"/>
      <c r="O753" s="1"/>
      <c r="P753" s="1"/>
    </row>
    <row r="754" spans="1:16" ht="21" customHeight="1">
      <c r="A754" s="25"/>
      <c r="B754" s="38"/>
      <c r="C754" s="27"/>
      <c r="E754" s="2"/>
      <c r="F754" s="2"/>
      <c r="G754" s="2"/>
      <c r="H754" s="2"/>
      <c r="I754" s="38"/>
      <c r="J754" s="38"/>
      <c r="K754" s="38"/>
      <c r="L754" s="1"/>
      <c r="M754" s="1"/>
      <c r="N754" s="2"/>
      <c r="O754" s="1"/>
      <c r="P754" s="1"/>
    </row>
    <row r="755" spans="1:16" ht="21" customHeight="1">
      <c r="A755" s="25"/>
      <c r="B755" s="38"/>
      <c r="C755" s="27"/>
      <c r="D755" s="106" t="s">
        <v>35</v>
      </c>
      <c r="E755" s="2"/>
      <c r="F755" s="2"/>
      <c r="G755" s="2"/>
      <c r="H755" s="2"/>
      <c r="I755" s="38"/>
      <c r="J755" s="38"/>
      <c r="K755" s="38"/>
      <c r="L755" s="1"/>
      <c r="M755" s="1"/>
      <c r="N755" s="2"/>
      <c r="O755" s="1"/>
      <c r="P755" s="1"/>
    </row>
    <row r="756" spans="1:16" ht="21" customHeight="1">
      <c r="A756" s="25"/>
      <c r="B756" s="38"/>
      <c r="C756" s="27"/>
      <c r="D756" t="s">
        <v>601</v>
      </c>
      <c r="E756" s="2"/>
      <c r="F756" s="2"/>
      <c r="G756" s="2"/>
      <c r="H756" s="2"/>
      <c r="I756" s="38"/>
      <c r="J756" s="38"/>
      <c r="K756" s="39"/>
      <c r="L756" s="1"/>
      <c r="M756" s="1"/>
      <c r="N756" s="2"/>
      <c r="O756" s="1"/>
      <c r="P756" s="1"/>
    </row>
    <row r="757" spans="1:16" ht="21" customHeight="1">
      <c r="A757" s="25"/>
      <c r="B757" s="38"/>
      <c r="C757" s="27"/>
      <c r="D757" t="s">
        <v>2043</v>
      </c>
      <c r="E757" s="2"/>
      <c r="F757" s="2"/>
      <c r="G757" s="2"/>
      <c r="H757" s="2"/>
      <c r="I757" s="38"/>
      <c r="J757" s="38"/>
      <c r="K757" s="39"/>
      <c r="L757" s="1"/>
      <c r="M757" s="1"/>
      <c r="N757" s="2"/>
      <c r="O757" s="1"/>
      <c r="P757" s="1"/>
    </row>
    <row r="758" spans="1:16" ht="21" customHeight="1">
      <c r="A758" s="25"/>
      <c r="B758" s="38"/>
      <c r="C758" s="2"/>
      <c r="D758" t="s">
        <v>2044</v>
      </c>
      <c r="E758" s="2"/>
      <c r="F758" s="1"/>
      <c r="G758" s="1"/>
      <c r="H758" s="1"/>
      <c r="I758" s="39"/>
      <c r="J758" s="39"/>
      <c r="K758" s="39"/>
      <c r="L758" s="1"/>
      <c r="M758" s="1"/>
      <c r="N758" s="2"/>
      <c r="O758" s="1"/>
      <c r="P758" s="1"/>
    </row>
    <row r="759" spans="1:16" ht="21" customHeight="1">
      <c r="A759" s="25"/>
      <c r="B759" s="38"/>
      <c r="C759" s="27"/>
      <c r="D759" t="s">
        <v>120</v>
      </c>
      <c r="E759" s="2"/>
      <c r="F759" s="1"/>
      <c r="G759" s="1"/>
      <c r="H759" s="1"/>
      <c r="I759" s="39"/>
      <c r="J759" s="39"/>
      <c r="K759" s="39"/>
      <c r="L759" s="1"/>
      <c r="M759" s="1"/>
      <c r="N759" s="2"/>
      <c r="O759" s="1"/>
      <c r="P759" s="1"/>
    </row>
    <row r="760" spans="1:16" ht="21" customHeight="1">
      <c r="A760" s="25"/>
      <c r="B760" s="38"/>
      <c r="C760" s="27"/>
      <c r="D760" s="1"/>
      <c r="E760" s="2"/>
      <c r="F760" s="1"/>
      <c r="G760" s="1"/>
      <c r="H760" s="1"/>
      <c r="I760" s="39"/>
      <c r="J760" s="39"/>
      <c r="K760" s="39"/>
      <c r="L760" s="1"/>
      <c r="M760" s="1"/>
      <c r="N760" s="2"/>
      <c r="O760" s="1"/>
      <c r="P760" s="1"/>
    </row>
    <row r="761" spans="1:16" ht="21" customHeight="1">
      <c r="A761" s="25"/>
      <c r="B761" s="38"/>
      <c r="C761" s="27"/>
      <c r="D761" s="1"/>
      <c r="E761" s="2"/>
      <c r="F761" s="1"/>
      <c r="G761" s="1"/>
      <c r="H761" s="1"/>
      <c r="I761" s="39"/>
      <c r="J761" s="39"/>
      <c r="K761" s="39"/>
      <c r="L761" s="1"/>
      <c r="M761" s="1"/>
      <c r="N761" s="2"/>
      <c r="O761" s="1"/>
      <c r="P761" s="1"/>
    </row>
    <row r="762" spans="1:16" ht="21" customHeight="1">
      <c r="A762" s="25"/>
      <c r="B762" s="38"/>
      <c r="C762" s="2"/>
      <c r="D762" s="1"/>
      <c r="E762" s="2"/>
      <c r="F762" s="1"/>
      <c r="G762" s="1"/>
      <c r="H762" s="1"/>
      <c r="I762" s="39"/>
      <c r="J762" s="39"/>
      <c r="K762" s="39"/>
      <c r="L762" s="1"/>
      <c r="M762" s="1"/>
      <c r="N762" s="2"/>
      <c r="O762" s="1"/>
      <c r="P762" s="1"/>
    </row>
    <row r="763" spans="1:16" ht="21" customHeight="1">
      <c r="A763" s="12"/>
      <c r="B763" s="38"/>
      <c r="C763" s="1"/>
      <c r="D763" s="1"/>
      <c r="E763" s="2"/>
      <c r="F763" s="1"/>
      <c r="G763" s="1"/>
      <c r="H763" s="1"/>
      <c r="I763" s="39"/>
      <c r="J763" s="39"/>
      <c r="K763" s="39"/>
      <c r="L763" s="1"/>
      <c r="M763" s="1"/>
      <c r="N763" s="2"/>
      <c r="O763" s="1"/>
      <c r="P763" s="1"/>
    </row>
    <row r="764" spans="1:16" ht="21" customHeight="1">
      <c r="A764" s="12"/>
      <c r="B764" s="38"/>
      <c r="C764" s="1"/>
      <c r="D764" s="1"/>
      <c r="E764" s="2"/>
      <c r="F764" s="1"/>
      <c r="G764" s="1"/>
      <c r="H764" s="1"/>
      <c r="I764" s="39"/>
      <c r="J764" s="39"/>
      <c r="K764" s="39"/>
      <c r="L764" s="1"/>
      <c r="M764" s="1"/>
      <c r="N764" s="2"/>
      <c r="O764" s="1"/>
      <c r="P764" s="1"/>
    </row>
    <row r="765" spans="1:16" ht="21" customHeight="1">
      <c r="A765" s="1"/>
      <c r="B765" s="38"/>
      <c r="C765" s="1"/>
      <c r="D765" s="1"/>
      <c r="E765" s="2"/>
      <c r="F765" s="1"/>
      <c r="G765" s="1"/>
      <c r="H765" s="1"/>
      <c r="I765" s="39"/>
      <c r="J765" s="39"/>
      <c r="K765" s="39"/>
      <c r="L765" s="1"/>
      <c r="M765" s="1"/>
      <c r="N765" s="2"/>
      <c r="O765" s="1"/>
      <c r="P765" s="1"/>
    </row>
    <row r="766" spans="1:16" ht="21" customHeight="1">
      <c r="A766" s="1"/>
      <c r="B766" s="39"/>
      <c r="C766" s="1"/>
      <c r="D766" s="1"/>
      <c r="E766" s="2"/>
      <c r="F766" s="1"/>
      <c r="G766" s="1"/>
      <c r="H766" s="1"/>
      <c r="I766" s="39"/>
      <c r="J766" s="39"/>
      <c r="K766" s="39"/>
      <c r="L766" s="1"/>
      <c r="M766" s="1"/>
      <c r="N766" s="2"/>
      <c r="O766" s="1"/>
      <c r="P766" s="1"/>
    </row>
    <row r="767" spans="1:16" ht="21" customHeight="1">
      <c r="A767" s="1"/>
      <c r="B767" s="39"/>
      <c r="C767" s="1"/>
      <c r="D767" s="1"/>
      <c r="E767" s="2"/>
      <c r="F767" s="1"/>
      <c r="G767" s="1"/>
      <c r="H767" s="1"/>
      <c r="I767" s="39"/>
      <c r="J767" s="39"/>
      <c r="K767" s="39"/>
      <c r="L767" s="1"/>
      <c r="M767" s="1"/>
      <c r="N767" s="2"/>
      <c r="O767" s="1"/>
      <c r="P767" s="1"/>
    </row>
    <row r="768" spans="1:16" ht="21" customHeight="1">
      <c r="A768" s="1"/>
      <c r="B768" s="39"/>
      <c r="C768" s="1"/>
      <c r="D768" s="1"/>
      <c r="E768" s="2"/>
      <c r="F768" s="1"/>
      <c r="G768" s="1"/>
      <c r="H768" s="1"/>
      <c r="I768" s="39"/>
      <c r="J768" s="39"/>
      <c r="K768" s="39"/>
      <c r="L768" s="1"/>
      <c r="M768" s="1"/>
      <c r="N768" s="2"/>
      <c r="O768" s="1"/>
      <c r="P768" s="1"/>
    </row>
    <row r="769" spans="1:16" ht="21" customHeight="1">
      <c r="A769" s="1"/>
      <c r="B769" s="39"/>
      <c r="C769" s="1"/>
      <c r="D769" s="1"/>
      <c r="E769" s="2"/>
      <c r="F769" s="1"/>
      <c r="G769" s="1"/>
      <c r="H769" s="1"/>
      <c r="I769" s="39"/>
      <c r="J769" s="39"/>
      <c r="K769" s="39"/>
      <c r="L769" s="1"/>
      <c r="M769" s="1"/>
      <c r="N769" s="2"/>
      <c r="O769" s="1"/>
      <c r="P769" s="1"/>
    </row>
    <row r="770" spans="1:16" ht="21" customHeight="1">
      <c r="A770" s="1"/>
      <c r="B770" s="39"/>
      <c r="C770" s="1"/>
      <c r="D770" s="1"/>
      <c r="E770" s="2"/>
      <c r="F770" s="1"/>
      <c r="G770" s="1"/>
      <c r="H770" s="1"/>
      <c r="I770" s="39"/>
      <c r="J770" s="39"/>
      <c r="K770" s="39"/>
      <c r="L770" s="1"/>
      <c r="M770" s="1"/>
      <c r="N770" s="2"/>
      <c r="O770" s="1"/>
      <c r="P770" s="1"/>
    </row>
    <row r="771" spans="1:16" ht="21" customHeight="1">
      <c r="A771" s="1"/>
      <c r="B771" s="39"/>
      <c r="C771" s="1"/>
      <c r="D771" s="1"/>
      <c r="E771" s="2"/>
      <c r="F771" s="1"/>
      <c r="G771" s="1"/>
      <c r="H771" s="1"/>
      <c r="I771" s="39"/>
      <c r="J771" s="39"/>
      <c r="K771" s="39"/>
      <c r="L771" s="1"/>
      <c r="M771" s="1"/>
      <c r="N771" s="2"/>
      <c r="O771" s="1"/>
      <c r="P771" s="1"/>
    </row>
    <row r="772" spans="1:16" ht="21" customHeight="1">
      <c r="A772" s="1"/>
      <c r="B772" s="39"/>
      <c r="C772" s="1"/>
      <c r="D772" s="1"/>
      <c r="E772" s="2"/>
      <c r="F772" s="1"/>
      <c r="G772" s="1"/>
      <c r="H772" s="1"/>
      <c r="I772" s="39"/>
      <c r="J772" s="39"/>
      <c r="K772" s="39"/>
      <c r="L772" s="1"/>
      <c r="M772" s="1"/>
      <c r="N772" s="2"/>
      <c r="O772" s="1"/>
      <c r="P772" s="1"/>
    </row>
    <row r="773" spans="1:16" ht="21" customHeight="1">
      <c r="A773" s="1"/>
      <c r="B773" s="39"/>
      <c r="C773" s="1"/>
      <c r="D773" s="1"/>
      <c r="E773" s="2"/>
      <c r="F773" s="1"/>
      <c r="G773" s="1"/>
      <c r="H773" s="1"/>
      <c r="I773" s="39"/>
      <c r="J773" s="39"/>
      <c r="K773" s="39"/>
      <c r="L773" s="1"/>
      <c r="M773" s="1"/>
      <c r="N773" s="2"/>
      <c r="O773" s="1"/>
      <c r="P773" s="1"/>
    </row>
    <row r="774" spans="1:16" ht="21" customHeight="1">
      <c r="A774" s="1"/>
      <c r="B774" s="39"/>
      <c r="C774" s="1"/>
      <c r="D774" s="1"/>
      <c r="E774" s="2"/>
      <c r="F774" s="1"/>
      <c r="G774" s="1"/>
      <c r="H774" s="1"/>
      <c r="I774" s="39"/>
      <c r="J774" s="39"/>
      <c r="K774" s="39"/>
      <c r="L774" s="1"/>
      <c r="M774" s="1"/>
      <c r="N774" s="2"/>
      <c r="O774" s="1"/>
      <c r="P774" s="1"/>
    </row>
    <row r="775" spans="1:16" ht="21" customHeight="1">
      <c r="A775" s="1"/>
      <c r="B775" s="39"/>
      <c r="C775" s="1"/>
      <c r="D775" s="1"/>
      <c r="E775" s="2"/>
      <c r="F775" s="1"/>
      <c r="G775" s="1"/>
      <c r="H775" s="1"/>
      <c r="I775" s="39"/>
      <c r="J775" s="39"/>
      <c r="K775" s="39"/>
      <c r="L775" s="1"/>
      <c r="M775" s="1"/>
      <c r="N775" s="2"/>
      <c r="O775" s="1"/>
      <c r="P775" s="1"/>
    </row>
    <row r="776" spans="1:16" ht="21" customHeight="1">
      <c r="A776" s="1"/>
      <c r="B776" s="39"/>
      <c r="C776" s="1"/>
      <c r="D776" s="1"/>
      <c r="E776" s="2"/>
      <c r="F776" s="1"/>
      <c r="G776" s="1"/>
      <c r="H776" s="1"/>
      <c r="I776" s="39"/>
      <c r="J776" s="39"/>
      <c r="K776" s="39"/>
      <c r="L776" s="1"/>
      <c r="M776" s="1"/>
      <c r="N776" s="2"/>
      <c r="O776" s="1"/>
      <c r="P776" s="1"/>
    </row>
    <row r="777" spans="1:16" ht="21" customHeight="1">
      <c r="A777" s="1"/>
      <c r="B777" s="39"/>
      <c r="C777" s="1"/>
      <c r="D777" s="1"/>
      <c r="E777" s="2"/>
      <c r="F777" s="1"/>
      <c r="G777" s="1"/>
      <c r="H777" s="1"/>
      <c r="I777" s="39"/>
      <c r="J777" s="39"/>
      <c r="K777" s="39"/>
      <c r="L777" s="1"/>
      <c r="M777" s="1"/>
      <c r="N777" s="2"/>
      <c r="O777" s="1"/>
      <c r="P777" s="1"/>
    </row>
    <row r="778" spans="1:16" ht="21" customHeight="1">
      <c r="A778" s="1"/>
      <c r="B778" s="39"/>
      <c r="C778" s="1"/>
      <c r="D778" s="1"/>
      <c r="E778" s="2"/>
      <c r="F778" s="1"/>
      <c r="G778" s="1"/>
      <c r="H778" s="1"/>
      <c r="I778" s="39"/>
      <c r="J778" s="39"/>
      <c r="K778" s="39"/>
      <c r="L778" s="1"/>
      <c r="M778" s="1"/>
      <c r="N778" s="2"/>
      <c r="O778" s="1"/>
      <c r="P778" s="1"/>
    </row>
    <row r="779" spans="1:16" ht="21" customHeight="1">
      <c r="A779" s="1"/>
      <c r="B779" s="39"/>
      <c r="C779" s="1"/>
      <c r="D779" s="1"/>
      <c r="E779" s="2"/>
      <c r="F779" s="1"/>
      <c r="G779" s="1"/>
      <c r="H779" s="1"/>
      <c r="I779" s="39"/>
      <c r="J779" s="39"/>
      <c r="K779" s="39"/>
      <c r="L779" s="1"/>
      <c r="M779" s="1"/>
      <c r="N779" s="2"/>
      <c r="O779" s="1"/>
      <c r="P779" s="1"/>
    </row>
    <row r="780" spans="1:16" ht="21" customHeight="1">
      <c r="A780" s="1"/>
      <c r="B780" s="39"/>
      <c r="C780" s="1"/>
      <c r="D780" s="1"/>
      <c r="E780" s="2"/>
      <c r="F780" s="1"/>
      <c r="G780" s="1"/>
      <c r="H780" s="1"/>
      <c r="I780" s="39"/>
      <c r="J780" s="39"/>
      <c r="K780" s="39"/>
      <c r="L780" s="1"/>
      <c r="M780" s="1"/>
      <c r="N780" s="2"/>
      <c r="O780" s="1"/>
      <c r="P780" s="1"/>
    </row>
    <row r="781" spans="1:16" ht="21" customHeight="1">
      <c r="A781" s="1"/>
      <c r="B781" s="39"/>
      <c r="C781" s="1"/>
      <c r="D781" s="1"/>
      <c r="E781" s="2"/>
      <c r="F781" s="1"/>
      <c r="G781" s="1"/>
      <c r="H781" s="1"/>
      <c r="I781" s="39"/>
      <c r="J781" s="39"/>
      <c r="K781" s="39"/>
      <c r="L781" s="1"/>
      <c r="M781" s="1"/>
      <c r="N781" s="2"/>
      <c r="O781" s="1"/>
      <c r="P781" s="1"/>
    </row>
    <row r="782" spans="1:16" ht="21" customHeight="1">
      <c r="A782" s="1"/>
      <c r="B782" s="39"/>
      <c r="C782" s="1"/>
      <c r="D782" s="1"/>
      <c r="E782" s="2"/>
      <c r="F782" s="1"/>
      <c r="G782" s="1"/>
      <c r="H782" s="1"/>
      <c r="I782" s="39"/>
      <c r="J782" s="39"/>
      <c r="K782" s="39"/>
      <c r="L782" s="1"/>
      <c r="M782" s="1"/>
      <c r="N782" s="2"/>
      <c r="O782" s="1"/>
      <c r="P782" s="1"/>
    </row>
    <row r="783" spans="1:16" ht="21" customHeight="1">
      <c r="A783" s="1"/>
      <c r="B783" s="39"/>
      <c r="C783" s="1"/>
      <c r="D783" s="1"/>
      <c r="E783" s="2"/>
      <c r="F783" s="1"/>
      <c r="G783" s="1"/>
      <c r="H783" s="1"/>
      <c r="I783" s="39"/>
      <c r="J783" s="39"/>
      <c r="K783" s="39"/>
      <c r="L783" s="1"/>
      <c r="M783" s="1"/>
      <c r="N783" s="2"/>
      <c r="O783" s="1"/>
      <c r="P783" s="1"/>
    </row>
    <row r="784" spans="1:16" ht="21" customHeight="1">
      <c r="A784" s="1"/>
      <c r="B784" s="39"/>
      <c r="C784" s="1"/>
      <c r="D784" s="1"/>
      <c r="E784" s="2"/>
      <c r="F784" s="1"/>
      <c r="G784" s="1"/>
      <c r="H784" s="1"/>
      <c r="I784" s="39"/>
      <c r="J784" s="39"/>
      <c r="K784" s="39"/>
      <c r="L784" s="1"/>
      <c r="M784" s="1"/>
      <c r="N784" s="2"/>
      <c r="O784" s="1"/>
      <c r="P784" s="1"/>
    </row>
    <row r="785" spans="1:16" ht="21" customHeight="1">
      <c r="A785" s="1"/>
      <c r="B785" s="39"/>
      <c r="C785" s="1"/>
      <c r="D785" s="1"/>
      <c r="E785" s="2"/>
      <c r="F785" s="1"/>
      <c r="G785" s="1"/>
      <c r="H785" s="1"/>
      <c r="I785" s="39"/>
      <c r="J785" s="39"/>
      <c r="K785" s="39"/>
      <c r="L785" s="1"/>
      <c r="M785" s="1"/>
      <c r="N785" s="2"/>
      <c r="O785" s="1"/>
      <c r="P785" s="1"/>
    </row>
    <row r="786" spans="1:16" ht="21" customHeight="1">
      <c r="A786" s="1"/>
      <c r="B786" s="39"/>
      <c r="C786" s="1"/>
      <c r="D786" s="1"/>
      <c r="E786" s="2"/>
      <c r="F786" s="1"/>
      <c r="G786" s="1"/>
      <c r="H786" s="1"/>
      <c r="I786" s="39"/>
      <c r="J786" s="39"/>
      <c r="K786" s="39"/>
      <c r="L786" s="1"/>
      <c r="M786" s="1"/>
      <c r="N786" s="2"/>
      <c r="O786" s="1"/>
      <c r="P786" s="1"/>
    </row>
    <row r="787" spans="1:16" ht="21" customHeight="1">
      <c r="A787" s="1"/>
      <c r="B787" s="39"/>
      <c r="C787" s="1"/>
      <c r="D787" s="1"/>
      <c r="E787" s="2"/>
      <c r="F787" s="1"/>
      <c r="G787" s="1"/>
      <c r="H787" s="1"/>
      <c r="I787" s="39"/>
      <c r="J787" s="39"/>
      <c r="K787" s="39"/>
      <c r="L787" s="1"/>
      <c r="M787" s="1"/>
      <c r="N787" s="2"/>
      <c r="O787" s="1"/>
      <c r="P787" s="1"/>
    </row>
    <row r="788" spans="1:16" ht="21" customHeight="1">
      <c r="A788" s="1"/>
      <c r="B788" s="39"/>
      <c r="C788" s="1"/>
      <c r="D788" s="1"/>
      <c r="E788" s="2"/>
      <c r="F788" s="1"/>
      <c r="G788" s="1"/>
      <c r="H788" s="1"/>
      <c r="I788" s="39"/>
      <c r="J788" s="39"/>
      <c r="K788" s="39"/>
      <c r="L788" s="1"/>
      <c r="M788" s="1"/>
      <c r="N788" s="2"/>
      <c r="O788" s="1"/>
      <c r="P788" s="1"/>
    </row>
    <row r="789" spans="1:16" ht="21" customHeight="1">
      <c r="A789" s="1"/>
      <c r="B789" s="39"/>
      <c r="C789" s="1"/>
      <c r="D789" s="1"/>
      <c r="E789" s="2"/>
      <c r="F789" s="1"/>
      <c r="G789" s="1"/>
      <c r="H789" s="1"/>
      <c r="I789" s="39"/>
      <c r="J789" s="39"/>
      <c r="K789" s="39"/>
      <c r="L789" s="1"/>
      <c r="M789" s="1"/>
      <c r="N789" s="2"/>
      <c r="O789" s="1"/>
      <c r="P789" s="1"/>
    </row>
    <row r="790" spans="1:16" ht="21" customHeight="1">
      <c r="A790" s="1"/>
      <c r="B790" s="39"/>
      <c r="C790" s="1"/>
      <c r="D790" s="1"/>
      <c r="E790" s="2"/>
      <c r="F790" s="1"/>
      <c r="G790" s="1"/>
      <c r="H790" s="1"/>
      <c r="I790" s="39"/>
      <c r="J790" s="39"/>
      <c r="K790" s="39"/>
      <c r="L790" s="1"/>
      <c r="M790" s="1"/>
      <c r="N790" s="2"/>
      <c r="O790" s="1"/>
      <c r="P790" s="1"/>
    </row>
    <row r="791" spans="1:16" ht="21" customHeight="1">
      <c r="A791" s="1"/>
      <c r="B791" s="39"/>
      <c r="C791" s="1"/>
      <c r="D791" s="1"/>
      <c r="E791" s="2"/>
      <c r="F791" s="1"/>
      <c r="G791" s="1"/>
      <c r="H791" s="1"/>
      <c r="I791" s="39"/>
      <c r="J791" s="39"/>
      <c r="K791" s="39"/>
      <c r="L791" s="1"/>
      <c r="M791" s="1"/>
      <c r="N791" s="2"/>
      <c r="O791" s="1"/>
      <c r="P791" s="1"/>
    </row>
    <row r="792" spans="1:16" ht="21" customHeight="1">
      <c r="A792" s="1"/>
      <c r="B792" s="39"/>
      <c r="C792" s="1"/>
      <c r="D792" s="1"/>
      <c r="E792" s="2"/>
      <c r="F792" s="1"/>
      <c r="G792" s="1"/>
      <c r="H792" s="1"/>
      <c r="I792" s="39"/>
      <c r="J792" s="39"/>
      <c r="K792" s="39"/>
      <c r="L792" s="1"/>
      <c r="M792" s="1"/>
      <c r="N792" s="2"/>
      <c r="O792" s="1"/>
      <c r="P792" s="1"/>
    </row>
    <row r="793" spans="1:16" ht="21" customHeight="1">
      <c r="A793" s="1"/>
      <c r="B793" s="39"/>
      <c r="C793" s="1"/>
      <c r="D793" s="1"/>
      <c r="E793" s="2"/>
      <c r="F793" s="1"/>
      <c r="G793" s="1"/>
      <c r="H793" s="1"/>
      <c r="I793" s="39"/>
      <c r="J793" s="39"/>
      <c r="K793" s="39"/>
      <c r="L793" s="1"/>
      <c r="M793" s="1"/>
      <c r="N793" s="2"/>
      <c r="O793" s="1"/>
      <c r="P793" s="1"/>
    </row>
    <row r="794" spans="1:16" ht="21" customHeight="1">
      <c r="A794" s="1"/>
      <c r="B794" s="39"/>
      <c r="C794" s="1"/>
      <c r="D794" s="1"/>
      <c r="E794" s="2"/>
      <c r="F794" s="1"/>
      <c r="G794" s="1"/>
      <c r="H794" s="1"/>
      <c r="I794" s="39"/>
      <c r="J794" s="39"/>
      <c r="K794" s="39"/>
      <c r="L794" s="1"/>
      <c r="M794" s="1"/>
      <c r="N794" s="2"/>
      <c r="O794" s="1"/>
      <c r="P794" s="1"/>
    </row>
    <row r="795" spans="1:16" ht="21" customHeight="1">
      <c r="A795" s="1"/>
      <c r="B795" s="39"/>
      <c r="C795" s="1"/>
      <c r="D795" s="1"/>
      <c r="E795" s="2"/>
      <c r="F795" s="1"/>
      <c r="G795" s="1"/>
      <c r="H795" s="1"/>
      <c r="I795" s="39"/>
      <c r="J795" s="39"/>
      <c r="K795" s="39"/>
      <c r="L795" s="1"/>
      <c r="M795" s="1"/>
      <c r="N795" s="2"/>
      <c r="O795" s="1"/>
      <c r="P795" s="1"/>
    </row>
    <row r="796" spans="1:16" ht="21" customHeight="1">
      <c r="A796" s="1"/>
      <c r="B796" s="39"/>
      <c r="C796" s="1"/>
      <c r="D796" s="1"/>
      <c r="E796" s="2"/>
      <c r="F796" s="1"/>
      <c r="G796" s="1"/>
      <c r="H796" s="1"/>
      <c r="I796" s="39"/>
      <c r="J796" s="39"/>
      <c r="K796" s="39"/>
      <c r="L796" s="1"/>
      <c r="M796" s="1"/>
      <c r="N796" s="2"/>
      <c r="O796" s="1"/>
      <c r="P796" s="1"/>
    </row>
    <row r="797" spans="1:16" ht="21" customHeight="1">
      <c r="A797" s="1"/>
      <c r="B797" s="39"/>
      <c r="C797" s="1"/>
      <c r="D797" s="1"/>
      <c r="E797" s="2"/>
      <c r="F797" s="1"/>
      <c r="G797" s="1"/>
      <c r="H797" s="1"/>
      <c r="I797" s="39"/>
      <c r="J797" s="39"/>
      <c r="K797" s="39"/>
      <c r="L797" s="1"/>
      <c r="M797" s="1"/>
      <c r="N797" s="2"/>
      <c r="O797" s="1"/>
      <c r="P797" s="1"/>
    </row>
    <row r="798" spans="1:16" ht="21" customHeight="1">
      <c r="A798" s="1"/>
      <c r="B798" s="39"/>
      <c r="C798" s="1"/>
      <c r="D798" s="1"/>
      <c r="E798" s="2"/>
      <c r="F798" s="1"/>
      <c r="G798" s="1"/>
      <c r="H798" s="1"/>
      <c r="I798" s="39"/>
      <c r="J798" s="39"/>
      <c r="K798" s="39"/>
      <c r="L798" s="1"/>
      <c r="M798" s="1"/>
      <c r="N798" s="2"/>
      <c r="O798" s="1"/>
      <c r="P798" s="1"/>
    </row>
    <row r="799" spans="1:16" ht="21" customHeight="1">
      <c r="A799" s="1"/>
      <c r="B799" s="39"/>
      <c r="C799" s="1"/>
      <c r="D799" s="1"/>
      <c r="E799" s="2"/>
      <c r="F799" s="1"/>
      <c r="G799" s="1"/>
      <c r="H799" s="1"/>
      <c r="I799" s="39"/>
      <c r="J799" s="39"/>
      <c r="K799" s="39"/>
      <c r="L799" s="1"/>
      <c r="M799" s="1"/>
      <c r="N799" s="2"/>
      <c r="O799" s="1"/>
      <c r="P799" s="1"/>
    </row>
    <row r="800" spans="1:16" ht="21" customHeight="1">
      <c r="A800" s="1"/>
      <c r="B800" s="39"/>
      <c r="C800" s="1"/>
      <c r="D800" s="1"/>
      <c r="E800" s="2"/>
      <c r="F800" s="1"/>
      <c r="G800" s="1"/>
      <c r="H800" s="1"/>
      <c r="I800" s="39"/>
      <c r="J800" s="39"/>
      <c r="K800" s="39"/>
      <c r="L800" s="1"/>
      <c r="M800" s="1"/>
      <c r="N800" s="2"/>
      <c r="O800" s="1"/>
      <c r="P800" s="1"/>
    </row>
    <row r="801" spans="1:16" ht="21" customHeight="1">
      <c r="A801" s="1"/>
      <c r="B801" s="39"/>
      <c r="C801" s="1"/>
      <c r="D801" s="1"/>
      <c r="E801" s="2"/>
      <c r="F801" s="1"/>
      <c r="G801" s="1"/>
      <c r="H801" s="1"/>
      <c r="I801" s="39"/>
      <c r="J801" s="39"/>
      <c r="K801" s="39"/>
      <c r="L801" s="1"/>
      <c r="M801" s="1"/>
      <c r="N801" s="2"/>
      <c r="O801" s="1"/>
      <c r="P801" s="1"/>
    </row>
    <row r="802" spans="1:16" ht="21" customHeight="1">
      <c r="A802" s="1"/>
      <c r="B802" s="39"/>
      <c r="C802" s="1"/>
      <c r="D802" s="1"/>
      <c r="E802" s="2"/>
      <c r="F802" s="1"/>
      <c r="G802" s="1"/>
      <c r="H802" s="1"/>
      <c r="I802" s="39"/>
      <c r="J802" s="39"/>
      <c r="K802" s="39"/>
      <c r="L802" s="1"/>
      <c r="M802" s="1"/>
      <c r="N802" s="2"/>
      <c r="O802" s="1"/>
      <c r="P802" s="1"/>
    </row>
    <row r="803" spans="1:16" ht="21" customHeight="1">
      <c r="A803" s="1"/>
      <c r="B803" s="39"/>
      <c r="C803" s="1"/>
      <c r="D803" s="1"/>
      <c r="E803" s="2"/>
      <c r="F803" s="1"/>
      <c r="G803" s="1"/>
      <c r="H803" s="1"/>
      <c r="I803" s="39"/>
      <c r="J803" s="39"/>
      <c r="K803" s="39"/>
      <c r="L803" s="1"/>
      <c r="M803" s="1"/>
      <c r="N803" s="2"/>
      <c r="O803" s="1"/>
      <c r="P803" s="1"/>
    </row>
    <row r="804" spans="1:16" ht="21" customHeight="1">
      <c r="A804" s="1"/>
      <c r="B804" s="39"/>
      <c r="C804" s="1"/>
      <c r="D804" s="1"/>
      <c r="E804" s="2"/>
      <c r="F804" s="1"/>
      <c r="G804" s="1"/>
      <c r="H804" s="1"/>
      <c r="I804" s="39"/>
      <c r="J804" s="39"/>
      <c r="K804" s="39"/>
      <c r="L804" s="1"/>
      <c r="M804" s="1"/>
      <c r="N804" s="2"/>
      <c r="O804" s="1"/>
      <c r="P804" s="1"/>
    </row>
    <row r="805" spans="1:16" ht="21" customHeight="1">
      <c r="A805" s="1"/>
      <c r="B805" s="39"/>
      <c r="C805" s="1"/>
      <c r="D805" s="1"/>
      <c r="E805" s="2"/>
      <c r="F805" s="1"/>
      <c r="G805" s="1"/>
      <c r="H805" s="1"/>
      <c r="I805" s="39"/>
      <c r="J805" s="39"/>
      <c r="K805" s="39"/>
      <c r="L805" s="1"/>
      <c r="M805" s="1"/>
      <c r="N805" s="2"/>
      <c r="O805" s="1"/>
      <c r="P805" s="1"/>
    </row>
    <row r="806" spans="1:16" ht="21" customHeight="1">
      <c r="A806" s="1"/>
      <c r="B806" s="39"/>
      <c r="C806" s="1"/>
      <c r="D806" s="1"/>
      <c r="E806" s="2"/>
      <c r="F806" s="1"/>
      <c r="G806" s="1"/>
      <c r="H806" s="1"/>
      <c r="I806" s="39"/>
      <c r="J806" s="39"/>
      <c r="K806" s="39"/>
      <c r="L806" s="1"/>
      <c r="M806" s="1"/>
      <c r="N806" s="2"/>
      <c r="O806" s="1"/>
      <c r="P806" s="1"/>
    </row>
    <row r="807" spans="1:16" ht="21" customHeight="1">
      <c r="A807" s="1"/>
      <c r="B807" s="39"/>
      <c r="C807" s="1"/>
      <c r="D807" s="1"/>
      <c r="E807" s="2"/>
      <c r="F807" s="1"/>
      <c r="G807" s="1"/>
      <c r="H807" s="1"/>
      <c r="I807" s="39"/>
      <c r="J807" s="39"/>
      <c r="K807" s="39"/>
      <c r="L807" s="1"/>
      <c r="M807" s="1"/>
      <c r="N807" s="2"/>
      <c r="O807" s="1"/>
      <c r="P807" s="1"/>
    </row>
  </sheetData>
  <autoFilter ref="A4:T712" xr:uid="{CE4FA333-120C-4FA3-8A62-F5E6C46F609C}">
    <filterColumn colId="2">
      <filters>
        <filter val="CANCELADO"/>
        <filter val="INADIMPLENCIA"/>
      </filters>
    </filterColumn>
  </autoFilter>
  <mergeCells count="4">
    <mergeCell ref="A1:B1"/>
    <mergeCell ref="A2:B2"/>
    <mergeCell ref="A3:N3"/>
    <mergeCell ref="A720:B721"/>
  </mergeCells>
  <dataValidations count="5">
    <dataValidation type="list" allowBlank="1" showInputMessage="1" showErrorMessage="1" sqref="N122 N455 M5:M717" xr:uid="{DA0C35BD-ECD6-47C0-810C-F93F22AEB333}">
      <formula1>"INSATISFAÇÃO C/ ATD, INSATISFAÇÃO C/ SERVIÇO, MUDANÇA DE ENDEREÇO, MOTIVOS PESSOAIS, TROCA DE PROVEDOR, PROBLEMAS FINANC, OUTROS"</formula1>
    </dataValidation>
    <dataValidation type="list" allowBlank="1" showInputMessage="1" showErrorMessage="1" sqref="L5:L114 L718" xr:uid="{E60F3EDB-6108-4556-AD64-E84456DFD32B}">
      <formula1>"JOSE, ANDERSON, DOUGLAS, GABRIELA, WILLIAN P, ANDRESSA, JESSICA, ANDERSON$D$67"</formula1>
    </dataValidation>
    <dataValidation type="list" allowBlank="1" showInputMessage="1" showErrorMessage="1" sqref="O5:O66 O128:O726" xr:uid="{4C17F074-51EE-4A19-A1C7-9A2AAC7C4B83}">
      <formula1>"SIM, NÃO"</formula1>
    </dataValidation>
    <dataValidation type="list" allowBlank="1" showInputMessage="1" showErrorMessage="1" sqref="D316 C5:C717" xr:uid="{C9104FC2-D922-41E9-845F-A2BECB9FB98A}">
      <formula1>"CANCELADO, RETIDO, INADIMPLENCIA"</formula1>
    </dataValidation>
    <dataValidation type="list" allowBlank="1" showInputMessage="1" showErrorMessage="1" sqref="L115:L590 L707:L717" xr:uid="{B1F666BC-050A-49B5-BB94-D1998413742F}">
      <formula1>"JOSE, DOUGLAS, LUCAS, ANDERSON, GABRIELA, ANDERSON, JESSICA, MARCELO, OUTRO"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1" tint="0.499984740745262"/>
  </sheetPr>
  <dimension ref="A1:S822"/>
  <sheetViews>
    <sheetView workbookViewId="0">
      <pane ySplit="4" topLeftCell="C86" activePane="bottomLeft" state="frozen"/>
      <selection pane="bottomLeft" activeCell="G6" sqref="G6:G727"/>
    </sheetView>
  </sheetViews>
  <sheetFormatPr defaultRowHeight="36.6" customHeight="1"/>
  <cols>
    <col min="1" max="1" width="25.7109375" customWidth="1"/>
    <col min="2" max="2" width="23.42578125" style="40" customWidth="1"/>
    <col min="3" max="3" width="37.28515625" style="51" customWidth="1"/>
    <col min="4" max="4" width="43.7109375" bestFit="1" customWidth="1"/>
    <col min="5" max="5" width="25.7109375" style="56" customWidth="1"/>
    <col min="6" max="6" width="26" customWidth="1"/>
    <col min="7" max="7" width="25.85546875" customWidth="1"/>
    <col min="8" max="8" width="21.140625" customWidth="1"/>
    <col min="9" max="9" width="27.42578125" style="40" customWidth="1"/>
    <col min="10" max="10" width="24.85546875" style="40" customWidth="1"/>
    <col min="11" max="11" width="25.7109375" customWidth="1"/>
    <col min="12" max="12" width="30" customWidth="1"/>
    <col min="13" max="13" width="153" customWidth="1"/>
    <col min="14" max="14" width="28" customWidth="1"/>
  </cols>
  <sheetData>
    <row r="1" spans="1:15" ht="76.5" customHeight="1">
      <c r="A1" s="125" t="s">
        <v>0</v>
      </c>
      <c r="B1" s="125"/>
      <c r="C1" s="77" t="s">
        <v>1</v>
      </c>
      <c r="D1" s="124" t="s">
        <v>2</v>
      </c>
      <c r="E1" s="124" t="s">
        <v>3</v>
      </c>
      <c r="F1" s="124" t="s">
        <v>4</v>
      </c>
      <c r="G1" s="124" t="s">
        <v>5</v>
      </c>
      <c r="H1" s="124" t="s">
        <v>6</v>
      </c>
      <c r="I1" s="69" t="s">
        <v>7</v>
      </c>
      <c r="J1" s="77" t="s">
        <v>8</v>
      </c>
      <c r="K1" s="77" t="s">
        <v>9</v>
      </c>
      <c r="L1" s="86" t="s">
        <v>10</v>
      </c>
      <c r="M1" s="2"/>
      <c r="N1" s="1"/>
      <c r="O1" s="1"/>
    </row>
    <row r="2" spans="1:15" ht="36.6" customHeight="1">
      <c r="A2" s="126">
        <v>220</v>
      </c>
      <c r="B2" s="126"/>
      <c r="C2" s="53">
        <f>COUNTIF(C5:C733,"cancelado")</f>
        <v>275</v>
      </c>
      <c r="D2" s="43">
        <f>A2-C2</f>
        <v>-55</v>
      </c>
      <c r="E2" s="3">
        <v>24</v>
      </c>
      <c r="F2" s="3">
        <v>24</v>
      </c>
      <c r="G2" s="4">
        <f>E2-F2</f>
        <v>0</v>
      </c>
      <c r="H2" s="43">
        <f>A2/E2</f>
        <v>9.1666666666666661</v>
      </c>
      <c r="I2" s="43" t="e">
        <f>D2/G2</f>
        <v>#DIV/0!</v>
      </c>
      <c r="J2" s="78">
        <f>COUNTIF(C5:C733,"inadimplencia")</f>
        <v>246</v>
      </c>
      <c r="K2" s="79">
        <f>C2+J2</f>
        <v>521</v>
      </c>
      <c r="L2" s="87">
        <f>K2/19554</f>
        <v>2.6644164876751558E-2</v>
      </c>
      <c r="M2" s="5"/>
      <c r="N2" s="1"/>
      <c r="O2" s="1"/>
    </row>
    <row r="3" spans="1:15" ht="36.6" customHeight="1">
      <c r="A3" s="127" t="s">
        <v>3820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"/>
      <c r="O3" s="1"/>
    </row>
    <row r="4" spans="1:15" ht="36.6" customHeight="1">
      <c r="A4" s="6" t="s">
        <v>12</v>
      </c>
      <c r="B4" s="32" t="s">
        <v>13</v>
      </c>
      <c r="C4" s="49" t="s">
        <v>14</v>
      </c>
      <c r="D4" s="7" t="s">
        <v>15</v>
      </c>
      <c r="E4" s="7" t="s">
        <v>16</v>
      </c>
      <c r="F4" s="7" t="s">
        <v>17</v>
      </c>
      <c r="G4" s="7" t="s">
        <v>18</v>
      </c>
      <c r="H4" s="7" t="s">
        <v>19</v>
      </c>
      <c r="I4" s="32" t="s">
        <v>20</v>
      </c>
      <c r="J4" s="32" t="s">
        <v>21</v>
      </c>
      <c r="K4" s="7" t="s">
        <v>23</v>
      </c>
      <c r="L4" s="7" t="s">
        <v>24</v>
      </c>
      <c r="M4" s="6" t="s">
        <v>25</v>
      </c>
      <c r="N4" s="6" t="s">
        <v>26</v>
      </c>
      <c r="O4" s="1"/>
    </row>
    <row r="5" spans="1:15" ht="36.6" customHeight="1">
      <c r="A5" s="8">
        <v>1</v>
      </c>
      <c r="B5" s="33" t="s">
        <v>3821</v>
      </c>
      <c r="C5" s="41" t="s">
        <v>28</v>
      </c>
      <c r="D5" s="41" t="s">
        <v>3822</v>
      </c>
      <c r="E5" s="67" t="s">
        <v>237</v>
      </c>
      <c r="F5" s="41" t="s">
        <v>3823</v>
      </c>
      <c r="G5" s="41" t="s">
        <v>3824</v>
      </c>
      <c r="H5" s="41" t="s">
        <v>1479</v>
      </c>
      <c r="I5" s="33" t="s">
        <v>3825</v>
      </c>
      <c r="J5" s="33"/>
      <c r="K5" s="41" t="s">
        <v>55</v>
      </c>
      <c r="L5" s="41" t="s">
        <v>128</v>
      </c>
      <c r="M5" s="9" t="s">
        <v>3826</v>
      </c>
      <c r="N5" s="8"/>
      <c r="O5" s="1"/>
    </row>
    <row r="6" spans="1:15" ht="36.6" customHeight="1">
      <c r="A6" s="8">
        <v>1</v>
      </c>
      <c r="B6" s="33" t="s">
        <v>3821</v>
      </c>
      <c r="C6" s="41" t="s">
        <v>28</v>
      </c>
      <c r="D6" s="41" t="s">
        <v>3827</v>
      </c>
      <c r="E6" s="41" t="s">
        <v>2742</v>
      </c>
      <c r="F6" s="41" t="s">
        <v>3828</v>
      </c>
      <c r="G6" s="41" t="s">
        <v>73</v>
      </c>
      <c r="H6" s="41" t="s">
        <v>33</v>
      </c>
      <c r="I6" s="33" t="s">
        <v>3829</v>
      </c>
      <c r="J6" s="33"/>
      <c r="K6" s="41" t="s">
        <v>769</v>
      </c>
      <c r="L6" s="41" t="s">
        <v>111</v>
      </c>
      <c r="M6" s="9" t="s">
        <v>3830</v>
      </c>
      <c r="N6" s="8"/>
      <c r="O6" s="1"/>
    </row>
    <row r="7" spans="1:15" ht="36.6" customHeight="1">
      <c r="A7" s="8">
        <v>1</v>
      </c>
      <c r="B7" s="33" t="s">
        <v>3821</v>
      </c>
      <c r="C7" s="41" t="s">
        <v>28</v>
      </c>
      <c r="D7" s="41" t="s">
        <v>3831</v>
      </c>
      <c r="E7" s="41" t="s">
        <v>39</v>
      </c>
      <c r="F7" s="41" t="s">
        <v>3832</v>
      </c>
      <c r="G7" s="41" t="s">
        <v>41</v>
      </c>
      <c r="H7" s="41" t="s">
        <v>33</v>
      </c>
      <c r="I7" s="33" t="s">
        <v>54</v>
      </c>
      <c r="J7" s="33"/>
      <c r="K7" s="41" t="s">
        <v>55</v>
      </c>
      <c r="L7" s="41" t="s">
        <v>128</v>
      </c>
      <c r="M7" s="68" t="s">
        <v>3833</v>
      </c>
      <c r="N7" s="8"/>
      <c r="O7" s="1"/>
    </row>
    <row r="8" spans="1:15" ht="36.6" customHeight="1">
      <c r="A8" s="8">
        <v>1</v>
      </c>
      <c r="B8" s="33" t="s">
        <v>3821</v>
      </c>
      <c r="C8" s="41" t="s">
        <v>28</v>
      </c>
      <c r="D8" s="41" t="s">
        <v>3834</v>
      </c>
      <c r="E8" s="41" t="s">
        <v>39</v>
      </c>
      <c r="F8" s="41" t="s">
        <v>3835</v>
      </c>
      <c r="G8" s="41" t="s">
        <v>41</v>
      </c>
      <c r="H8" s="41" t="s">
        <v>33</v>
      </c>
      <c r="I8" s="33" t="s">
        <v>3836</v>
      </c>
      <c r="J8" s="33"/>
      <c r="K8" s="41" t="s">
        <v>769</v>
      </c>
      <c r="L8" s="41" t="s">
        <v>61</v>
      </c>
      <c r="M8" s="9" t="s">
        <v>3837</v>
      </c>
      <c r="N8" s="8"/>
      <c r="O8" s="1"/>
    </row>
    <row r="9" spans="1:15" ht="36.6" customHeight="1">
      <c r="A9" s="8">
        <v>1</v>
      </c>
      <c r="B9" s="33" t="s">
        <v>3821</v>
      </c>
      <c r="C9" s="41" t="s">
        <v>28</v>
      </c>
      <c r="D9" s="41" t="s">
        <v>3838</v>
      </c>
      <c r="E9" s="41" t="s">
        <v>3839</v>
      </c>
      <c r="F9" s="41" t="s">
        <v>3840</v>
      </c>
      <c r="G9" s="41" t="s">
        <v>1810</v>
      </c>
      <c r="H9" s="41" t="s">
        <v>33</v>
      </c>
      <c r="I9" s="33" t="s">
        <v>3841</v>
      </c>
      <c r="J9" s="33"/>
      <c r="K9" s="41" t="s">
        <v>55</v>
      </c>
      <c r="L9" s="41" t="s">
        <v>56</v>
      </c>
      <c r="M9" s="9" t="s">
        <v>3842</v>
      </c>
      <c r="N9" s="8"/>
      <c r="O9" s="1"/>
    </row>
    <row r="10" spans="1:15" ht="36.6" customHeight="1">
      <c r="A10" s="8">
        <v>1</v>
      </c>
      <c r="B10" s="33" t="s">
        <v>3821</v>
      </c>
      <c r="C10" s="41" t="s">
        <v>28</v>
      </c>
      <c r="D10" s="41" t="s">
        <v>3843</v>
      </c>
      <c r="E10" s="41" t="s">
        <v>237</v>
      </c>
      <c r="F10" s="41" t="s">
        <v>3844</v>
      </c>
      <c r="G10" s="41" t="s">
        <v>3824</v>
      </c>
      <c r="H10" s="41" t="s">
        <v>1479</v>
      </c>
      <c r="I10" s="33" t="s">
        <v>3845</v>
      </c>
      <c r="J10" s="33"/>
      <c r="K10" s="41" t="s">
        <v>55</v>
      </c>
      <c r="L10" s="41" t="s">
        <v>56</v>
      </c>
      <c r="M10" s="9" t="s">
        <v>3846</v>
      </c>
      <c r="N10" s="8"/>
      <c r="O10" s="1"/>
    </row>
    <row r="11" spans="1:15" ht="36.6" customHeight="1">
      <c r="A11" s="8">
        <v>1</v>
      </c>
      <c r="B11" s="33" t="s">
        <v>3821</v>
      </c>
      <c r="C11" s="41" t="s">
        <v>28</v>
      </c>
      <c r="D11" s="41" t="s">
        <v>3847</v>
      </c>
      <c r="E11" s="41" t="s">
        <v>237</v>
      </c>
      <c r="F11" s="41" t="s">
        <v>3848</v>
      </c>
      <c r="G11" s="41" t="s">
        <v>420</v>
      </c>
      <c r="H11" s="41" t="s">
        <v>67</v>
      </c>
      <c r="I11" s="33" t="s">
        <v>3849</v>
      </c>
      <c r="J11" s="33"/>
      <c r="K11" s="41" t="s">
        <v>55</v>
      </c>
      <c r="L11" s="41" t="s">
        <v>128</v>
      </c>
      <c r="M11" s="9" t="s">
        <v>3850</v>
      </c>
      <c r="N11" s="8"/>
      <c r="O11" s="1"/>
    </row>
    <row r="12" spans="1:15" ht="36.6" customHeight="1">
      <c r="A12" s="8">
        <v>1</v>
      </c>
      <c r="B12" s="33" t="s">
        <v>3821</v>
      </c>
      <c r="C12" s="41" t="s">
        <v>28</v>
      </c>
      <c r="D12" s="41" t="s">
        <v>3851</v>
      </c>
      <c r="E12" s="41" t="s">
        <v>389</v>
      </c>
      <c r="F12" s="41" t="s">
        <v>3852</v>
      </c>
      <c r="G12" s="41" t="s">
        <v>85</v>
      </c>
      <c r="H12" s="41" t="s">
        <v>33</v>
      </c>
      <c r="I12" s="33" t="s">
        <v>54</v>
      </c>
      <c r="J12" s="33"/>
      <c r="K12" s="41" t="s">
        <v>55</v>
      </c>
      <c r="L12" s="41" t="s">
        <v>61</v>
      </c>
      <c r="M12" s="9" t="s">
        <v>3853</v>
      </c>
      <c r="N12" s="8"/>
      <c r="O12" s="1"/>
    </row>
    <row r="13" spans="1:15" ht="36.6" customHeight="1">
      <c r="A13" s="8">
        <v>1</v>
      </c>
      <c r="B13" s="33" t="s">
        <v>3821</v>
      </c>
      <c r="C13" s="41" t="s">
        <v>28</v>
      </c>
      <c r="D13" s="41" t="s">
        <v>3854</v>
      </c>
      <c r="E13" s="41" t="s">
        <v>446</v>
      </c>
      <c r="F13" s="41" t="s">
        <v>3855</v>
      </c>
      <c r="G13" s="41" t="s">
        <v>420</v>
      </c>
      <c r="H13" s="41" t="s">
        <v>67</v>
      </c>
      <c r="I13" s="33" t="s">
        <v>3849</v>
      </c>
      <c r="J13" s="33"/>
      <c r="K13" s="41" t="s">
        <v>769</v>
      </c>
      <c r="L13" s="41" t="s">
        <v>56</v>
      </c>
      <c r="M13" s="9"/>
      <c r="N13" s="8"/>
      <c r="O13" s="1"/>
    </row>
    <row r="14" spans="1:15" ht="36.6" customHeight="1">
      <c r="A14" s="8">
        <v>1</v>
      </c>
      <c r="B14" s="33" t="s">
        <v>3821</v>
      </c>
      <c r="C14" s="41" t="s">
        <v>28</v>
      </c>
      <c r="D14" s="41" t="s">
        <v>3856</v>
      </c>
      <c r="E14" s="41" t="s">
        <v>512</v>
      </c>
      <c r="F14" s="41" t="s">
        <v>3857</v>
      </c>
      <c r="G14" s="41" t="s">
        <v>91</v>
      </c>
      <c r="H14" s="41" t="s">
        <v>67</v>
      </c>
      <c r="I14" s="33" t="s">
        <v>3849</v>
      </c>
      <c r="J14" s="33" t="s">
        <v>3858</v>
      </c>
      <c r="K14" s="41" t="s">
        <v>769</v>
      </c>
      <c r="L14" s="41" t="s">
        <v>56</v>
      </c>
      <c r="M14" s="9"/>
      <c r="N14" s="8"/>
      <c r="O14" s="1"/>
    </row>
    <row r="15" spans="1:15" ht="36.6" customHeight="1">
      <c r="A15" s="8">
        <v>1</v>
      </c>
      <c r="B15" s="33" t="s">
        <v>3821</v>
      </c>
      <c r="C15" s="41" t="s">
        <v>28</v>
      </c>
      <c r="D15" s="41" t="s">
        <v>3859</v>
      </c>
      <c r="E15" s="41" t="s">
        <v>446</v>
      </c>
      <c r="F15" s="41" t="s">
        <v>3860</v>
      </c>
      <c r="G15" s="41" t="s">
        <v>420</v>
      </c>
      <c r="H15" s="41" t="s">
        <v>67</v>
      </c>
      <c r="I15" s="33" t="s">
        <v>3849</v>
      </c>
      <c r="J15" s="33"/>
      <c r="K15" s="41" t="s">
        <v>55</v>
      </c>
      <c r="L15" s="41" t="s">
        <v>35</v>
      </c>
      <c r="M15" s="9" t="s">
        <v>3861</v>
      </c>
      <c r="N15" s="8"/>
      <c r="O15" s="1"/>
    </row>
    <row r="16" spans="1:15" ht="36.6" customHeight="1">
      <c r="A16" s="8">
        <v>1</v>
      </c>
      <c r="B16" s="33" t="s">
        <v>3821</v>
      </c>
      <c r="C16" s="41" t="s">
        <v>28</v>
      </c>
      <c r="D16" s="41" t="s">
        <v>3856</v>
      </c>
      <c r="E16" s="41" t="s">
        <v>512</v>
      </c>
      <c r="F16" s="41" t="s">
        <v>3857</v>
      </c>
      <c r="G16" s="41" t="s">
        <v>91</v>
      </c>
      <c r="H16" s="41" t="s">
        <v>67</v>
      </c>
      <c r="I16" s="33" t="s">
        <v>3849</v>
      </c>
      <c r="J16" s="33"/>
      <c r="K16" s="41" t="s">
        <v>769</v>
      </c>
      <c r="L16" s="41" t="s">
        <v>128</v>
      </c>
      <c r="M16" s="9" t="s">
        <v>3862</v>
      </c>
      <c r="N16" s="8"/>
      <c r="O16" s="1"/>
    </row>
    <row r="17" spans="1:15" ht="36.6" customHeight="1">
      <c r="A17" s="8">
        <v>1</v>
      </c>
      <c r="B17" s="33" t="s">
        <v>3821</v>
      </c>
      <c r="C17" s="41" t="s">
        <v>28</v>
      </c>
      <c r="D17" s="41" t="s">
        <v>3863</v>
      </c>
      <c r="E17" s="41" t="s">
        <v>122</v>
      </c>
      <c r="F17" s="41" t="s">
        <v>3864</v>
      </c>
      <c r="G17" s="41" t="s">
        <v>73</v>
      </c>
      <c r="H17" s="41" t="s">
        <v>33</v>
      </c>
      <c r="I17" s="33" t="s">
        <v>54</v>
      </c>
      <c r="J17" s="33"/>
      <c r="K17" s="41" t="s">
        <v>769</v>
      </c>
      <c r="L17" s="41" t="s">
        <v>80</v>
      </c>
      <c r="M17" s="9" t="s">
        <v>3865</v>
      </c>
      <c r="N17" s="8"/>
      <c r="O17" s="1"/>
    </row>
    <row r="18" spans="1:15" ht="36.6" customHeight="1">
      <c r="A18" s="8">
        <v>1</v>
      </c>
      <c r="B18" s="33" t="s">
        <v>3821</v>
      </c>
      <c r="C18" s="41" t="s">
        <v>28</v>
      </c>
      <c r="D18" s="41" t="s">
        <v>3866</v>
      </c>
      <c r="E18" s="41" t="s">
        <v>108</v>
      </c>
      <c r="F18" s="41" t="s">
        <v>3867</v>
      </c>
      <c r="G18" s="41" t="s">
        <v>420</v>
      </c>
      <c r="H18" s="41" t="s">
        <v>67</v>
      </c>
      <c r="I18" s="33" t="s">
        <v>3868</v>
      </c>
      <c r="J18" s="33"/>
      <c r="K18" s="41" t="s">
        <v>769</v>
      </c>
      <c r="L18" s="41" t="s">
        <v>128</v>
      </c>
      <c r="M18" s="9" t="s">
        <v>3869</v>
      </c>
      <c r="N18" s="8"/>
      <c r="O18" s="1"/>
    </row>
    <row r="19" spans="1:15" ht="36.6" customHeight="1">
      <c r="A19" s="8">
        <v>1</v>
      </c>
      <c r="B19" s="33" t="s">
        <v>3821</v>
      </c>
      <c r="C19" s="41" t="s">
        <v>28</v>
      </c>
      <c r="D19" s="41" t="s">
        <v>3870</v>
      </c>
      <c r="E19" s="41" t="s">
        <v>1213</v>
      </c>
      <c r="F19" s="41">
        <v>51999232060</v>
      </c>
      <c r="G19" s="41" t="s">
        <v>420</v>
      </c>
      <c r="H19" s="41" t="s">
        <v>67</v>
      </c>
      <c r="I19" s="33" t="s">
        <v>3849</v>
      </c>
      <c r="J19" s="33" t="s">
        <v>3858</v>
      </c>
      <c r="K19" s="41" t="s">
        <v>55</v>
      </c>
      <c r="L19" s="41" t="s">
        <v>128</v>
      </c>
      <c r="M19" s="9" t="s">
        <v>3871</v>
      </c>
      <c r="N19" s="8"/>
      <c r="O19" s="1"/>
    </row>
    <row r="20" spans="1:15" ht="36.6" hidden="1" customHeight="1">
      <c r="A20" s="8">
        <v>1</v>
      </c>
      <c r="B20" s="33" t="s">
        <v>3821</v>
      </c>
      <c r="C20" s="41" t="s">
        <v>93</v>
      </c>
      <c r="D20" s="41" t="s">
        <v>3872</v>
      </c>
      <c r="E20" s="41" t="s">
        <v>978</v>
      </c>
      <c r="F20" s="41" t="s">
        <v>3873</v>
      </c>
      <c r="G20" s="41" t="s">
        <v>91</v>
      </c>
      <c r="H20" s="41" t="s">
        <v>67</v>
      </c>
      <c r="I20" s="33"/>
      <c r="J20" s="33"/>
      <c r="K20" s="41" t="s">
        <v>55</v>
      </c>
      <c r="L20" s="41"/>
      <c r="M20" s="9" t="s">
        <v>3874</v>
      </c>
      <c r="N20" s="8"/>
      <c r="O20" s="1"/>
    </row>
    <row r="21" spans="1:15" ht="36.6" hidden="1" customHeight="1">
      <c r="A21" s="8">
        <v>1</v>
      </c>
      <c r="B21" s="33" t="s">
        <v>3821</v>
      </c>
      <c r="C21" s="41" t="s">
        <v>93</v>
      </c>
      <c r="D21" s="41" t="s">
        <v>3875</v>
      </c>
      <c r="E21" s="41" t="s">
        <v>1744</v>
      </c>
      <c r="F21" s="41" t="s">
        <v>3876</v>
      </c>
      <c r="G21" s="41" t="s">
        <v>73</v>
      </c>
      <c r="H21" s="41" t="s">
        <v>33</v>
      </c>
      <c r="I21" s="33"/>
      <c r="J21" s="33"/>
      <c r="K21" s="41" t="s">
        <v>55</v>
      </c>
      <c r="L21" s="41"/>
      <c r="M21" s="68" t="s">
        <v>3877</v>
      </c>
      <c r="N21" s="8"/>
      <c r="O21" s="1"/>
    </row>
    <row r="22" spans="1:15" ht="36.6" hidden="1" customHeight="1">
      <c r="A22" s="8">
        <v>1</v>
      </c>
      <c r="B22" s="33" t="s">
        <v>3821</v>
      </c>
      <c r="C22" s="41" t="s">
        <v>93</v>
      </c>
      <c r="D22" s="41" t="s">
        <v>3322</v>
      </c>
      <c r="E22" s="41" t="s">
        <v>438</v>
      </c>
      <c r="F22" s="41" t="s">
        <v>3323</v>
      </c>
      <c r="G22" s="41" t="s">
        <v>91</v>
      </c>
      <c r="H22" s="41" t="s">
        <v>67</v>
      </c>
      <c r="I22" s="33"/>
      <c r="J22" s="33"/>
      <c r="K22" s="41" t="s">
        <v>769</v>
      </c>
      <c r="L22" s="41"/>
      <c r="M22" s="9" t="s">
        <v>3878</v>
      </c>
      <c r="N22" s="8"/>
      <c r="O22" s="1"/>
    </row>
    <row r="23" spans="1:15" ht="36.6" hidden="1" customHeight="1">
      <c r="A23" s="8">
        <v>1</v>
      </c>
      <c r="B23" s="33" t="s">
        <v>3821</v>
      </c>
      <c r="C23" s="41" t="s">
        <v>93</v>
      </c>
      <c r="D23" s="41" t="s">
        <v>3879</v>
      </c>
      <c r="E23" s="41" t="s">
        <v>209</v>
      </c>
      <c r="F23" s="41" t="s">
        <v>3880</v>
      </c>
      <c r="G23" s="41" t="s">
        <v>85</v>
      </c>
      <c r="H23" s="41" t="s">
        <v>33</v>
      </c>
      <c r="I23" s="33"/>
      <c r="J23" s="33"/>
      <c r="K23" s="41" t="s">
        <v>769</v>
      </c>
      <c r="L23" s="41"/>
      <c r="M23" s="9" t="s">
        <v>3881</v>
      </c>
      <c r="N23" s="8"/>
      <c r="O23" s="1"/>
    </row>
    <row r="24" spans="1:15" ht="36.6" customHeight="1">
      <c r="A24" s="8">
        <v>1</v>
      </c>
      <c r="B24" s="33" t="s">
        <v>3882</v>
      </c>
      <c r="C24" s="41" t="s">
        <v>28</v>
      </c>
      <c r="D24" s="41" t="s">
        <v>3883</v>
      </c>
      <c r="E24" s="41" t="s">
        <v>442</v>
      </c>
      <c r="F24" s="41">
        <v>51997491685</v>
      </c>
      <c r="G24" s="41" t="s">
        <v>53</v>
      </c>
      <c r="H24" s="41" t="s">
        <v>33</v>
      </c>
      <c r="I24" s="33" t="s">
        <v>54</v>
      </c>
      <c r="J24" s="33"/>
      <c r="K24" s="41" t="s">
        <v>55</v>
      </c>
      <c r="L24" s="41" t="s">
        <v>61</v>
      </c>
      <c r="M24" s="68" t="s">
        <v>3884</v>
      </c>
      <c r="N24" s="8"/>
      <c r="O24" s="1"/>
    </row>
    <row r="25" spans="1:15" ht="36.6" customHeight="1">
      <c r="A25" s="8">
        <v>1</v>
      </c>
      <c r="B25" s="33" t="s">
        <v>3882</v>
      </c>
      <c r="C25" s="41" t="s">
        <v>28</v>
      </c>
      <c r="D25" s="41" t="s">
        <v>3885</v>
      </c>
      <c r="E25" s="41" t="s">
        <v>776</v>
      </c>
      <c r="F25" s="41">
        <v>51995663586</v>
      </c>
      <c r="G25" s="41" t="s">
        <v>53</v>
      </c>
      <c r="H25" s="41" t="s">
        <v>33</v>
      </c>
      <c r="I25" s="33" t="s">
        <v>3886</v>
      </c>
      <c r="J25" s="33"/>
      <c r="K25" s="41" t="s">
        <v>55</v>
      </c>
      <c r="L25" s="41" t="s">
        <v>61</v>
      </c>
      <c r="M25" s="68" t="s">
        <v>3887</v>
      </c>
      <c r="N25" s="8"/>
      <c r="O25" s="1"/>
    </row>
    <row r="26" spans="1:15" ht="36.6" customHeight="1">
      <c r="A26" s="8">
        <v>1</v>
      </c>
      <c r="B26" s="33" t="s">
        <v>3882</v>
      </c>
      <c r="C26" s="41" t="s">
        <v>28</v>
      </c>
      <c r="D26" s="41" t="s">
        <v>3888</v>
      </c>
      <c r="E26" s="41" t="s">
        <v>442</v>
      </c>
      <c r="F26" s="41">
        <v>51997717142</v>
      </c>
      <c r="G26" s="41" t="s">
        <v>53</v>
      </c>
      <c r="H26" s="41" t="s">
        <v>33</v>
      </c>
      <c r="I26" s="33" t="s">
        <v>3886</v>
      </c>
      <c r="J26" s="33"/>
      <c r="K26" s="41" t="s">
        <v>55</v>
      </c>
      <c r="L26" s="41" t="s">
        <v>61</v>
      </c>
      <c r="M26" s="68" t="s">
        <v>3889</v>
      </c>
      <c r="N26" s="8"/>
      <c r="O26" s="1"/>
    </row>
    <row r="27" spans="1:15" ht="36.6" customHeight="1">
      <c r="A27" s="8">
        <v>1</v>
      </c>
      <c r="B27" s="33" t="s">
        <v>3882</v>
      </c>
      <c r="C27" s="41" t="s">
        <v>28</v>
      </c>
      <c r="D27" s="41" t="s">
        <v>3890</v>
      </c>
      <c r="E27" s="41" t="s">
        <v>280</v>
      </c>
      <c r="F27" s="41">
        <v>51998329127</v>
      </c>
      <c r="G27" s="41" t="s">
        <v>280</v>
      </c>
      <c r="H27" s="41" t="s">
        <v>33</v>
      </c>
      <c r="I27" s="33" t="s">
        <v>54</v>
      </c>
      <c r="J27" s="33"/>
      <c r="K27" s="41" t="s">
        <v>55</v>
      </c>
      <c r="L27" s="41" t="s">
        <v>128</v>
      </c>
      <c r="M27" s="68" t="s">
        <v>3891</v>
      </c>
      <c r="N27" s="8"/>
      <c r="O27" s="1"/>
    </row>
    <row r="28" spans="1:15" ht="36.6" customHeight="1">
      <c r="A28" s="8">
        <v>1</v>
      </c>
      <c r="B28" s="33" t="s">
        <v>3882</v>
      </c>
      <c r="C28" s="41" t="s">
        <v>28</v>
      </c>
      <c r="D28" s="41" t="s">
        <v>3892</v>
      </c>
      <c r="E28" s="41" t="s">
        <v>39</v>
      </c>
      <c r="F28" s="41" t="s">
        <v>3893</v>
      </c>
      <c r="G28" s="41" t="s">
        <v>41</v>
      </c>
      <c r="H28" s="41" t="s">
        <v>33</v>
      </c>
      <c r="I28" s="33" t="s">
        <v>54</v>
      </c>
      <c r="J28" s="33"/>
      <c r="K28" s="41" t="s">
        <v>55</v>
      </c>
      <c r="L28" s="41" t="s">
        <v>128</v>
      </c>
      <c r="M28" s="68" t="s">
        <v>3894</v>
      </c>
      <c r="N28" s="8"/>
      <c r="O28" s="1"/>
    </row>
    <row r="29" spans="1:15" ht="36.6" customHeight="1">
      <c r="A29" s="8">
        <v>1</v>
      </c>
      <c r="B29" s="33" t="s">
        <v>3882</v>
      </c>
      <c r="C29" s="41" t="s">
        <v>28</v>
      </c>
      <c r="D29" s="41" t="s">
        <v>3895</v>
      </c>
      <c r="E29" s="41" t="s">
        <v>39</v>
      </c>
      <c r="F29" s="41" t="s">
        <v>3896</v>
      </c>
      <c r="G29" s="41" t="s">
        <v>41</v>
      </c>
      <c r="H29" s="41" t="s">
        <v>33</v>
      </c>
      <c r="I29" s="33" t="s">
        <v>3836</v>
      </c>
      <c r="J29" s="33"/>
      <c r="K29" s="41" t="s">
        <v>769</v>
      </c>
      <c r="L29" s="41" t="s">
        <v>128</v>
      </c>
      <c r="M29" s="68" t="s">
        <v>3897</v>
      </c>
      <c r="N29" s="8"/>
      <c r="O29" s="1"/>
    </row>
    <row r="30" spans="1:15" ht="36.6" customHeight="1">
      <c r="A30" s="8">
        <v>1</v>
      </c>
      <c r="B30" s="33" t="s">
        <v>3882</v>
      </c>
      <c r="C30" s="41" t="s">
        <v>28</v>
      </c>
      <c r="D30" s="41" t="s">
        <v>3898</v>
      </c>
      <c r="E30" s="41" t="s">
        <v>161</v>
      </c>
      <c r="F30" s="41" t="s">
        <v>3899</v>
      </c>
      <c r="G30" s="41" t="s">
        <v>66</v>
      </c>
      <c r="H30" s="41" t="s">
        <v>67</v>
      </c>
      <c r="I30" s="33" t="s">
        <v>3868</v>
      </c>
      <c r="J30" s="33"/>
      <c r="K30" s="41" t="s">
        <v>769</v>
      </c>
      <c r="L30" s="41" t="s">
        <v>35</v>
      </c>
      <c r="M30" s="68" t="s">
        <v>3900</v>
      </c>
      <c r="N30" s="8"/>
      <c r="O30" s="1"/>
    </row>
    <row r="31" spans="1:15" ht="36.6" customHeight="1">
      <c r="A31" s="8">
        <v>1</v>
      </c>
      <c r="B31" s="33" t="s">
        <v>3882</v>
      </c>
      <c r="C31" s="41" t="s">
        <v>28</v>
      </c>
      <c r="D31" s="41" t="s">
        <v>3901</v>
      </c>
      <c r="E31" s="41" t="s">
        <v>39</v>
      </c>
      <c r="F31" s="41" t="s">
        <v>3902</v>
      </c>
      <c r="G31" s="41" t="s">
        <v>41</v>
      </c>
      <c r="H31" s="41" t="s">
        <v>33</v>
      </c>
      <c r="I31" s="33" t="s">
        <v>3836</v>
      </c>
      <c r="J31" s="33"/>
      <c r="K31" s="41" t="s">
        <v>769</v>
      </c>
      <c r="L31" s="41" t="s">
        <v>61</v>
      </c>
      <c r="M31" s="68" t="s">
        <v>3903</v>
      </c>
      <c r="N31" s="8"/>
      <c r="O31" s="1"/>
    </row>
    <row r="32" spans="1:15" ht="36.6" customHeight="1">
      <c r="A32" s="8">
        <v>1</v>
      </c>
      <c r="B32" s="33" t="s">
        <v>3882</v>
      </c>
      <c r="C32" s="41" t="s">
        <v>28</v>
      </c>
      <c r="D32" s="41" t="s">
        <v>3904</v>
      </c>
      <c r="E32" s="41" t="s">
        <v>39</v>
      </c>
      <c r="F32" s="41">
        <v>51984212197</v>
      </c>
      <c r="G32" s="41" t="s">
        <v>41</v>
      </c>
      <c r="H32" s="41" t="s">
        <v>33</v>
      </c>
      <c r="I32" s="33" t="s">
        <v>3905</v>
      </c>
      <c r="J32" s="33"/>
      <c r="K32" s="41" t="s">
        <v>55</v>
      </c>
      <c r="L32" s="41" t="s">
        <v>61</v>
      </c>
      <c r="M32" s="68" t="s">
        <v>3906</v>
      </c>
      <c r="N32" s="8"/>
      <c r="O32" s="1"/>
    </row>
    <row r="33" spans="1:15" ht="36.6" customHeight="1">
      <c r="A33" s="8">
        <v>1</v>
      </c>
      <c r="B33" s="33" t="s">
        <v>3882</v>
      </c>
      <c r="C33" s="41" t="s">
        <v>28</v>
      </c>
      <c r="D33" s="41" t="s">
        <v>3907</v>
      </c>
      <c r="E33" s="41" t="s">
        <v>1134</v>
      </c>
      <c r="F33" s="41">
        <v>51999302550</v>
      </c>
      <c r="G33" s="41" t="s">
        <v>41</v>
      </c>
      <c r="H33" s="41" t="s">
        <v>33</v>
      </c>
      <c r="I33" s="33" t="s">
        <v>54</v>
      </c>
      <c r="J33" s="33"/>
      <c r="K33" s="41" t="s">
        <v>55</v>
      </c>
      <c r="L33" s="41" t="s">
        <v>128</v>
      </c>
      <c r="M33" s="68" t="s">
        <v>3908</v>
      </c>
      <c r="N33" s="8"/>
      <c r="O33" s="1"/>
    </row>
    <row r="34" spans="1:15" ht="36.6" customHeight="1">
      <c r="A34" s="8">
        <v>1</v>
      </c>
      <c r="B34" s="33" t="s">
        <v>3882</v>
      </c>
      <c r="C34" s="41" t="s">
        <v>28</v>
      </c>
      <c r="D34" s="41" t="s">
        <v>3909</v>
      </c>
      <c r="E34" s="41" t="s">
        <v>39</v>
      </c>
      <c r="F34" s="41">
        <v>51998009005</v>
      </c>
      <c r="G34" s="41" t="s">
        <v>41</v>
      </c>
      <c r="H34" s="41" t="s">
        <v>33</v>
      </c>
      <c r="I34" s="33" t="s">
        <v>54</v>
      </c>
      <c r="J34" s="33"/>
      <c r="K34" s="41" t="s">
        <v>55</v>
      </c>
      <c r="L34" s="41" t="s">
        <v>61</v>
      </c>
      <c r="M34" s="68" t="s">
        <v>3910</v>
      </c>
      <c r="N34" s="8"/>
      <c r="O34" s="1"/>
    </row>
    <row r="35" spans="1:15" ht="36.6" customHeight="1">
      <c r="A35" s="8">
        <v>1</v>
      </c>
      <c r="B35" s="33" t="s">
        <v>3882</v>
      </c>
      <c r="C35" s="41" t="s">
        <v>28</v>
      </c>
      <c r="D35" s="41" t="s">
        <v>3911</v>
      </c>
      <c r="E35" s="41" t="s">
        <v>39</v>
      </c>
      <c r="F35" s="41">
        <v>55991012500</v>
      </c>
      <c r="G35" s="41" t="s">
        <v>41</v>
      </c>
      <c r="H35" s="41" t="s">
        <v>33</v>
      </c>
      <c r="I35" s="33" t="s">
        <v>3905</v>
      </c>
      <c r="J35" s="33"/>
      <c r="K35" s="41" t="s">
        <v>55</v>
      </c>
      <c r="L35" s="41" t="s">
        <v>61</v>
      </c>
      <c r="M35" s="68" t="s">
        <v>3912</v>
      </c>
      <c r="N35" s="8"/>
      <c r="O35" s="1"/>
    </row>
    <row r="36" spans="1:15" ht="36.6" customHeight="1">
      <c r="A36" s="8">
        <v>1</v>
      </c>
      <c r="B36" s="33" t="s">
        <v>3882</v>
      </c>
      <c r="C36" s="41" t="s">
        <v>28</v>
      </c>
      <c r="D36" s="41" t="s">
        <v>3913</v>
      </c>
      <c r="E36" s="41" t="s">
        <v>3914</v>
      </c>
      <c r="F36" s="41" t="s">
        <v>3915</v>
      </c>
      <c r="G36" s="41" t="s">
        <v>66</v>
      </c>
      <c r="H36" s="41" t="s">
        <v>67</v>
      </c>
      <c r="I36" s="33" t="s">
        <v>3849</v>
      </c>
      <c r="J36" s="33"/>
      <c r="K36" s="41" t="s">
        <v>769</v>
      </c>
      <c r="L36" s="41" t="s">
        <v>61</v>
      </c>
      <c r="M36" s="68" t="s">
        <v>3916</v>
      </c>
      <c r="N36" s="8"/>
      <c r="O36" s="1"/>
    </row>
    <row r="37" spans="1:15" ht="36.6" customHeight="1">
      <c r="A37" s="8">
        <v>1</v>
      </c>
      <c r="B37" s="33" t="s">
        <v>3882</v>
      </c>
      <c r="C37" s="41" t="s">
        <v>28</v>
      </c>
      <c r="D37" s="41" t="s">
        <v>3917</v>
      </c>
      <c r="E37" s="41" t="s">
        <v>182</v>
      </c>
      <c r="F37" s="41" t="s">
        <v>3918</v>
      </c>
      <c r="G37" s="41" t="s">
        <v>66</v>
      </c>
      <c r="H37" s="41" t="s">
        <v>67</v>
      </c>
      <c r="I37" s="33" t="s">
        <v>2068</v>
      </c>
      <c r="J37" s="33"/>
      <c r="K37" s="41" t="s">
        <v>55</v>
      </c>
      <c r="L37" s="41" t="s">
        <v>128</v>
      </c>
      <c r="M37" s="68" t="s">
        <v>3919</v>
      </c>
      <c r="N37" s="8"/>
      <c r="O37" s="1"/>
    </row>
    <row r="38" spans="1:15" ht="36.6" customHeight="1">
      <c r="A38" s="8">
        <v>1</v>
      </c>
      <c r="B38" s="33" t="s">
        <v>3882</v>
      </c>
      <c r="C38" s="41" t="s">
        <v>28</v>
      </c>
      <c r="D38" s="41" t="s">
        <v>3920</v>
      </c>
      <c r="E38" s="41" t="s">
        <v>39</v>
      </c>
      <c r="F38" s="41">
        <v>51991234397</v>
      </c>
      <c r="G38" s="41" t="s">
        <v>41</v>
      </c>
      <c r="H38" s="41" t="s">
        <v>33</v>
      </c>
      <c r="I38" s="33" t="s">
        <v>54</v>
      </c>
      <c r="J38" s="33"/>
      <c r="K38" s="41" t="s">
        <v>55</v>
      </c>
      <c r="L38" s="41" t="s">
        <v>128</v>
      </c>
      <c r="M38" s="68" t="s">
        <v>3921</v>
      </c>
      <c r="N38" s="8"/>
      <c r="O38" s="1"/>
    </row>
    <row r="39" spans="1:15" ht="36.6" customHeight="1">
      <c r="A39" s="8">
        <v>1</v>
      </c>
      <c r="B39" s="33" t="s">
        <v>3882</v>
      </c>
      <c r="C39" s="41" t="s">
        <v>28</v>
      </c>
      <c r="D39" s="41" t="s">
        <v>3922</v>
      </c>
      <c r="E39" s="41" t="s">
        <v>1907</v>
      </c>
      <c r="F39" s="41">
        <v>51991323538</v>
      </c>
      <c r="G39" s="41" t="s">
        <v>85</v>
      </c>
      <c r="H39" s="41" t="s">
        <v>191</v>
      </c>
      <c r="I39" s="33" t="s">
        <v>54</v>
      </c>
      <c r="J39" s="33"/>
      <c r="K39" s="41" t="s">
        <v>55</v>
      </c>
      <c r="L39" s="41" t="s">
        <v>61</v>
      </c>
      <c r="M39" s="68" t="s">
        <v>3923</v>
      </c>
      <c r="N39" s="8"/>
      <c r="O39" s="1"/>
    </row>
    <row r="40" spans="1:15" ht="36.6" customHeight="1">
      <c r="A40" s="8">
        <v>1</v>
      </c>
      <c r="B40" s="33" t="s">
        <v>3882</v>
      </c>
      <c r="C40" s="41" t="s">
        <v>28</v>
      </c>
      <c r="D40" s="41" t="s">
        <v>3924</v>
      </c>
      <c r="E40" s="41" t="s">
        <v>3925</v>
      </c>
      <c r="F40" s="41">
        <v>51998331946</v>
      </c>
      <c r="G40" s="41" t="s">
        <v>85</v>
      </c>
      <c r="H40" s="41" t="s">
        <v>33</v>
      </c>
      <c r="I40" s="33" t="s">
        <v>54</v>
      </c>
      <c r="J40" s="33"/>
      <c r="K40" s="41" t="s">
        <v>55</v>
      </c>
      <c r="L40" s="41" t="s">
        <v>61</v>
      </c>
      <c r="M40" s="68" t="s">
        <v>3926</v>
      </c>
      <c r="N40" s="8"/>
      <c r="O40" s="1"/>
    </row>
    <row r="41" spans="1:15" ht="36.6" hidden="1" customHeight="1">
      <c r="A41" s="8">
        <v>1</v>
      </c>
      <c r="B41" s="33" t="s">
        <v>3882</v>
      </c>
      <c r="C41" s="41" t="s">
        <v>93</v>
      </c>
      <c r="D41" s="41" t="s">
        <v>3927</v>
      </c>
      <c r="E41" s="41" t="s">
        <v>764</v>
      </c>
      <c r="F41" s="41">
        <v>51994325250</v>
      </c>
      <c r="G41" s="41" t="s">
        <v>238</v>
      </c>
      <c r="H41" s="41" t="s">
        <v>1479</v>
      </c>
      <c r="I41" s="33"/>
      <c r="J41" s="33"/>
      <c r="K41" s="41" t="s">
        <v>55</v>
      </c>
      <c r="L41" s="41"/>
      <c r="M41" s="68" t="s">
        <v>3928</v>
      </c>
      <c r="N41" s="8"/>
      <c r="O41" s="1"/>
    </row>
    <row r="42" spans="1:15" ht="36.6" hidden="1" customHeight="1">
      <c r="A42" s="8">
        <v>1</v>
      </c>
      <c r="B42" s="33" t="s">
        <v>3882</v>
      </c>
      <c r="C42" s="41" t="s">
        <v>93</v>
      </c>
      <c r="D42" s="41" t="s">
        <v>38</v>
      </c>
      <c r="E42" s="41" t="s">
        <v>39</v>
      </c>
      <c r="F42" s="41">
        <v>51999331997</v>
      </c>
      <c r="G42" s="41" t="s">
        <v>41</v>
      </c>
      <c r="H42" s="41" t="s">
        <v>33</v>
      </c>
      <c r="I42" s="33"/>
      <c r="J42" s="33"/>
      <c r="K42" s="41" t="s">
        <v>55</v>
      </c>
      <c r="L42" s="41"/>
      <c r="M42" s="9" t="s">
        <v>3929</v>
      </c>
      <c r="N42" s="8"/>
      <c r="O42" s="1"/>
    </row>
    <row r="43" spans="1:15" ht="36.6" hidden="1" customHeight="1">
      <c r="A43" s="8">
        <v>1</v>
      </c>
      <c r="B43" s="33" t="s">
        <v>3882</v>
      </c>
      <c r="C43" s="41" t="s">
        <v>93</v>
      </c>
      <c r="D43" s="41" t="s">
        <v>3930</v>
      </c>
      <c r="E43" s="41" t="s">
        <v>108</v>
      </c>
      <c r="F43" s="41" t="s">
        <v>3931</v>
      </c>
      <c r="G43" s="41" t="s">
        <v>420</v>
      </c>
      <c r="H43" s="41" t="s">
        <v>67</v>
      </c>
      <c r="I43" s="33"/>
      <c r="J43" s="33"/>
      <c r="K43" s="41" t="s">
        <v>55</v>
      </c>
      <c r="L43" s="41"/>
      <c r="M43" s="68" t="s">
        <v>3932</v>
      </c>
      <c r="N43" s="8"/>
      <c r="O43" s="1"/>
    </row>
    <row r="44" spans="1:15" ht="36.6" hidden="1" customHeight="1">
      <c r="A44" s="8">
        <v>1</v>
      </c>
      <c r="B44" s="33" t="s">
        <v>3882</v>
      </c>
      <c r="C44" s="41" t="s">
        <v>93</v>
      </c>
      <c r="D44" s="41" t="s">
        <v>3933</v>
      </c>
      <c r="E44" s="41" t="s">
        <v>3934</v>
      </c>
      <c r="F44" s="41">
        <v>54981419931</v>
      </c>
      <c r="G44" s="41" t="s">
        <v>32</v>
      </c>
      <c r="H44" s="41" t="s">
        <v>33</v>
      </c>
      <c r="I44" s="33"/>
      <c r="J44" s="33"/>
      <c r="K44" s="41" t="s">
        <v>55</v>
      </c>
      <c r="L44" s="41"/>
      <c r="M44" s="68" t="s">
        <v>3935</v>
      </c>
      <c r="N44" s="8"/>
      <c r="O44" s="1"/>
    </row>
    <row r="45" spans="1:15" ht="36.6" hidden="1" customHeight="1">
      <c r="A45" s="8">
        <v>1</v>
      </c>
      <c r="B45" s="33" t="s">
        <v>3882</v>
      </c>
      <c r="C45" s="41" t="s">
        <v>93</v>
      </c>
      <c r="D45" s="41" t="s">
        <v>3936</v>
      </c>
      <c r="E45" s="41" t="s">
        <v>285</v>
      </c>
      <c r="F45" s="41" t="s">
        <v>3937</v>
      </c>
      <c r="G45" s="41" t="s">
        <v>66</v>
      </c>
      <c r="H45" s="41" t="s">
        <v>67</v>
      </c>
      <c r="I45" s="33"/>
      <c r="J45" s="33"/>
      <c r="K45" s="41" t="s">
        <v>769</v>
      </c>
      <c r="L45" s="41"/>
      <c r="M45" s="68" t="s">
        <v>3938</v>
      </c>
      <c r="N45" s="8"/>
      <c r="O45" s="1"/>
    </row>
    <row r="46" spans="1:15" ht="36.6" hidden="1" customHeight="1">
      <c r="A46" s="8">
        <v>1</v>
      </c>
      <c r="B46" s="33" t="s">
        <v>3882</v>
      </c>
      <c r="C46" s="41" t="s">
        <v>93</v>
      </c>
      <c r="D46" s="41" t="s">
        <v>3939</v>
      </c>
      <c r="E46" s="41" t="s">
        <v>978</v>
      </c>
      <c r="F46" s="41">
        <v>51995589104</v>
      </c>
      <c r="G46" s="41" t="s">
        <v>91</v>
      </c>
      <c r="H46" s="41" t="s">
        <v>67</v>
      </c>
      <c r="I46" s="33"/>
      <c r="J46" s="33"/>
      <c r="K46" s="41" t="s">
        <v>55</v>
      </c>
      <c r="L46" s="41"/>
      <c r="M46" s="68" t="s">
        <v>3940</v>
      </c>
      <c r="N46" s="8"/>
      <c r="O46" s="1"/>
    </row>
    <row r="47" spans="1:15" ht="36.6" hidden="1" customHeight="1">
      <c r="A47" s="8">
        <v>1</v>
      </c>
      <c r="B47" s="33" t="s">
        <v>3882</v>
      </c>
      <c r="C47" s="41" t="s">
        <v>93</v>
      </c>
      <c r="D47" s="41" t="s">
        <v>3941</v>
      </c>
      <c r="E47" s="41" t="s">
        <v>3942</v>
      </c>
      <c r="F47" s="41" t="s">
        <v>3943</v>
      </c>
      <c r="G47" s="41" t="s">
        <v>66</v>
      </c>
      <c r="H47" s="41" t="s">
        <v>67</v>
      </c>
      <c r="I47" s="33"/>
      <c r="J47" s="33"/>
      <c r="K47" s="41" t="s">
        <v>769</v>
      </c>
      <c r="L47" s="41"/>
      <c r="M47" s="68" t="s">
        <v>3944</v>
      </c>
      <c r="N47" s="8"/>
      <c r="O47" s="1"/>
    </row>
    <row r="48" spans="1:15" ht="36.6" hidden="1" customHeight="1">
      <c r="A48" s="8">
        <v>1</v>
      </c>
      <c r="B48" s="33" t="s">
        <v>3882</v>
      </c>
      <c r="C48" s="41" t="s">
        <v>93</v>
      </c>
      <c r="D48" s="41" t="s">
        <v>3945</v>
      </c>
      <c r="E48" s="41" t="s">
        <v>785</v>
      </c>
      <c r="F48" s="41" t="s">
        <v>3946</v>
      </c>
      <c r="G48" s="41" t="s">
        <v>66</v>
      </c>
      <c r="H48" s="41" t="s">
        <v>67</v>
      </c>
      <c r="I48" s="33"/>
      <c r="J48" s="33"/>
      <c r="K48" s="41" t="s">
        <v>55</v>
      </c>
      <c r="L48" s="41"/>
      <c r="M48" s="68" t="s">
        <v>3947</v>
      </c>
      <c r="N48" s="8"/>
      <c r="O48" s="1"/>
    </row>
    <row r="49" spans="1:19" ht="36.6" hidden="1" customHeight="1">
      <c r="A49" s="8">
        <v>1</v>
      </c>
      <c r="B49" s="33" t="s">
        <v>3882</v>
      </c>
      <c r="C49" s="41" t="s">
        <v>93</v>
      </c>
      <c r="D49" s="41" t="s">
        <v>359</v>
      </c>
      <c r="E49" s="41" t="s">
        <v>237</v>
      </c>
      <c r="F49" s="41" t="s">
        <v>3948</v>
      </c>
      <c r="G49" s="41" t="s">
        <v>3824</v>
      </c>
      <c r="H49" s="41" t="s">
        <v>1479</v>
      </c>
      <c r="I49" s="33"/>
      <c r="J49" s="33"/>
      <c r="K49" s="41" t="s">
        <v>55</v>
      </c>
      <c r="L49" s="41"/>
      <c r="M49" s="68" t="s">
        <v>3949</v>
      </c>
      <c r="N49" s="8"/>
      <c r="O49" s="1"/>
    </row>
    <row r="50" spans="1:19" ht="36.6" hidden="1" customHeight="1">
      <c r="A50" s="8">
        <v>1</v>
      </c>
      <c r="B50" s="33" t="s">
        <v>3882</v>
      </c>
      <c r="C50" s="41" t="s">
        <v>93</v>
      </c>
      <c r="D50" s="41" t="s">
        <v>3950</v>
      </c>
      <c r="E50" s="41" t="s">
        <v>39</v>
      </c>
      <c r="F50" s="41">
        <v>51998821862</v>
      </c>
      <c r="G50" s="41" t="s">
        <v>41</v>
      </c>
      <c r="H50" s="41" t="s">
        <v>33</v>
      </c>
      <c r="I50" s="33"/>
      <c r="J50" s="33"/>
      <c r="K50" s="41" t="s">
        <v>55</v>
      </c>
      <c r="L50" s="41"/>
      <c r="M50" s="68" t="s">
        <v>3951</v>
      </c>
      <c r="N50" s="8"/>
      <c r="O50" s="1"/>
    </row>
    <row r="51" spans="1:19" ht="36.6" customHeight="1">
      <c r="A51" s="8">
        <v>1</v>
      </c>
      <c r="B51" s="33" t="s">
        <v>2156</v>
      </c>
      <c r="C51" s="41" t="s">
        <v>28</v>
      </c>
      <c r="D51" s="41" t="s">
        <v>3952</v>
      </c>
      <c r="E51" s="41" t="s">
        <v>3953</v>
      </c>
      <c r="F51" s="41">
        <v>51993662960</v>
      </c>
      <c r="G51" s="41" t="s">
        <v>91</v>
      </c>
      <c r="H51" s="41" t="s">
        <v>67</v>
      </c>
      <c r="I51" s="33" t="s">
        <v>3954</v>
      </c>
      <c r="J51" s="33"/>
      <c r="K51" s="41" t="s">
        <v>55</v>
      </c>
      <c r="L51" s="41" t="s">
        <v>61</v>
      </c>
      <c r="M51" s="68" t="s">
        <v>3955</v>
      </c>
      <c r="N51" s="8"/>
      <c r="O51" s="1"/>
    </row>
    <row r="52" spans="1:19" ht="36.6" customHeight="1">
      <c r="A52" s="8">
        <v>1</v>
      </c>
      <c r="B52" s="33" t="s">
        <v>2156</v>
      </c>
      <c r="C52" s="41" t="s">
        <v>28</v>
      </c>
      <c r="D52" s="41" t="s">
        <v>3956</v>
      </c>
      <c r="E52" s="41" t="s">
        <v>260</v>
      </c>
      <c r="F52" s="41">
        <v>51995103076</v>
      </c>
      <c r="G52" s="41" t="s">
        <v>32</v>
      </c>
      <c r="H52" s="41" t="s">
        <v>33</v>
      </c>
      <c r="I52" s="33" t="s">
        <v>54</v>
      </c>
      <c r="J52" s="33"/>
      <c r="K52" s="41" t="s">
        <v>55</v>
      </c>
      <c r="L52" s="41" t="s">
        <v>56</v>
      </c>
      <c r="M52" s="68" t="s">
        <v>3957</v>
      </c>
      <c r="N52" s="8"/>
      <c r="O52" s="1"/>
    </row>
    <row r="53" spans="1:19" ht="36.6" customHeight="1">
      <c r="A53" s="8">
        <v>1</v>
      </c>
      <c r="B53" s="33" t="s">
        <v>2156</v>
      </c>
      <c r="C53" s="41" t="s">
        <v>28</v>
      </c>
      <c r="D53" s="41" t="s">
        <v>3958</v>
      </c>
      <c r="E53" s="41" t="s">
        <v>39</v>
      </c>
      <c r="F53" s="41">
        <v>51995122772</v>
      </c>
      <c r="G53" s="41" t="s">
        <v>41</v>
      </c>
      <c r="H53" s="41" t="s">
        <v>1539</v>
      </c>
      <c r="I53" s="33" t="s">
        <v>3959</v>
      </c>
      <c r="J53" s="33"/>
      <c r="K53" s="41" t="s">
        <v>55</v>
      </c>
      <c r="L53" s="41" t="s">
        <v>61</v>
      </c>
      <c r="M53" s="68" t="s">
        <v>3960</v>
      </c>
      <c r="N53" s="8"/>
      <c r="O53" s="1"/>
    </row>
    <row r="54" spans="1:19" ht="36.6" customHeight="1">
      <c r="A54" s="8">
        <v>1</v>
      </c>
      <c r="B54" s="33" t="s">
        <v>2156</v>
      </c>
      <c r="C54" s="41" t="s">
        <v>28</v>
      </c>
      <c r="D54" s="41" t="s">
        <v>3961</v>
      </c>
      <c r="E54" s="41" t="s">
        <v>340</v>
      </c>
      <c r="F54" s="41" t="s">
        <v>3962</v>
      </c>
      <c r="G54" s="41" t="s">
        <v>420</v>
      </c>
      <c r="H54" s="41" t="s">
        <v>67</v>
      </c>
      <c r="I54" s="33" t="s">
        <v>3954</v>
      </c>
      <c r="J54" s="33"/>
      <c r="K54" s="41" t="s">
        <v>55</v>
      </c>
      <c r="L54" s="41" t="s">
        <v>61</v>
      </c>
      <c r="M54" s="68" t="s">
        <v>3963</v>
      </c>
      <c r="N54" s="8"/>
      <c r="O54" s="1"/>
    </row>
    <row r="55" spans="1:19" ht="36.6" customHeight="1">
      <c r="A55" s="8">
        <v>1</v>
      </c>
      <c r="B55" s="33" t="s">
        <v>2156</v>
      </c>
      <c r="C55" s="41" t="s">
        <v>28</v>
      </c>
      <c r="D55" s="41" t="s">
        <v>3964</v>
      </c>
      <c r="E55" s="8" t="s">
        <v>323</v>
      </c>
      <c r="F55" s="33" t="s">
        <v>3965</v>
      </c>
      <c r="G55" s="41" t="s">
        <v>3824</v>
      </c>
      <c r="H55" s="41" t="s">
        <v>1479</v>
      </c>
      <c r="I55" s="33" t="s">
        <v>3959</v>
      </c>
      <c r="J55" s="41"/>
      <c r="K55" s="41" t="s">
        <v>49</v>
      </c>
      <c r="L55" s="41" t="s">
        <v>56</v>
      </c>
      <c r="M55" s="33"/>
      <c r="N55" s="8"/>
      <c r="O55" s="41"/>
    </row>
    <row r="56" spans="1:19" ht="36.6" customHeight="1">
      <c r="A56" s="8">
        <v>1</v>
      </c>
      <c r="B56" s="33" t="s">
        <v>2156</v>
      </c>
      <c r="C56" s="41" t="s">
        <v>28</v>
      </c>
      <c r="D56" s="41" t="s">
        <v>3966</v>
      </c>
      <c r="E56" s="41" t="s">
        <v>1134</v>
      </c>
      <c r="F56" s="41" t="s">
        <v>3967</v>
      </c>
      <c r="G56" s="41" t="s">
        <v>41</v>
      </c>
      <c r="H56" s="41" t="s">
        <v>33</v>
      </c>
      <c r="I56" s="33" t="s">
        <v>3968</v>
      </c>
      <c r="J56" s="33"/>
      <c r="K56" s="41" t="s">
        <v>49</v>
      </c>
      <c r="L56" s="41" t="s">
        <v>56</v>
      </c>
      <c r="M56" s="68"/>
      <c r="N56" s="8"/>
      <c r="O56" s="1"/>
    </row>
    <row r="57" spans="1:19" ht="36.6" customHeight="1">
      <c r="A57" s="8">
        <v>1</v>
      </c>
      <c r="B57" s="33" t="s">
        <v>2156</v>
      </c>
      <c r="C57" s="41" t="s">
        <v>28</v>
      </c>
      <c r="D57" s="41" t="s">
        <v>3969</v>
      </c>
      <c r="E57" s="41" t="s">
        <v>310</v>
      </c>
      <c r="F57" s="41">
        <v>51994208798</v>
      </c>
      <c r="G57" s="41" t="s">
        <v>3824</v>
      </c>
      <c r="H57" s="41" t="s">
        <v>1479</v>
      </c>
      <c r="I57" s="33" t="s">
        <v>3954</v>
      </c>
      <c r="J57" s="33"/>
      <c r="K57" s="41" t="s">
        <v>55</v>
      </c>
      <c r="L57" s="41" t="s">
        <v>61</v>
      </c>
      <c r="M57" s="68" t="s">
        <v>3970</v>
      </c>
      <c r="N57" s="8"/>
      <c r="O57" s="1"/>
    </row>
    <row r="58" spans="1:19" ht="36.6" hidden="1" customHeight="1">
      <c r="A58" s="8">
        <v>1</v>
      </c>
      <c r="B58" s="33" t="s">
        <v>2156</v>
      </c>
      <c r="C58" s="41" t="s">
        <v>93</v>
      </c>
      <c r="D58" s="41" t="s">
        <v>690</v>
      </c>
      <c r="E58" s="41" t="s">
        <v>285</v>
      </c>
      <c r="F58" s="41">
        <v>51992612441</v>
      </c>
      <c r="G58" s="41" t="s">
        <v>3971</v>
      </c>
      <c r="H58" s="41" t="s">
        <v>67</v>
      </c>
      <c r="I58" s="33"/>
      <c r="J58" s="33"/>
      <c r="K58" s="41" t="s">
        <v>55</v>
      </c>
      <c r="L58" s="41"/>
      <c r="M58" s="68" t="s">
        <v>3972</v>
      </c>
      <c r="N58" s="8"/>
      <c r="O58" s="1"/>
    </row>
    <row r="59" spans="1:19" ht="36.6" hidden="1" customHeight="1">
      <c r="A59" s="8">
        <v>1</v>
      </c>
      <c r="B59" s="33" t="s">
        <v>2156</v>
      </c>
      <c r="C59" s="41" t="s">
        <v>93</v>
      </c>
      <c r="D59" s="41" t="s">
        <v>3109</v>
      </c>
      <c r="E59" s="41" t="s">
        <v>3953</v>
      </c>
      <c r="F59" s="41">
        <v>51982602658</v>
      </c>
      <c r="G59" s="41" t="s">
        <v>91</v>
      </c>
      <c r="H59" s="41" t="s">
        <v>67</v>
      </c>
      <c r="I59" s="33"/>
      <c r="J59" s="33"/>
      <c r="K59" s="41" t="s">
        <v>55</v>
      </c>
      <c r="L59" s="41"/>
      <c r="M59" s="68" t="s">
        <v>3973</v>
      </c>
      <c r="N59" s="8"/>
      <c r="O59" s="1"/>
    </row>
    <row r="60" spans="1:19" ht="36.6" hidden="1" customHeight="1">
      <c r="A60" s="8">
        <v>1</v>
      </c>
      <c r="B60" s="33" t="s">
        <v>2156</v>
      </c>
      <c r="C60" s="41" t="s">
        <v>93</v>
      </c>
      <c r="D60" s="41" t="s">
        <v>3974</v>
      </c>
      <c r="E60" s="41" t="s">
        <v>39</v>
      </c>
      <c r="F60" s="41">
        <v>51981354871</v>
      </c>
      <c r="G60" s="41" t="s">
        <v>41</v>
      </c>
      <c r="H60" s="41" t="s">
        <v>33</v>
      </c>
      <c r="I60" s="33"/>
      <c r="J60" s="33"/>
      <c r="K60" s="41" t="s">
        <v>55</v>
      </c>
      <c r="L60" s="41"/>
      <c r="M60" s="68" t="s">
        <v>3975</v>
      </c>
      <c r="N60" s="8"/>
      <c r="O60" s="1"/>
    </row>
    <row r="61" spans="1:19" ht="36.6" hidden="1" customHeight="1">
      <c r="A61" s="8">
        <v>1</v>
      </c>
      <c r="B61" s="33" t="s">
        <v>2156</v>
      </c>
      <c r="C61" s="41" t="s">
        <v>93</v>
      </c>
      <c r="D61" s="41" t="s">
        <v>3976</v>
      </c>
      <c r="E61" s="8" t="s">
        <v>3942</v>
      </c>
      <c r="F61" s="41">
        <v>51984809019</v>
      </c>
      <c r="G61" s="41" t="s">
        <v>66</v>
      </c>
      <c r="H61" s="41" t="s">
        <v>67</v>
      </c>
      <c r="I61" s="33"/>
      <c r="J61" s="33"/>
      <c r="K61" s="41" t="s">
        <v>55</v>
      </c>
      <c r="L61" s="41"/>
      <c r="M61" s="68" t="s">
        <v>3977</v>
      </c>
      <c r="N61" s="8"/>
      <c r="O61" s="1"/>
    </row>
    <row r="62" spans="1:19" ht="36.6" hidden="1" customHeight="1">
      <c r="A62" s="8">
        <v>1</v>
      </c>
      <c r="B62" s="33" t="s">
        <v>2156</v>
      </c>
      <c r="C62" s="41" t="s">
        <v>93</v>
      </c>
      <c r="D62" s="41" t="s">
        <v>3978</v>
      </c>
      <c r="E62" s="41" t="s">
        <v>3979</v>
      </c>
      <c r="F62" s="41">
        <v>51995868093</v>
      </c>
      <c r="G62" s="41" t="s">
        <v>85</v>
      </c>
      <c r="H62" s="41" t="s">
        <v>33</v>
      </c>
      <c r="I62" s="33"/>
      <c r="J62" s="33"/>
      <c r="K62" s="41" t="s">
        <v>55</v>
      </c>
      <c r="L62" s="41"/>
      <c r="M62" s="68" t="s">
        <v>3980</v>
      </c>
      <c r="N62" s="8"/>
      <c r="O62" s="1"/>
      <c r="P62" s="41"/>
      <c r="Q62" s="68"/>
      <c r="R62" s="41"/>
      <c r="S62" s="1"/>
    </row>
    <row r="63" spans="1:19" ht="36.6" hidden="1" customHeight="1">
      <c r="A63" s="8">
        <v>1</v>
      </c>
      <c r="B63" s="33" t="s">
        <v>2156</v>
      </c>
      <c r="C63" s="41" t="s">
        <v>93</v>
      </c>
      <c r="D63" s="41" t="s">
        <v>3981</v>
      </c>
      <c r="E63" s="41" t="s">
        <v>150</v>
      </c>
      <c r="F63" s="41" t="s">
        <v>3982</v>
      </c>
      <c r="G63" s="41" t="s">
        <v>91</v>
      </c>
      <c r="H63" s="41" t="s">
        <v>67</v>
      </c>
      <c r="I63" s="33"/>
      <c r="J63" s="33"/>
      <c r="K63" s="41" t="s">
        <v>55</v>
      </c>
      <c r="L63" s="41"/>
      <c r="M63" s="68" t="s">
        <v>3983</v>
      </c>
      <c r="N63" s="8"/>
      <c r="O63" s="1"/>
    </row>
    <row r="64" spans="1:19" ht="36.6" hidden="1" customHeight="1">
      <c r="A64" s="8">
        <v>1</v>
      </c>
      <c r="B64" s="33" t="s">
        <v>2156</v>
      </c>
      <c r="C64" s="41" t="s">
        <v>93</v>
      </c>
      <c r="D64" s="41" t="s">
        <v>3941</v>
      </c>
      <c r="E64" s="41" t="s">
        <v>3942</v>
      </c>
      <c r="F64" s="41" t="s">
        <v>3943</v>
      </c>
      <c r="G64" s="41" t="s">
        <v>3971</v>
      </c>
      <c r="H64" s="41" t="s">
        <v>67</v>
      </c>
      <c r="I64" s="33"/>
      <c r="J64" s="33"/>
      <c r="K64" s="41" t="s">
        <v>49</v>
      </c>
      <c r="L64" s="41"/>
      <c r="M64" s="68"/>
      <c r="N64" s="8"/>
      <c r="O64" s="1"/>
    </row>
    <row r="65" spans="1:15" ht="36.6" hidden="1" customHeight="1">
      <c r="A65" s="8">
        <v>1</v>
      </c>
      <c r="B65" s="33" t="s">
        <v>2156</v>
      </c>
      <c r="C65" s="41" t="s">
        <v>93</v>
      </c>
      <c r="D65" s="41" t="s">
        <v>3984</v>
      </c>
      <c r="E65" s="41" t="s">
        <v>182</v>
      </c>
      <c r="F65" s="41">
        <v>51993908263</v>
      </c>
      <c r="G65" s="41" t="s">
        <v>420</v>
      </c>
      <c r="H65" s="41" t="s">
        <v>67</v>
      </c>
      <c r="I65" s="33"/>
      <c r="J65" s="33"/>
      <c r="K65" s="41" t="s">
        <v>55</v>
      </c>
      <c r="L65" s="41"/>
      <c r="M65" s="68" t="s">
        <v>3985</v>
      </c>
      <c r="N65" s="8"/>
      <c r="O65" s="1"/>
    </row>
    <row r="66" spans="1:15" ht="36.6" customHeight="1">
      <c r="A66" s="10">
        <v>1</v>
      </c>
      <c r="B66" s="33" t="s">
        <v>3986</v>
      </c>
      <c r="C66" s="41" t="s">
        <v>28</v>
      </c>
      <c r="D66" s="41" t="s">
        <v>3987</v>
      </c>
      <c r="E66" s="41" t="s">
        <v>39</v>
      </c>
      <c r="F66" s="41" t="s">
        <v>3988</v>
      </c>
      <c r="G66" s="41" t="s">
        <v>41</v>
      </c>
      <c r="H66" s="8" t="s">
        <v>33</v>
      </c>
      <c r="I66" s="70" t="s">
        <v>54</v>
      </c>
      <c r="J66" s="70"/>
      <c r="K66" s="41" t="s">
        <v>49</v>
      </c>
      <c r="L66" s="41" t="s">
        <v>61</v>
      </c>
      <c r="M66" s="9" t="s">
        <v>3989</v>
      </c>
      <c r="N66" s="8"/>
      <c r="O66" s="1"/>
    </row>
    <row r="67" spans="1:15" ht="36.6" customHeight="1">
      <c r="A67" s="10">
        <v>1</v>
      </c>
      <c r="B67" s="33" t="s">
        <v>3986</v>
      </c>
      <c r="C67" s="41" t="s">
        <v>28</v>
      </c>
      <c r="D67" s="41" t="s">
        <v>3990</v>
      </c>
      <c r="E67" s="41" t="s">
        <v>52</v>
      </c>
      <c r="F67" s="41">
        <v>51996653263</v>
      </c>
      <c r="G67" s="41" t="s">
        <v>53</v>
      </c>
      <c r="H67" s="8" t="s">
        <v>33</v>
      </c>
      <c r="I67" s="70" t="s">
        <v>3886</v>
      </c>
      <c r="J67" s="70"/>
      <c r="K67" s="41" t="s">
        <v>55</v>
      </c>
      <c r="L67" s="41" t="s">
        <v>61</v>
      </c>
      <c r="M67" s="9" t="s">
        <v>3991</v>
      </c>
      <c r="N67" s="8"/>
      <c r="O67" s="1"/>
    </row>
    <row r="68" spans="1:15" ht="36.6" customHeight="1">
      <c r="A68" s="10">
        <v>1</v>
      </c>
      <c r="B68" s="33" t="s">
        <v>3986</v>
      </c>
      <c r="C68" s="41" t="s">
        <v>28</v>
      </c>
      <c r="D68" s="41" t="s">
        <v>3992</v>
      </c>
      <c r="E68" s="41" t="s">
        <v>39</v>
      </c>
      <c r="F68" s="41" t="s">
        <v>3993</v>
      </c>
      <c r="G68" s="41" t="s">
        <v>41</v>
      </c>
      <c r="H68" s="8" t="s">
        <v>191</v>
      </c>
      <c r="I68" s="70"/>
      <c r="J68" s="70"/>
      <c r="K68" s="41" t="s">
        <v>49</v>
      </c>
      <c r="L68" s="41" t="s">
        <v>61</v>
      </c>
      <c r="M68" s="9" t="s">
        <v>3994</v>
      </c>
      <c r="N68" s="8"/>
      <c r="O68" s="1"/>
    </row>
    <row r="69" spans="1:15" ht="36.6" customHeight="1">
      <c r="A69" s="10">
        <v>1</v>
      </c>
      <c r="B69" s="33" t="s">
        <v>3986</v>
      </c>
      <c r="C69" s="41" t="s">
        <v>28</v>
      </c>
      <c r="D69" s="41" t="s">
        <v>3995</v>
      </c>
      <c r="E69" s="41" t="s">
        <v>611</v>
      </c>
      <c r="F69" s="41" t="s">
        <v>3996</v>
      </c>
      <c r="G69" s="41" t="s">
        <v>3971</v>
      </c>
      <c r="H69" s="8" t="s">
        <v>67</v>
      </c>
      <c r="I69" s="70" t="s">
        <v>3954</v>
      </c>
      <c r="J69" s="70"/>
      <c r="K69" s="41" t="s">
        <v>49</v>
      </c>
      <c r="L69" s="41" t="s">
        <v>61</v>
      </c>
      <c r="M69" s="9" t="s">
        <v>3997</v>
      </c>
      <c r="N69" s="8"/>
      <c r="O69" s="1"/>
    </row>
    <row r="70" spans="1:15" ht="36.6" customHeight="1">
      <c r="A70" s="10">
        <v>1</v>
      </c>
      <c r="B70" s="33" t="s">
        <v>3986</v>
      </c>
      <c r="C70" s="41" t="s">
        <v>28</v>
      </c>
      <c r="D70" s="41" t="s">
        <v>3998</v>
      </c>
      <c r="E70" s="41" t="s">
        <v>310</v>
      </c>
      <c r="F70" s="41" t="s">
        <v>3999</v>
      </c>
      <c r="G70" s="41" t="s">
        <v>750</v>
      </c>
      <c r="H70" s="8" t="s">
        <v>1479</v>
      </c>
      <c r="I70" s="70"/>
      <c r="J70" s="70"/>
      <c r="K70" s="41" t="s">
        <v>2050</v>
      </c>
      <c r="L70" s="41" t="s">
        <v>61</v>
      </c>
      <c r="M70" s="9" t="s">
        <v>4000</v>
      </c>
      <c r="N70" s="8"/>
      <c r="O70" s="1"/>
    </row>
    <row r="71" spans="1:15" ht="36.6" customHeight="1">
      <c r="A71" s="10">
        <v>1</v>
      </c>
      <c r="B71" s="33" t="s">
        <v>3986</v>
      </c>
      <c r="C71" s="41" t="s">
        <v>28</v>
      </c>
      <c r="D71" s="41" t="s">
        <v>4001</v>
      </c>
      <c r="E71" s="41" t="s">
        <v>39</v>
      </c>
      <c r="F71" s="41" t="s">
        <v>4002</v>
      </c>
      <c r="G71" s="41" t="s">
        <v>41</v>
      </c>
      <c r="H71" s="8" t="s">
        <v>33</v>
      </c>
      <c r="I71" s="70"/>
      <c r="J71" s="70"/>
      <c r="K71" s="41" t="s">
        <v>49</v>
      </c>
      <c r="L71" s="41" t="s">
        <v>61</v>
      </c>
      <c r="M71" s="9" t="s">
        <v>4003</v>
      </c>
      <c r="N71" s="8"/>
      <c r="O71" s="1"/>
    </row>
    <row r="72" spans="1:15" ht="36.6" customHeight="1">
      <c r="A72" s="10">
        <v>1</v>
      </c>
      <c r="B72" s="33" t="s">
        <v>3986</v>
      </c>
      <c r="C72" s="41" t="s">
        <v>28</v>
      </c>
      <c r="D72" s="41" t="s">
        <v>4004</v>
      </c>
      <c r="E72" s="41" t="s">
        <v>2253</v>
      </c>
      <c r="F72" s="41" t="s">
        <v>4005</v>
      </c>
      <c r="G72" s="41" t="s">
        <v>797</v>
      </c>
      <c r="H72" s="8" t="s">
        <v>33</v>
      </c>
      <c r="I72" s="70"/>
      <c r="J72" s="70"/>
      <c r="K72" s="41" t="s">
        <v>2050</v>
      </c>
      <c r="L72" s="41" t="s">
        <v>128</v>
      </c>
      <c r="M72" s="9" t="s">
        <v>4006</v>
      </c>
      <c r="N72" s="8"/>
      <c r="O72" s="1"/>
    </row>
    <row r="73" spans="1:15" ht="36.6" customHeight="1">
      <c r="A73" s="10">
        <v>1</v>
      </c>
      <c r="B73" s="33" t="s">
        <v>3986</v>
      </c>
      <c r="C73" s="41" t="s">
        <v>28</v>
      </c>
      <c r="D73" s="41" t="s">
        <v>4007</v>
      </c>
      <c r="E73" s="41" t="s">
        <v>136</v>
      </c>
      <c r="F73" s="41" t="s">
        <v>4008</v>
      </c>
      <c r="G73" s="41" t="s">
        <v>420</v>
      </c>
      <c r="H73" s="8" t="s">
        <v>67</v>
      </c>
      <c r="I73" s="70"/>
      <c r="J73" s="70"/>
      <c r="K73" s="41" t="s">
        <v>49</v>
      </c>
      <c r="L73" s="41" t="s">
        <v>128</v>
      </c>
      <c r="M73" s="9" t="s">
        <v>4009</v>
      </c>
      <c r="N73" s="8"/>
      <c r="O73" s="1"/>
    </row>
    <row r="74" spans="1:15" ht="36.6" customHeight="1">
      <c r="A74" s="10">
        <v>1</v>
      </c>
      <c r="B74" s="33" t="s">
        <v>3986</v>
      </c>
      <c r="C74" s="41" t="s">
        <v>28</v>
      </c>
      <c r="D74" s="41" t="s">
        <v>4010</v>
      </c>
      <c r="E74" s="41" t="s">
        <v>4011</v>
      </c>
      <c r="F74" s="41" t="s">
        <v>4012</v>
      </c>
      <c r="G74" s="41" t="s">
        <v>41</v>
      </c>
      <c r="H74" s="8" t="s">
        <v>33</v>
      </c>
      <c r="I74" s="70"/>
      <c r="J74" s="70"/>
      <c r="K74" s="41" t="s">
        <v>49</v>
      </c>
      <c r="L74" s="41" t="s">
        <v>128</v>
      </c>
      <c r="M74" s="9" t="s">
        <v>4013</v>
      </c>
      <c r="N74" s="8"/>
      <c r="O74" s="1"/>
    </row>
    <row r="75" spans="1:15" ht="36.6" hidden="1" customHeight="1">
      <c r="A75" s="75">
        <v>1</v>
      </c>
      <c r="B75" s="33" t="s">
        <v>3986</v>
      </c>
      <c r="C75" s="41" t="s">
        <v>93</v>
      </c>
      <c r="D75" s="41" t="s">
        <v>4014</v>
      </c>
      <c r="E75" s="41" t="s">
        <v>1563</v>
      </c>
      <c r="F75" s="41">
        <v>51993378500</v>
      </c>
      <c r="G75" s="41" t="s">
        <v>420</v>
      </c>
      <c r="H75" s="8" t="s">
        <v>67</v>
      </c>
      <c r="I75" s="70"/>
      <c r="J75" s="70"/>
      <c r="K75" s="41" t="s">
        <v>55</v>
      </c>
      <c r="L75" s="41"/>
      <c r="M75" s="9" t="s">
        <v>3077</v>
      </c>
      <c r="N75" s="8"/>
      <c r="O75" s="1"/>
    </row>
    <row r="76" spans="1:15" ht="36.6" hidden="1" customHeight="1">
      <c r="A76" s="10">
        <v>1</v>
      </c>
      <c r="B76" s="33" t="s">
        <v>3986</v>
      </c>
      <c r="C76" s="41" t="s">
        <v>93</v>
      </c>
      <c r="D76" s="41" t="s">
        <v>4015</v>
      </c>
      <c r="E76" s="41" t="s">
        <v>2563</v>
      </c>
      <c r="F76" s="41">
        <v>51996301648</v>
      </c>
      <c r="G76" s="41" t="s">
        <v>147</v>
      </c>
      <c r="H76" s="8" t="s">
        <v>33</v>
      </c>
      <c r="I76" s="70"/>
      <c r="J76" s="70"/>
      <c r="K76" s="41" t="s">
        <v>55</v>
      </c>
      <c r="L76" s="41"/>
      <c r="M76" s="9" t="s">
        <v>4016</v>
      </c>
      <c r="N76" s="8"/>
      <c r="O76" s="1"/>
    </row>
    <row r="77" spans="1:15" ht="36.6" hidden="1" customHeight="1">
      <c r="A77" s="10">
        <v>1</v>
      </c>
      <c r="B77" s="33" t="s">
        <v>3986</v>
      </c>
      <c r="C77" s="41" t="s">
        <v>93</v>
      </c>
      <c r="D77" s="41" t="s">
        <v>4017</v>
      </c>
      <c r="E77" s="41" t="s">
        <v>686</v>
      </c>
      <c r="F77" s="41" t="s">
        <v>4018</v>
      </c>
      <c r="G77" s="41" t="s">
        <v>91</v>
      </c>
      <c r="H77" s="8" t="s">
        <v>67</v>
      </c>
      <c r="I77" s="70"/>
      <c r="J77" s="70"/>
      <c r="K77" s="41" t="s">
        <v>49</v>
      </c>
      <c r="L77" s="41"/>
      <c r="M77" s="9" t="s">
        <v>4019</v>
      </c>
      <c r="N77" s="8"/>
      <c r="O77" s="1"/>
    </row>
    <row r="78" spans="1:15" ht="36.6" hidden="1" customHeight="1">
      <c r="A78" s="10">
        <v>1</v>
      </c>
      <c r="B78" s="33" t="s">
        <v>3986</v>
      </c>
      <c r="C78" s="41" t="s">
        <v>93</v>
      </c>
      <c r="D78" s="41" t="s">
        <v>4020</v>
      </c>
      <c r="E78" s="41" t="s">
        <v>3925</v>
      </c>
      <c r="F78" s="41">
        <v>51986311635</v>
      </c>
      <c r="G78" s="41" t="s">
        <v>85</v>
      </c>
      <c r="H78" s="8" t="s">
        <v>33</v>
      </c>
      <c r="I78" s="70"/>
      <c r="J78" s="70"/>
      <c r="K78" s="41" t="s">
        <v>55</v>
      </c>
      <c r="L78" s="41"/>
      <c r="M78" s="9" t="s">
        <v>4021</v>
      </c>
      <c r="N78" s="8"/>
      <c r="O78" s="1"/>
    </row>
    <row r="79" spans="1:15" ht="36.6" hidden="1" customHeight="1">
      <c r="A79" s="10">
        <v>1</v>
      </c>
      <c r="B79" s="33" t="s">
        <v>3986</v>
      </c>
      <c r="C79" s="41" t="s">
        <v>93</v>
      </c>
      <c r="D79" s="41" t="s">
        <v>4022</v>
      </c>
      <c r="E79" s="41" t="s">
        <v>4023</v>
      </c>
      <c r="F79" s="41" t="s">
        <v>4024</v>
      </c>
      <c r="G79" s="41" t="s">
        <v>41</v>
      </c>
      <c r="H79" s="8" t="s">
        <v>33</v>
      </c>
      <c r="I79" s="70"/>
      <c r="J79" s="70"/>
      <c r="K79" s="41" t="s">
        <v>49</v>
      </c>
      <c r="L79" s="41"/>
      <c r="M79" s="9" t="s">
        <v>4025</v>
      </c>
      <c r="N79" s="8"/>
      <c r="O79" s="1"/>
    </row>
    <row r="80" spans="1:15" ht="36.6" hidden="1" customHeight="1">
      <c r="A80" s="10">
        <v>1</v>
      </c>
      <c r="B80" s="33" t="s">
        <v>3986</v>
      </c>
      <c r="C80" s="41" t="s">
        <v>93</v>
      </c>
      <c r="D80" s="41" t="s">
        <v>4026</v>
      </c>
      <c r="E80" s="41" t="s">
        <v>1213</v>
      </c>
      <c r="F80" s="41">
        <v>51984007067</v>
      </c>
      <c r="G80" s="41" t="s">
        <v>420</v>
      </c>
      <c r="H80" s="8" t="s">
        <v>67</v>
      </c>
      <c r="I80" s="70"/>
      <c r="J80" s="70"/>
      <c r="K80" s="41" t="s">
        <v>55</v>
      </c>
      <c r="L80" s="41"/>
      <c r="M80" s="9" t="s">
        <v>4027</v>
      </c>
      <c r="N80" s="8"/>
      <c r="O80" s="1"/>
    </row>
    <row r="81" spans="1:15" ht="36.6" customHeight="1">
      <c r="A81" s="10">
        <v>1</v>
      </c>
      <c r="B81" s="33" t="s">
        <v>2166</v>
      </c>
      <c r="C81" s="41" t="s">
        <v>28</v>
      </c>
      <c r="D81" s="41" t="s">
        <v>4028</v>
      </c>
      <c r="E81" s="41" t="s">
        <v>157</v>
      </c>
      <c r="F81" s="41" t="s">
        <v>4029</v>
      </c>
      <c r="G81" s="41" t="s">
        <v>1236</v>
      </c>
      <c r="H81" s="8" t="s">
        <v>33</v>
      </c>
      <c r="I81" s="70"/>
      <c r="J81" s="70"/>
      <c r="K81" s="41" t="s">
        <v>2050</v>
      </c>
      <c r="L81" s="41" t="s">
        <v>61</v>
      </c>
      <c r="M81" s="9" t="s">
        <v>4030</v>
      </c>
      <c r="N81" s="8"/>
      <c r="O81" s="1"/>
    </row>
    <row r="82" spans="1:15" ht="36.6" customHeight="1">
      <c r="A82" s="10">
        <v>1</v>
      </c>
      <c r="B82" s="33" t="s">
        <v>2166</v>
      </c>
      <c r="C82" s="41" t="s">
        <v>28</v>
      </c>
      <c r="D82" s="41" t="s">
        <v>4031</v>
      </c>
      <c r="E82" s="41" t="s">
        <v>442</v>
      </c>
      <c r="F82" s="41">
        <v>51998335999</v>
      </c>
      <c r="G82" s="41" t="s">
        <v>53</v>
      </c>
      <c r="H82" s="8" t="s">
        <v>33</v>
      </c>
      <c r="I82" s="70"/>
      <c r="J82" s="70"/>
      <c r="K82" s="41" t="s">
        <v>55</v>
      </c>
      <c r="L82" s="41" t="s">
        <v>128</v>
      </c>
      <c r="M82" s="9" t="s">
        <v>4032</v>
      </c>
      <c r="N82" s="8"/>
      <c r="O82" s="1"/>
    </row>
    <row r="83" spans="1:15" ht="36.6" customHeight="1">
      <c r="A83" s="10">
        <v>1</v>
      </c>
      <c r="B83" s="33" t="s">
        <v>2166</v>
      </c>
      <c r="C83" s="41" t="s">
        <v>28</v>
      </c>
      <c r="D83" s="41" t="s">
        <v>4033</v>
      </c>
      <c r="E83" s="41" t="s">
        <v>1306</v>
      </c>
      <c r="F83" s="41">
        <v>51992657147</v>
      </c>
      <c r="G83" s="41" t="s">
        <v>53</v>
      </c>
      <c r="H83" s="8" t="s">
        <v>33</v>
      </c>
      <c r="I83" s="70"/>
      <c r="J83" s="70"/>
      <c r="K83" s="41" t="s">
        <v>55</v>
      </c>
      <c r="L83" s="41" t="s">
        <v>80</v>
      </c>
      <c r="M83" s="9" t="s">
        <v>2199</v>
      </c>
      <c r="N83" s="8"/>
      <c r="O83" s="1"/>
    </row>
    <row r="84" spans="1:15" ht="36.6" customHeight="1">
      <c r="A84" s="10">
        <v>1</v>
      </c>
      <c r="B84" s="33" t="s">
        <v>2166</v>
      </c>
      <c r="C84" s="41" t="s">
        <v>28</v>
      </c>
      <c r="D84" s="41" t="s">
        <v>4034</v>
      </c>
      <c r="E84" s="41" t="s">
        <v>4035</v>
      </c>
      <c r="F84" s="41">
        <v>51996007407</v>
      </c>
      <c r="G84" s="41" t="s">
        <v>91</v>
      </c>
      <c r="H84" s="8" t="s">
        <v>67</v>
      </c>
      <c r="I84" s="70"/>
      <c r="J84" s="70"/>
      <c r="K84" s="41" t="s">
        <v>49</v>
      </c>
      <c r="L84" s="41" t="s">
        <v>61</v>
      </c>
      <c r="M84" s="68" t="s">
        <v>4036</v>
      </c>
      <c r="N84" s="8"/>
      <c r="O84" s="1"/>
    </row>
    <row r="85" spans="1:15" ht="36.6" customHeight="1">
      <c r="A85" s="10">
        <v>1</v>
      </c>
      <c r="B85" s="33" t="s">
        <v>2166</v>
      </c>
      <c r="C85" s="41" t="s">
        <v>28</v>
      </c>
      <c r="D85" s="41" t="s">
        <v>4037</v>
      </c>
      <c r="E85" s="41" t="s">
        <v>759</v>
      </c>
      <c r="F85" s="41" t="s">
        <v>4038</v>
      </c>
      <c r="G85" s="41" t="s">
        <v>280</v>
      </c>
      <c r="H85" s="8" t="s">
        <v>33</v>
      </c>
      <c r="I85" s="70"/>
      <c r="J85" s="70"/>
      <c r="K85" s="41" t="s">
        <v>55</v>
      </c>
      <c r="L85" s="41" t="s">
        <v>61</v>
      </c>
      <c r="M85" s="9" t="s">
        <v>4039</v>
      </c>
      <c r="N85" s="8"/>
      <c r="O85" s="1"/>
    </row>
    <row r="86" spans="1:15" ht="36.6" customHeight="1">
      <c r="A86" s="10">
        <v>1</v>
      </c>
      <c r="B86" s="33" t="s">
        <v>2166</v>
      </c>
      <c r="C86" s="41" t="s">
        <v>28</v>
      </c>
      <c r="D86" s="41" t="s">
        <v>4040</v>
      </c>
      <c r="E86" s="41" t="s">
        <v>4041</v>
      </c>
      <c r="F86" s="41">
        <v>51986821808</v>
      </c>
      <c r="G86" s="41" t="s">
        <v>243</v>
      </c>
      <c r="H86" s="8" t="s">
        <v>33</v>
      </c>
      <c r="I86" s="70"/>
      <c r="J86" s="70"/>
      <c r="K86" s="41" t="s">
        <v>49</v>
      </c>
      <c r="L86" s="41" t="s">
        <v>128</v>
      </c>
      <c r="M86" s="68" t="s">
        <v>4042</v>
      </c>
      <c r="N86" s="8"/>
      <c r="O86" s="1"/>
    </row>
    <row r="87" spans="1:15" ht="36.6" customHeight="1">
      <c r="A87" s="10">
        <v>1</v>
      </c>
      <c r="B87" s="33" t="s">
        <v>2166</v>
      </c>
      <c r="C87" s="41" t="s">
        <v>28</v>
      </c>
      <c r="D87" s="41" t="s">
        <v>4043</v>
      </c>
      <c r="E87" s="41" t="s">
        <v>145</v>
      </c>
      <c r="F87" s="41">
        <v>51985408655</v>
      </c>
      <c r="G87" s="41" t="s">
        <v>85</v>
      </c>
      <c r="H87" s="8" t="s">
        <v>33</v>
      </c>
      <c r="I87" s="70" t="s">
        <v>54</v>
      </c>
      <c r="J87" s="70"/>
      <c r="K87" s="41" t="s">
        <v>55</v>
      </c>
      <c r="L87" s="41" t="s">
        <v>128</v>
      </c>
      <c r="M87" s="9" t="s">
        <v>4044</v>
      </c>
      <c r="N87" s="8"/>
      <c r="O87" s="1"/>
    </row>
    <row r="88" spans="1:15" ht="36.6" customHeight="1">
      <c r="A88" s="10">
        <v>1</v>
      </c>
      <c r="B88" s="33" t="s">
        <v>2166</v>
      </c>
      <c r="C88" s="41" t="s">
        <v>28</v>
      </c>
      <c r="D88" s="41" t="s">
        <v>4045</v>
      </c>
      <c r="E88" s="41" t="s">
        <v>363</v>
      </c>
      <c r="F88" s="41">
        <v>51985064398</v>
      </c>
      <c r="G88" s="41" t="s">
        <v>66</v>
      </c>
      <c r="H88" s="8" t="s">
        <v>67</v>
      </c>
      <c r="I88" s="70"/>
      <c r="J88" s="70"/>
      <c r="K88" s="41" t="s">
        <v>49</v>
      </c>
      <c r="L88" s="41" t="s">
        <v>80</v>
      </c>
      <c r="M88" s="9" t="s">
        <v>4046</v>
      </c>
      <c r="N88" s="8"/>
      <c r="O88" s="1"/>
    </row>
    <row r="89" spans="1:15" ht="36.6" customHeight="1">
      <c r="A89" s="10">
        <v>1</v>
      </c>
      <c r="B89" s="33" t="s">
        <v>2166</v>
      </c>
      <c r="C89" s="41" t="s">
        <v>28</v>
      </c>
      <c r="D89" s="41" t="s">
        <v>4047</v>
      </c>
      <c r="E89" s="41" t="s">
        <v>145</v>
      </c>
      <c r="F89" s="41">
        <v>51997877915</v>
      </c>
      <c r="G89" s="41" t="s">
        <v>53</v>
      </c>
      <c r="H89" s="8" t="s">
        <v>33</v>
      </c>
      <c r="I89" s="70"/>
      <c r="J89" s="70"/>
      <c r="K89" s="41" t="s">
        <v>49</v>
      </c>
      <c r="L89" s="41" t="s">
        <v>128</v>
      </c>
      <c r="M89" s="9" t="s">
        <v>4048</v>
      </c>
      <c r="N89" s="8"/>
      <c r="O89" s="1"/>
    </row>
    <row r="90" spans="1:15" ht="36.6" customHeight="1">
      <c r="A90" s="10">
        <v>1</v>
      </c>
      <c r="B90" s="33" t="s">
        <v>2166</v>
      </c>
      <c r="C90" s="41" t="s">
        <v>28</v>
      </c>
      <c r="D90" s="41" t="s">
        <v>4049</v>
      </c>
      <c r="E90" s="41" t="s">
        <v>705</v>
      </c>
      <c r="F90" s="41">
        <v>51995344951</v>
      </c>
      <c r="G90" s="41" t="s">
        <v>53</v>
      </c>
      <c r="H90" s="8" t="s">
        <v>33</v>
      </c>
      <c r="I90" s="70"/>
      <c r="J90" s="70"/>
      <c r="K90" s="41" t="s">
        <v>49</v>
      </c>
      <c r="L90" s="41" t="s">
        <v>111</v>
      </c>
      <c r="M90" s="9" t="s">
        <v>4050</v>
      </c>
      <c r="N90" s="8"/>
      <c r="O90" s="1"/>
    </row>
    <row r="91" spans="1:15" ht="36.6" customHeight="1">
      <c r="A91" s="10">
        <v>1</v>
      </c>
      <c r="B91" s="33" t="s">
        <v>2166</v>
      </c>
      <c r="C91" s="41" t="s">
        <v>28</v>
      </c>
      <c r="D91" s="41" t="s">
        <v>4051</v>
      </c>
      <c r="E91" s="41" t="s">
        <v>2563</v>
      </c>
      <c r="F91" s="41">
        <v>55996981505</v>
      </c>
      <c r="G91" s="41" t="s">
        <v>1236</v>
      </c>
      <c r="H91" s="8" t="s">
        <v>33</v>
      </c>
      <c r="I91" s="71"/>
      <c r="J91" s="71"/>
      <c r="K91" s="41" t="s">
        <v>49</v>
      </c>
      <c r="L91" s="41" t="s">
        <v>111</v>
      </c>
      <c r="M91" s="9" t="s">
        <v>4052</v>
      </c>
      <c r="N91" s="8"/>
      <c r="O91" s="1"/>
    </row>
    <row r="92" spans="1:15" ht="36.6" customHeight="1">
      <c r="A92" s="10">
        <v>1</v>
      </c>
      <c r="B92" s="33" t="s">
        <v>2166</v>
      </c>
      <c r="C92" s="41" t="s">
        <v>28</v>
      </c>
      <c r="D92" s="41" t="s">
        <v>3941</v>
      </c>
      <c r="E92" s="41" t="s">
        <v>4053</v>
      </c>
      <c r="F92" s="41">
        <v>51985026965</v>
      </c>
      <c r="G92" s="41" t="s">
        <v>66</v>
      </c>
      <c r="H92" s="8" t="s">
        <v>67</v>
      </c>
      <c r="I92" s="71"/>
      <c r="J92" s="71"/>
      <c r="K92" s="41" t="s">
        <v>55</v>
      </c>
      <c r="L92" s="41" t="s">
        <v>61</v>
      </c>
      <c r="M92" s="9" t="s">
        <v>689</v>
      </c>
      <c r="N92" s="8"/>
      <c r="O92" s="1"/>
    </row>
    <row r="93" spans="1:15" ht="36.6" customHeight="1">
      <c r="A93" s="10">
        <v>1</v>
      </c>
      <c r="B93" s="33" t="s">
        <v>2166</v>
      </c>
      <c r="C93" s="41" t="s">
        <v>28</v>
      </c>
      <c r="D93" s="41" t="s">
        <v>4054</v>
      </c>
      <c r="E93" s="41" t="s">
        <v>298</v>
      </c>
      <c r="F93" s="41" t="s">
        <v>4055</v>
      </c>
      <c r="G93" s="41" t="s">
        <v>501</v>
      </c>
      <c r="H93" s="8" t="s">
        <v>67</v>
      </c>
      <c r="I93" s="71"/>
      <c r="J93" s="71"/>
      <c r="K93" s="41" t="s">
        <v>2050</v>
      </c>
      <c r="L93" s="41" t="s">
        <v>128</v>
      </c>
      <c r="M93" s="9" t="s">
        <v>4009</v>
      </c>
      <c r="N93" s="8"/>
      <c r="O93" s="1"/>
    </row>
    <row r="94" spans="1:15" ht="36.6" customHeight="1">
      <c r="A94" s="10">
        <v>1</v>
      </c>
      <c r="B94" s="33" t="s">
        <v>2166</v>
      </c>
      <c r="C94" s="41" t="s">
        <v>28</v>
      </c>
      <c r="D94" s="41" t="s">
        <v>4056</v>
      </c>
      <c r="E94" s="41" t="s">
        <v>2563</v>
      </c>
      <c r="F94" s="41">
        <v>51991164632</v>
      </c>
      <c r="G94" s="41" t="s">
        <v>1236</v>
      </c>
      <c r="H94" s="8" t="s">
        <v>33</v>
      </c>
      <c r="I94" s="71"/>
      <c r="J94" s="71"/>
      <c r="K94" s="41" t="s">
        <v>49</v>
      </c>
      <c r="L94" s="41" t="s">
        <v>128</v>
      </c>
      <c r="M94" s="9" t="s">
        <v>4057</v>
      </c>
      <c r="N94" s="8"/>
      <c r="O94" s="1"/>
    </row>
    <row r="95" spans="1:15" ht="36.6" customHeight="1">
      <c r="A95" s="10">
        <v>1</v>
      </c>
      <c r="B95" s="33" t="s">
        <v>2166</v>
      </c>
      <c r="C95" s="41" t="s">
        <v>28</v>
      </c>
      <c r="D95" s="41" t="s">
        <v>4058</v>
      </c>
      <c r="E95" s="41" t="s">
        <v>2563</v>
      </c>
      <c r="F95" s="41">
        <v>51996152193</v>
      </c>
      <c r="G95" s="41" t="s">
        <v>1236</v>
      </c>
      <c r="H95" s="8" t="s">
        <v>33</v>
      </c>
      <c r="I95" s="71"/>
      <c r="J95" s="71"/>
      <c r="K95" s="41" t="s">
        <v>55</v>
      </c>
      <c r="L95" s="41" t="s">
        <v>56</v>
      </c>
      <c r="M95" s="9" t="s">
        <v>4059</v>
      </c>
      <c r="N95" s="8"/>
      <c r="O95" s="1"/>
    </row>
    <row r="96" spans="1:15" ht="36.6" hidden="1" customHeight="1">
      <c r="A96" s="10">
        <v>1</v>
      </c>
      <c r="B96" s="33" t="s">
        <v>2166</v>
      </c>
      <c r="C96" s="41" t="s">
        <v>93</v>
      </c>
      <c r="D96" s="41" t="s">
        <v>4060</v>
      </c>
      <c r="E96" s="8" t="s">
        <v>4061</v>
      </c>
      <c r="F96" s="41" t="s">
        <v>4062</v>
      </c>
      <c r="G96" s="41" t="s">
        <v>507</v>
      </c>
      <c r="H96" s="8" t="s">
        <v>67</v>
      </c>
      <c r="I96" s="70"/>
      <c r="J96" s="70"/>
      <c r="K96" s="41" t="s">
        <v>2050</v>
      </c>
      <c r="L96" s="41"/>
      <c r="M96" s="9" t="s">
        <v>4063</v>
      </c>
      <c r="N96" s="8"/>
      <c r="O96" s="1"/>
    </row>
    <row r="97" spans="1:15" ht="36.6" hidden="1" customHeight="1">
      <c r="A97" s="10">
        <v>1</v>
      </c>
      <c r="B97" s="33" t="s">
        <v>2166</v>
      </c>
      <c r="C97" s="41" t="s">
        <v>93</v>
      </c>
      <c r="D97" s="41" t="s">
        <v>2606</v>
      </c>
      <c r="E97" s="41" t="s">
        <v>136</v>
      </c>
      <c r="F97" s="41">
        <v>51984363604</v>
      </c>
      <c r="G97" s="41" t="s">
        <v>66</v>
      </c>
      <c r="H97" s="8" t="s">
        <v>67</v>
      </c>
      <c r="I97" s="70"/>
      <c r="J97" s="70"/>
      <c r="K97" s="41" t="s">
        <v>55</v>
      </c>
      <c r="L97" s="41"/>
      <c r="M97" s="68" t="s">
        <v>4064</v>
      </c>
      <c r="N97" s="8"/>
      <c r="O97" s="1"/>
    </row>
    <row r="98" spans="1:15" ht="36.6" customHeight="1">
      <c r="A98" s="10">
        <v>1</v>
      </c>
      <c r="B98" s="33" t="s">
        <v>2166</v>
      </c>
      <c r="C98" s="41" t="s">
        <v>28</v>
      </c>
      <c r="D98" s="41" t="s">
        <v>4065</v>
      </c>
      <c r="E98" s="41" t="s">
        <v>39</v>
      </c>
      <c r="F98" s="41">
        <v>51998821862</v>
      </c>
      <c r="G98" s="41" t="s">
        <v>41</v>
      </c>
      <c r="H98" s="8" t="s">
        <v>33</v>
      </c>
      <c r="I98" s="70"/>
      <c r="J98" s="70"/>
      <c r="K98" s="41" t="s">
        <v>49</v>
      </c>
      <c r="L98" s="41" t="s">
        <v>61</v>
      </c>
      <c r="M98" s="9" t="s">
        <v>4066</v>
      </c>
      <c r="N98" s="8"/>
      <c r="O98" s="1"/>
    </row>
    <row r="99" spans="1:15" ht="36.6" hidden="1" customHeight="1">
      <c r="A99" s="10">
        <v>1</v>
      </c>
      <c r="B99" s="33" t="s">
        <v>2166</v>
      </c>
      <c r="C99" s="41" t="s">
        <v>93</v>
      </c>
      <c r="D99" s="41" t="s">
        <v>3109</v>
      </c>
      <c r="E99" s="41" t="s">
        <v>2860</v>
      </c>
      <c r="F99" s="41">
        <v>51982602658</v>
      </c>
      <c r="G99" s="41" t="s">
        <v>91</v>
      </c>
      <c r="H99" s="8" t="s">
        <v>67</v>
      </c>
      <c r="I99" s="71"/>
      <c r="J99" s="71"/>
      <c r="K99" s="41" t="s">
        <v>49</v>
      </c>
      <c r="L99" s="41"/>
      <c r="M99" s="9" t="s">
        <v>4067</v>
      </c>
      <c r="N99" s="8"/>
      <c r="O99" s="1"/>
    </row>
    <row r="100" spans="1:15" ht="36.6" hidden="1" customHeight="1">
      <c r="A100" s="10">
        <v>1</v>
      </c>
      <c r="B100" s="33" t="s">
        <v>2166</v>
      </c>
      <c r="C100" s="41" t="s">
        <v>93</v>
      </c>
      <c r="D100" s="41" t="s">
        <v>4068</v>
      </c>
      <c r="E100" s="41" t="s">
        <v>557</v>
      </c>
      <c r="F100" s="41">
        <v>51980561617</v>
      </c>
      <c r="G100" s="41" t="s">
        <v>85</v>
      </c>
      <c r="H100" s="8" t="s">
        <v>33</v>
      </c>
      <c r="I100" s="71"/>
      <c r="J100" s="71"/>
      <c r="K100" s="41" t="s">
        <v>55</v>
      </c>
      <c r="L100" s="41"/>
      <c r="M100" s="9" t="s">
        <v>4069</v>
      </c>
      <c r="N100" s="8"/>
      <c r="O100" s="1"/>
    </row>
    <row r="101" spans="1:15" ht="36.6" hidden="1" customHeight="1">
      <c r="A101" s="10">
        <v>1</v>
      </c>
      <c r="B101" s="33" t="s">
        <v>2166</v>
      </c>
      <c r="C101" s="41" t="s">
        <v>93</v>
      </c>
      <c r="D101" s="41" t="s">
        <v>4070</v>
      </c>
      <c r="E101" s="41" t="s">
        <v>165</v>
      </c>
      <c r="F101" s="41">
        <v>51994014360</v>
      </c>
      <c r="G101" s="41" t="s">
        <v>66</v>
      </c>
      <c r="H101" s="8" t="s">
        <v>67</v>
      </c>
      <c r="I101" s="71"/>
      <c r="J101" s="71"/>
      <c r="K101" s="41" t="s">
        <v>49</v>
      </c>
      <c r="L101" s="41"/>
      <c r="M101" s="9" t="s">
        <v>4071</v>
      </c>
      <c r="N101" s="8"/>
      <c r="O101" s="1"/>
    </row>
    <row r="102" spans="1:15" ht="36.6" hidden="1" customHeight="1">
      <c r="A102" s="10">
        <v>1</v>
      </c>
      <c r="B102" s="33" t="s">
        <v>2166</v>
      </c>
      <c r="C102" s="41" t="s">
        <v>93</v>
      </c>
      <c r="D102" s="41" t="s">
        <v>4072</v>
      </c>
      <c r="E102" s="41" t="s">
        <v>2754</v>
      </c>
      <c r="F102" s="41">
        <v>51996269625</v>
      </c>
      <c r="G102" s="41" t="s">
        <v>79</v>
      </c>
      <c r="H102" s="8" t="s">
        <v>47</v>
      </c>
      <c r="I102" s="71"/>
      <c r="J102" s="71"/>
      <c r="K102" s="41" t="s">
        <v>49</v>
      </c>
      <c r="L102" s="41"/>
      <c r="M102" s="9" t="s">
        <v>4073</v>
      </c>
      <c r="N102" s="8"/>
      <c r="O102" s="1"/>
    </row>
    <row r="103" spans="1:15" ht="36.6" hidden="1" customHeight="1">
      <c r="A103" s="10">
        <v>1</v>
      </c>
      <c r="B103" s="33" t="s">
        <v>2166</v>
      </c>
      <c r="C103" s="41" t="s">
        <v>93</v>
      </c>
      <c r="D103" s="41" t="s">
        <v>4074</v>
      </c>
      <c r="E103" s="41" t="s">
        <v>430</v>
      </c>
      <c r="F103" s="41">
        <v>51990098680</v>
      </c>
      <c r="G103" s="41" t="s">
        <v>66</v>
      </c>
      <c r="H103" s="8" t="s">
        <v>67</v>
      </c>
      <c r="I103" s="71"/>
      <c r="J103" s="71"/>
      <c r="K103" s="41" t="s">
        <v>55</v>
      </c>
      <c r="L103" s="41"/>
      <c r="M103" s="9" t="s">
        <v>4075</v>
      </c>
      <c r="N103" s="8"/>
      <c r="O103" s="1"/>
    </row>
    <row r="104" spans="1:15" ht="36.6" hidden="1" customHeight="1">
      <c r="A104" s="10">
        <v>1</v>
      </c>
      <c r="B104" s="33" t="s">
        <v>4076</v>
      </c>
      <c r="C104" s="41" t="s">
        <v>93</v>
      </c>
      <c r="D104" s="41" t="s">
        <v>4077</v>
      </c>
      <c r="E104" s="41" t="s">
        <v>967</v>
      </c>
      <c r="F104" s="41">
        <v>51995824951</v>
      </c>
      <c r="G104" s="41" t="s">
        <v>53</v>
      </c>
      <c r="H104" s="8" t="s">
        <v>33</v>
      </c>
      <c r="I104" s="71"/>
      <c r="J104" s="71"/>
      <c r="K104" s="41" t="s">
        <v>55</v>
      </c>
      <c r="L104" s="41"/>
      <c r="M104" s="9" t="s">
        <v>4078</v>
      </c>
      <c r="N104" s="8"/>
      <c r="O104" s="1"/>
    </row>
    <row r="105" spans="1:15" ht="36.6" customHeight="1">
      <c r="A105" s="8">
        <v>1</v>
      </c>
      <c r="B105" s="33" t="s">
        <v>4076</v>
      </c>
      <c r="C105" s="41" t="s">
        <v>28</v>
      </c>
      <c r="D105" s="41" t="s">
        <v>4079</v>
      </c>
      <c r="E105" s="41" t="s">
        <v>39</v>
      </c>
      <c r="F105" s="41">
        <v>51995030098</v>
      </c>
      <c r="G105" s="41" t="s">
        <v>41</v>
      </c>
      <c r="H105" s="41" t="s">
        <v>33</v>
      </c>
      <c r="I105" s="33"/>
      <c r="J105" s="33"/>
      <c r="K105" s="41" t="s">
        <v>55</v>
      </c>
      <c r="L105" s="41" t="s">
        <v>128</v>
      </c>
      <c r="M105" s="68" t="s">
        <v>4080</v>
      </c>
      <c r="N105" s="8"/>
      <c r="O105" s="1"/>
    </row>
    <row r="106" spans="1:15" ht="36.6" customHeight="1">
      <c r="A106" s="8">
        <v>1</v>
      </c>
      <c r="B106" s="33" t="s">
        <v>4076</v>
      </c>
      <c r="C106" s="41" t="s">
        <v>28</v>
      </c>
      <c r="D106" s="41" t="s">
        <v>4081</v>
      </c>
      <c r="E106" s="41" t="s">
        <v>3166</v>
      </c>
      <c r="F106" s="41">
        <v>51996708982</v>
      </c>
      <c r="G106" s="41" t="s">
        <v>280</v>
      </c>
      <c r="H106" s="41" t="s">
        <v>33</v>
      </c>
      <c r="I106" s="33" t="s">
        <v>54</v>
      </c>
      <c r="J106" s="33"/>
      <c r="K106" s="41" t="s">
        <v>55</v>
      </c>
      <c r="L106" s="41" t="s">
        <v>61</v>
      </c>
      <c r="M106" s="68" t="s">
        <v>4082</v>
      </c>
      <c r="N106" s="8"/>
      <c r="O106" s="1"/>
    </row>
    <row r="107" spans="1:15" ht="36.6" customHeight="1">
      <c r="A107" s="10">
        <v>1</v>
      </c>
      <c r="B107" s="33" t="s">
        <v>4076</v>
      </c>
      <c r="C107" s="41" t="s">
        <v>28</v>
      </c>
      <c r="D107" s="41" t="s">
        <v>4083</v>
      </c>
      <c r="E107" s="41" t="s">
        <v>39</v>
      </c>
      <c r="F107" s="41">
        <v>51980419792</v>
      </c>
      <c r="G107" s="41" t="s">
        <v>41</v>
      </c>
      <c r="H107" s="8" t="s">
        <v>33</v>
      </c>
      <c r="I107" s="70" t="s">
        <v>54</v>
      </c>
      <c r="J107" s="70"/>
      <c r="K107" s="41" t="s">
        <v>55</v>
      </c>
      <c r="L107" s="41" t="s">
        <v>61</v>
      </c>
      <c r="M107" s="68" t="s">
        <v>4084</v>
      </c>
      <c r="N107" s="8"/>
      <c r="O107" s="1"/>
    </row>
    <row r="108" spans="1:15" ht="36.6" customHeight="1">
      <c r="A108" s="10">
        <v>1</v>
      </c>
      <c r="B108" s="33" t="s">
        <v>4076</v>
      </c>
      <c r="C108" s="41" t="s">
        <v>28</v>
      </c>
      <c r="D108" s="41" t="s">
        <v>4085</v>
      </c>
      <c r="E108" s="41" t="s">
        <v>39</v>
      </c>
      <c r="F108" s="41">
        <v>51993428792</v>
      </c>
      <c r="G108" s="41" t="s">
        <v>41</v>
      </c>
      <c r="H108" s="8" t="s">
        <v>33</v>
      </c>
      <c r="I108" s="70"/>
      <c r="J108" s="70"/>
      <c r="K108" s="41" t="s">
        <v>49</v>
      </c>
      <c r="L108" s="41" t="s">
        <v>128</v>
      </c>
      <c r="M108" s="9" t="s">
        <v>4086</v>
      </c>
      <c r="N108" s="8"/>
      <c r="O108" s="1"/>
    </row>
    <row r="109" spans="1:15" ht="36.6" customHeight="1">
      <c r="A109" s="10">
        <v>1</v>
      </c>
      <c r="B109" s="33" t="s">
        <v>4076</v>
      </c>
      <c r="C109" s="41" t="s">
        <v>28</v>
      </c>
      <c r="D109" s="41" t="s">
        <v>4087</v>
      </c>
      <c r="E109" s="41" t="s">
        <v>2333</v>
      </c>
      <c r="F109" s="41">
        <v>51998471141</v>
      </c>
      <c r="G109" s="41" t="s">
        <v>756</v>
      </c>
      <c r="H109" s="8" t="s">
        <v>67</v>
      </c>
      <c r="I109" s="70"/>
      <c r="J109" s="70"/>
      <c r="K109" s="41" t="s">
        <v>55</v>
      </c>
      <c r="L109" s="41" t="s">
        <v>128</v>
      </c>
      <c r="M109" s="9" t="s">
        <v>4088</v>
      </c>
      <c r="N109" s="8"/>
      <c r="O109" s="1"/>
    </row>
    <row r="110" spans="1:15" ht="36.6" hidden="1" customHeight="1">
      <c r="A110" s="10">
        <v>1</v>
      </c>
      <c r="B110" s="33" t="s">
        <v>4076</v>
      </c>
      <c r="C110" s="41" t="s">
        <v>93</v>
      </c>
      <c r="D110" s="41" t="s">
        <v>4089</v>
      </c>
      <c r="E110" s="41" t="s">
        <v>4090</v>
      </c>
      <c r="F110" s="41">
        <v>51998831048</v>
      </c>
      <c r="G110" s="41" t="s">
        <v>85</v>
      </c>
      <c r="H110" s="8" t="s">
        <v>33</v>
      </c>
      <c r="I110" s="70"/>
      <c r="J110" s="70"/>
      <c r="K110" s="41" t="s">
        <v>49</v>
      </c>
      <c r="L110" s="41"/>
      <c r="M110" s="9" t="s">
        <v>4091</v>
      </c>
      <c r="N110" s="8"/>
      <c r="O110" s="1"/>
    </row>
    <row r="111" spans="1:15" ht="36.6" hidden="1" customHeight="1">
      <c r="A111" s="10">
        <v>1</v>
      </c>
      <c r="B111" s="33" t="s">
        <v>4076</v>
      </c>
      <c r="C111" s="41" t="s">
        <v>93</v>
      </c>
      <c r="D111" s="41" t="s">
        <v>4092</v>
      </c>
      <c r="E111" s="41" t="s">
        <v>91</v>
      </c>
      <c r="F111" s="41">
        <v>51981995013</v>
      </c>
      <c r="G111" s="41" t="s">
        <v>91</v>
      </c>
      <c r="H111" s="8" t="s">
        <v>67</v>
      </c>
      <c r="I111" s="70"/>
      <c r="J111" s="70"/>
      <c r="K111" s="41" t="s">
        <v>55</v>
      </c>
      <c r="L111" s="41"/>
      <c r="M111" s="9" t="s">
        <v>4093</v>
      </c>
      <c r="N111" s="8"/>
      <c r="O111" s="1"/>
    </row>
    <row r="112" spans="1:15" ht="36.6" customHeight="1">
      <c r="A112" s="10">
        <v>1</v>
      </c>
      <c r="B112" s="33" t="s">
        <v>4076</v>
      </c>
      <c r="C112" s="41" t="s">
        <v>28</v>
      </c>
      <c r="D112" s="41" t="s">
        <v>4094</v>
      </c>
      <c r="E112" s="41" t="s">
        <v>3839</v>
      </c>
      <c r="F112" s="41">
        <v>51994022577</v>
      </c>
      <c r="G112" s="41" t="s">
        <v>1810</v>
      </c>
      <c r="H112" s="8" t="s">
        <v>33</v>
      </c>
      <c r="I112" s="70"/>
      <c r="J112" s="70"/>
      <c r="K112" s="41" t="s">
        <v>55</v>
      </c>
      <c r="L112" s="41" t="s">
        <v>80</v>
      </c>
      <c r="M112" s="9" t="s">
        <v>4095</v>
      </c>
      <c r="N112" s="8"/>
      <c r="O112" s="1"/>
    </row>
    <row r="113" spans="1:15" ht="36.6" customHeight="1">
      <c r="A113" s="10">
        <v>1</v>
      </c>
      <c r="B113" s="33" t="s">
        <v>4076</v>
      </c>
      <c r="C113" s="41" t="s">
        <v>28</v>
      </c>
      <c r="D113" s="41" t="s">
        <v>4096</v>
      </c>
      <c r="E113" s="41" t="s">
        <v>150</v>
      </c>
      <c r="F113" s="41">
        <v>51985459668</v>
      </c>
      <c r="G113" s="41" t="s">
        <v>91</v>
      </c>
      <c r="H113" s="8" t="s">
        <v>67</v>
      </c>
      <c r="I113" s="70"/>
      <c r="J113" s="70"/>
      <c r="K113" s="41" t="s">
        <v>49</v>
      </c>
      <c r="L113" s="41" t="s">
        <v>61</v>
      </c>
      <c r="M113" s="9" t="s">
        <v>4097</v>
      </c>
      <c r="N113" s="8"/>
      <c r="O113" s="1"/>
    </row>
    <row r="114" spans="1:15" ht="36.6" customHeight="1">
      <c r="A114" s="75">
        <v>1</v>
      </c>
      <c r="B114" s="33" t="s">
        <v>4076</v>
      </c>
      <c r="C114" s="41" t="s">
        <v>28</v>
      </c>
      <c r="D114" s="41" t="s">
        <v>4098</v>
      </c>
      <c r="E114" s="41" t="s">
        <v>4099</v>
      </c>
      <c r="F114" s="41">
        <v>51980574943</v>
      </c>
      <c r="G114" s="41" t="s">
        <v>4100</v>
      </c>
      <c r="H114" s="8" t="s">
        <v>33</v>
      </c>
      <c r="I114" s="70" t="s">
        <v>54</v>
      </c>
      <c r="J114" s="70"/>
      <c r="K114" s="41" t="s">
        <v>55</v>
      </c>
      <c r="L114" s="41" t="s">
        <v>61</v>
      </c>
      <c r="M114" s="9" t="s">
        <v>4101</v>
      </c>
      <c r="N114" s="8"/>
      <c r="O114" s="1"/>
    </row>
    <row r="115" spans="1:15" ht="36.6" customHeight="1">
      <c r="A115" s="75">
        <v>1</v>
      </c>
      <c r="B115" s="33" t="s">
        <v>4076</v>
      </c>
      <c r="C115" s="41" t="s">
        <v>28</v>
      </c>
      <c r="D115" s="41" t="s">
        <v>4102</v>
      </c>
      <c r="E115" s="41" t="s">
        <v>1036</v>
      </c>
      <c r="F115" s="41">
        <v>51994582527</v>
      </c>
      <c r="G115" s="41" t="s">
        <v>66</v>
      </c>
      <c r="H115" s="8" t="s">
        <v>67</v>
      </c>
      <c r="I115" s="70"/>
      <c r="J115" s="70"/>
      <c r="K115" s="41" t="s">
        <v>49</v>
      </c>
      <c r="L115" s="41" t="s">
        <v>35</v>
      </c>
      <c r="M115" s="9" t="s">
        <v>4103</v>
      </c>
      <c r="N115" s="8"/>
      <c r="O115" s="1"/>
    </row>
    <row r="116" spans="1:15" ht="36.6" customHeight="1">
      <c r="A116" s="10">
        <v>1</v>
      </c>
      <c r="B116" s="33" t="s">
        <v>4076</v>
      </c>
      <c r="C116" s="41" t="s">
        <v>28</v>
      </c>
      <c r="D116" s="41" t="s">
        <v>4104</v>
      </c>
      <c r="E116" s="41" t="s">
        <v>2603</v>
      </c>
      <c r="F116" s="41" t="s">
        <v>4105</v>
      </c>
      <c r="G116" s="41" t="s">
        <v>559</v>
      </c>
      <c r="H116" s="8" t="s">
        <v>33</v>
      </c>
      <c r="I116" s="70"/>
      <c r="J116" s="70"/>
      <c r="K116" s="41" t="s">
        <v>2050</v>
      </c>
      <c r="L116" s="41" t="s">
        <v>128</v>
      </c>
      <c r="M116" s="9" t="s">
        <v>4009</v>
      </c>
      <c r="N116" s="8"/>
      <c r="O116" s="1"/>
    </row>
    <row r="117" spans="1:15" ht="36.6" customHeight="1">
      <c r="A117" s="10">
        <v>1</v>
      </c>
      <c r="B117" s="33" t="s">
        <v>4076</v>
      </c>
      <c r="C117" s="41" t="s">
        <v>28</v>
      </c>
      <c r="D117" s="41" t="s">
        <v>4106</v>
      </c>
      <c r="E117" s="41" t="s">
        <v>841</v>
      </c>
      <c r="F117" s="41" t="s">
        <v>4107</v>
      </c>
      <c r="G117" s="41" t="s">
        <v>501</v>
      </c>
      <c r="H117" s="8" t="s">
        <v>67</v>
      </c>
      <c r="I117" s="70" t="s">
        <v>2760</v>
      </c>
      <c r="J117" s="70"/>
      <c r="K117" s="41" t="s">
        <v>2050</v>
      </c>
      <c r="L117" s="41" t="s">
        <v>128</v>
      </c>
      <c r="M117" s="9" t="s">
        <v>4108</v>
      </c>
      <c r="N117" s="8"/>
      <c r="O117" s="1"/>
    </row>
    <row r="118" spans="1:15" ht="36.6" customHeight="1">
      <c r="A118" s="10">
        <v>1</v>
      </c>
      <c r="B118" s="33" t="s">
        <v>4076</v>
      </c>
      <c r="C118" s="41" t="s">
        <v>28</v>
      </c>
      <c r="D118" s="41" t="s">
        <v>4109</v>
      </c>
      <c r="E118" s="41" t="s">
        <v>83</v>
      </c>
      <c r="F118" s="41">
        <v>51980889919</v>
      </c>
      <c r="G118" s="41" t="s">
        <v>85</v>
      </c>
      <c r="H118" s="8" t="s">
        <v>33</v>
      </c>
      <c r="I118" s="70"/>
      <c r="J118" s="70"/>
      <c r="K118" s="41" t="s">
        <v>49</v>
      </c>
      <c r="L118" s="41" t="s">
        <v>80</v>
      </c>
      <c r="M118" s="9" t="s">
        <v>4110</v>
      </c>
      <c r="N118" s="8"/>
      <c r="O118" s="1"/>
    </row>
    <row r="119" spans="1:15" ht="36.6" hidden="1" customHeight="1">
      <c r="A119" s="10">
        <v>1</v>
      </c>
      <c r="B119" s="33" t="s">
        <v>4076</v>
      </c>
      <c r="C119" s="41" t="s">
        <v>93</v>
      </c>
      <c r="D119" s="41" t="s">
        <v>2395</v>
      </c>
      <c r="E119" s="41" t="s">
        <v>623</v>
      </c>
      <c r="F119" s="41">
        <v>51995157653</v>
      </c>
      <c r="G119" s="41" t="s">
        <v>4111</v>
      </c>
      <c r="H119" s="8" t="s">
        <v>33</v>
      </c>
      <c r="I119" s="70"/>
      <c r="J119" s="70"/>
      <c r="K119" s="41" t="s">
        <v>49</v>
      </c>
      <c r="L119" s="41"/>
      <c r="M119" s="9" t="s">
        <v>4112</v>
      </c>
      <c r="N119" s="8"/>
      <c r="O119" s="1"/>
    </row>
    <row r="120" spans="1:15" ht="36.6" customHeight="1">
      <c r="A120" s="10">
        <v>1</v>
      </c>
      <c r="B120" s="33" t="s">
        <v>4076</v>
      </c>
      <c r="C120" s="41" t="s">
        <v>28</v>
      </c>
      <c r="D120" s="41" t="s">
        <v>4113</v>
      </c>
      <c r="E120" s="41" t="s">
        <v>260</v>
      </c>
      <c r="F120" s="41">
        <v>51999274383</v>
      </c>
      <c r="G120" s="41" t="s">
        <v>32</v>
      </c>
      <c r="H120" s="8" t="s">
        <v>33</v>
      </c>
      <c r="I120" s="70"/>
      <c r="J120" s="70"/>
      <c r="K120" s="41" t="s">
        <v>49</v>
      </c>
      <c r="L120" s="41" t="s">
        <v>128</v>
      </c>
      <c r="M120" s="9" t="s">
        <v>4114</v>
      </c>
      <c r="N120" s="8"/>
      <c r="O120" s="1"/>
    </row>
    <row r="121" spans="1:15" ht="36.6" customHeight="1">
      <c r="A121" s="10">
        <v>1</v>
      </c>
      <c r="B121" s="33" t="s">
        <v>4076</v>
      </c>
      <c r="C121" s="41" t="s">
        <v>28</v>
      </c>
      <c r="D121" s="41" t="s">
        <v>4115</v>
      </c>
      <c r="E121" s="41" t="s">
        <v>39</v>
      </c>
      <c r="F121" s="41" t="s">
        <v>4116</v>
      </c>
      <c r="G121" s="41" t="s">
        <v>1091</v>
      </c>
      <c r="H121" s="8" t="s">
        <v>33</v>
      </c>
      <c r="I121" s="70"/>
      <c r="J121" s="70"/>
      <c r="K121" s="41" t="s">
        <v>2050</v>
      </c>
      <c r="L121" s="41" t="s">
        <v>61</v>
      </c>
      <c r="M121" s="9" t="s">
        <v>4117</v>
      </c>
      <c r="N121" s="8"/>
      <c r="O121" s="1"/>
    </row>
    <row r="122" spans="1:15" ht="36.6" customHeight="1">
      <c r="A122" s="75">
        <v>1</v>
      </c>
      <c r="B122" s="33" t="s">
        <v>3959</v>
      </c>
      <c r="C122" s="41" t="s">
        <v>28</v>
      </c>
      <c r="D122" s="41" t="s">
        <v>4118</v>
      </c>
      <c r="E122" s="41" t="s">
        <v>3434</v>
      </c>
      <c r="F122" s="41" t="s">
        <v>4119</v>
      </c>
      <c r="G122" s="41" t="s">
        <v>85</v>
      </c>
      <c r="H122" s="8" t="s">
        <v>33</v>
      </c>
      <c r="I122" s="70" t="s">
        <v>3841</v>
      </c>
      <c r="J122" s="70"/>
      <c r="K122" s="41" t="s">
        <v>55</v>
      </c>
      <c r="L122" s="41" t="s">
        <v>128</v>
      </c>
      <c r="M122" s="9" t="s">
        <v>4120</v>
      </c>
      <c r="N122" s="8"/>
      <c r="O122" s="1"/>
    </row>
    <row r="123" spans="1:15" ht="36.6" hidden="1" customHeight="1">
      <c r="A123" s="10">
        <v>1</v>
      </c>
      <c r="B123" s="33" t="s">
        <v>3959</v>
      </c>
      <c r="C123" s="41" t="s">
        <v>93</v>
      </c>
      <c r="D123" s="41" t="s">
        <v>3045</v>
      </c>
      <c r="E123" s="41" t="s">
        <v>817</v>
      </c>
      <c r="F123" s="41" t="s">
        <v>3046</v>
      </c>
      <c r="G123" s="41" t="s">
        <v>41</v>
      </c>
      <c r="H123" s="8" t="s">
        <v>33</v>
      </c>
      <c r="I123" s="70"/>
      <c r="J123" s="70"/>
      <c r="K123" s="41" t="s">
        <v>55</v>
      </c>
      <c r="L123" s="41"/>
      <c r="M123" s="9" t="s">
        <v>4121</v>
      </c>
      <c r="N123" s="8"/>
      <c r="O123" s="1"/>
    </row>
    <row r="124" spans="1:15" ht="36.6" customHeight="1">
      <c r="A124" s="75">
        <v>1</v>
      </c>
      <c r="B124" s="33" t="s">
        <v>3959</v>
      </c>
      <c r="C124" s="41" t="s">
        <v>28</v>
      </c>
      <c r="D124" s="41" t="s">
        <v>4122</v>
      </c>
      <c r="E124" s="41" t="s">
        <v>39</v>
      </c>
      <c r="F124" s="41" t="s">
        <v>4123</v>
      </c>
      <c r="G124" s="41" t="s">
        <v>1091</v>
      </c>
      <c r="H124" s="8" t="s">
        <v>33</v>
      </c>
      <c r="I124" s="70" t="s">
        <v>3959</v>
      </c>
      <c r="J124" s="70"/>
      <c r="K124" s="41" t="s">
        <v>2050</v>
      </c>
      <c r="L124" s="41" t="s">
        <v>128</v>
      </c>
      <c r="M124" s="9" t="s">
        <v>4124</v>
      </c>
      <c r="N124" s="8"/>
      <c r="O124" s="1"/>
    </row>
    <row r="125" spans="1:15" ht="36.6" hidden="1" customHeight="1">
      <c r="A125" s="75">
        <v>1</v>
      </c>
      <c r="B125" s="33" t="s">
        <v>3959</v>
      </c>
      <c r="C125" s="41" t="s">
        <v>93</v>
      </c>
      <c r="D125" s="41" t="s">
        <v>4125</v>
      </c>
      <c r="E125" s="41" t="s">
        <v>967</v>
      </c>
      <c r="F125" s="41" t="s">
        <v>4126</v>
      </c>
      <c r="G125" s="41" t="s">
        <v>395</v>
      </c>
      <c r="H125" s="8" t="s">
        <v>33</v>
      </c>
      <c r="I125" s="70"/>
      <c r="J125" s="70"/>
      <c r="K125" s="41" t="s">
        <v>2050</v>
      </c>
      <c r="L125" s="41"/>
      <c r="M125" s="9" t="s">
        <v>4063</v>
      </c>
      <c r="N125" s="8"/>
      <c r="O125" s="1"/>
    </row>
    <row r="126" spans="1:15" ht="36.6" hidden="1" customHeight="1">
      <c r="A126" s="75">
        <v>1</v>
      </c>
      <c r="B126" s="33" t="s">
        <v>3959</v>
      </c>
      <c r="C126" s="41" t="s">
        <v>93</v>
      </c>
      <c r="D126" s="41" t="s">
        <v>4127</v>
      </c>
      <c r="E126" s="41" t="s">
        <v>1403</v>
      </c>
      <c r="F126" s="41" t="s">
        <v>4128</v>
      </c>
      <c r="G126" s="41" t="s">
        <v>507</v>
      </c>
      <c r="H126" s="8" t="s">
        <v>67</v>
      </c>
      <c r="I126" s="70" t="s">
        <v>2760</v>
      </c>
      <c r="J126" s="70"/>
      <c r="K126" s="41" t="s">
        <v>2050</v>
      </c>
      <c r="L126" s="41" t="s">
        <v>61</v>
      </c>
      <c r="M126" s="9" t="s">
        <v>4117</v>
      </c>
      <c r="N126" s="8"/>
      <c r="O126" s="1"/>
    </row>
    <row r="127" spans="1:15" ht="36.6" customHeight="1">
      <c r="A127" s="75">
        <v>1</v>
      </c>
      <c r="B127" s="33" t="s">
        <v>3959</v>
      </c>
      <c r="C127" s="41" t="s">
        <v>28</v>
      </c>
      <c r="D127" s="41" t="s">
        <v>4129</v>
      </c>
      <c r="E127" s="41" t="s">
        <v>1443</v>
      </c>
      <c r="F127" s="41">
        <v>51997423326</v>
      </c>
      <c r="G127" s="41" t="s">
        <v>32</v>
      </c>
      <c r="H127" s="8" t="s">
        <v>33</v>
      </c>
      <c r="I127" s="70" t="s">
        <v>3841</v>
      </c>
      <c r="J127" s="70"/>
      <c r="K127" s="41" t="s">
        <v>55</v>
      </c>
      <c r="L127" s="41" t="s">
        <v>61</v>
      </c>
      <c r="M127" s="9" t="s">
        <v>689</v>
      </c>
      <c r="N127" s="8"/>
      <c r="O127" s="1"/>
    </row>
    <row r="128" spans="1:15" ht="36.6" hidden="1" customHeight="1">
      <c r="A128" s="75">
        <v>1</v>
      </c>
      <c r="B128" s="33" t="s">
        <v>3959</v>
      </c>
      <c r="C128" s="41" t="s">
        <v>93</v>
      </c>
      <c r="D128" s="41" t="s">
        <v>4130</v>
      </c>
      <c r="E128" s="41" t="s">
        <v>323</v>
      </c>
      <c r="F128" s="41">
        <v>51993517017</v>
      </c>
      <c r="G128" s="41" t="s">
        <v>79</v>
      </c>
      <c r="H128" s="8" t="s">
        <v>47</v>
      </c>
      <c r="I128" s="70"/>
      <c r="J128" s="70"/>
      <c r="K128" s="41" t="s">
        <v>49</v>
      </c>
      <c r="L128" s="41"/>
      <c r="M128" s="9" t="s">
        <v>4131</v>
      </c>
      <c r="N128" s="8"/>
      <c r="O128" s="1"/>
    </row>
    <row r="129" spans="1:15" ht="36.6" hidden="1" customHeight="1">
      <c r="A129" s="10">
        <v>1</v>
      </c>
      <c r="B129" s="33" t="s">
        <v>3959</v>
      </c>
      <c r="C129" s="41" t="s">
        <v>93</v>
      </c>
      <c r="D129" s="41" t="s">
        <v>4132</v>
      </c>
      <c r="E129" s="41" t="s">
        <v>136</v>
      </c>
      <c r="F129" s="41">
        <v>51996912210</v>
      </c>
      <c r="G129" s="41" t="s">
        <v>66</v>
      </c>
      <c r="H129" s="8" t="s">
        <v>67</v>
      </c>
      <c r="I129" s="70"/>
      <c r="J129" s="70"/>
      <c r="K129" s="41" t="s">
        <v>55</v>
      </c>
      <c r="L129" s="41"/>
      <c r="M129" s="9" t="s">
        <v>4133</v>
      </c>
      <c r="N129" s="8"/>
      <c r="O129" s="1"/>
    </row>
    <row r="130" spans="1:15" ht="36.6" customHeight="1">
      <c r="A130" s="10">
        <v>1</v>
      </c>
      <c r="B130" s="33" t="s">
        <v>3959</v>
      </c>
      <c r="C130" s="41" t="s">
        <v>28</v>
      </c>
      <c r="D130" s="41" t="s">
        <v>4134</v>
      </c>
      <c r="E130" s="41" t="s">
        <v>39</v>
      </c>
      <c r="F130" s="41" t="s">
        <v>4135</v>
      </c>
      <c r="G130" s="41" t="s">
        <v>1091</v>
      </c>
      <c r="H130" s="8" t="s">
        <v>33</v>
      </c>
      <c r="I130" s="70" t="s">
        <v>3841</v>
      </c>
      <c r="J130" s="70"/>
      <c r="K130" s="41" t="s">
        <v>2050</v>
      </c>
      <c r="L130" s="41" t="s">
        <v>128</v>
      </c>
      <c r="M130" s="9" t="s">
        <v>4136</v>
      </c>
      <c r="N130" s="8"/>
      <c r="O130" s="1"/>
    </row>
    <row r="131" spans="1:15" ht="36.6" hidden="1" customHeight="1">
      <c r="A131" s="10">
        <v>1</v>
      </c>
      <c r="B131" s="33" t="s">
        <v>3959</v>
      </c>
      <c r="C131" s="41" t="s">
        <v>93</v>
      </c>
      <c r="D131" s="41" t="s">
        <v>4137</v>
      </c>
      <c r="E131" s="41" t="s">
        <v>2898</v>
      </c>
      <c r="F131" s="41">
        <v>51985374146</v>
      </c>
      <c r="G131" s="41" t="s">
        <v>66</v>
      </c>
      <c r="H131" s="8" t="s">
        <v>67</v>
      </c>
      <c r="I131" s="70"/>
      <c r="J131" s="70"/>
      <c r="K131" s="41" t="s">
        <v>49</v>
      </c>
      <c r="L131" s="41"/>
      <c r="M131" s="9" t="s">
        <v>4138</v>
      </c>
      <c r="N131" s="8"/>
      <c r="O131" s="1"/>
    </row>
    <row r="132" spans="1:15" ht="36.6" customHeight="1">
      <c r="A132" s="10">
        <v>1</v>
      </c>
      <c r="B132" s="33" t="s">
        <v>3959</v>
      </c>
      <c r="C132" s="41" t="s">
        <v>28</v>
      </c>
      <c r="D132" s="41" t="s">
        <v>4139</v>
      </c>
      <c r="E132" s="41" t="s">
        <v>1770</v>
      </c>
      <c r="F132" s="41">
        <v>51989299320</v>
      </c>
      <c r="G132" s="41" t="s">
        <v>66</v>
      </c>
      <c r="H132" s="8" t="s">
        <v>67</v>
      </c>
      <c r="I132" s="70"/>
      <c r="J132" s="70"/>
      <c r="K132" s="41" t="s">
        <v>49</v>
      </c>
      <c r="L132" s="41" t="s">
        <v>35</v>
      </c>
      <c r="M132" s="9" t="s">
        <v>4140</v>
      </c>
      <c r="N132" s="8"/>
      <c r="O132" s="1"/>
    </row>
    <row r="133" spans="1:15" ht="36.6" customHeight="1">
      <c r="A133" s="10">
        <v>1</v>
      </c>
      <c r="B133" s="33" t="s">
        <v>3959</v>
      </c>
      <c r="C133" s="41" t="s">
        <v>28</v>
      </c>
      <c r="D133" s="41" t="s">
        <v>4141</v>
      </c>
      <c r="E133" s="41" t="s">
        <v>2638</v>
      </c>
      <c r="F133" s="41">
        <v>51992183316</v>
      </c>
      <c r="G133" s="41" t="s">
        <v>66</v>
      </c>
      <c r="H133" s="8" t="s">
        <v>67</v>
      </c>
      <c r="I133" s="70"/>
      <c r="J133" s="70"/>
      <c r="K133" s="41" t="s">
        <v>49</v>
      </c>
      <c r="L133" s="41" t="s">
        <v>128</v>
      </c>
      <c r="M133" s="9" t="s">
        <v>4142</v>
      </c>
      <c r="N133" s="8"/>
      <c r="O133" s="1"/>
    </row>
    <row r="134" spans="1:15" ht="36.6" customHeight="1">
      <c r="A134" s="10">
        <v>1</v>
      </c>
      <c r="B134" s="33" t="s">
        <v>3959</v>
      </c>
      <c r="C134" s="41" t="s">
        <v>28</v>
      </c>
      <c r="D134" s="41" t="s">
        <v>4143</v>
      </c>
      <c r="E134" s="41" t="s">
        <v>4144</v>
      </c>
      <c r="F134" s="41" t="s">
        <v>4145</v>
      </c>
      <c r="G134" s="41" t="s">
        <v>1091</v>
      </c>
      <c r="H134" s="8" t="s">
        <v>33</v>
      </c>
      <c r="I134" s="70" t="s">
        <v>3968</v>
      </c>
      <c r="J134" s="70"/>
      <c r="K134" s="41" t="s">
        <v>2050</v>
      </c>
      <c r="L134" s="41" t="s">
        <v>61</v>
      </c>
      <c r="M134" s="9" t="s">
        <v>4117</v>
      </c>
      <c r="N134" s="8"/>
      <c r="O134" s="1"/>
    </row>
    <row r="135" spans="1:15" ht="36.6" customHeight="1">
      <c r="A135" s="10">
        <v>1</v>
      </c>
      <c r="B135" s="33" t="s">
        <v>3959</v>
      </c>
      <c r="C135" s="41" t="s">
        <v>28</v>
      </c>
      <c r="D135" s="41" t="s">
        <v>4146</v>
      </c>
      <c r="E135" s="41" t="s">
        <v>2563</v>
      </c>
      <c r="F135" s="41" t="s">
        <v>4147</v>
      </c>
      <c r="G135" s="41" t="s">
        <v>1236</v>
      </c>
      <c r="H135" s="8" t="s">
        <v>33</v>
      </c>
      <c r="I135" s="70" t="s">
        <v>3886</v>
      </c>
      <c r="J135" s="70"/>
      <c r="K135" s="41" t="s">
        <v>2050</v>
      </c>
      <c r="L135" s="41" t="s">
        <v>128</v>
      </c>
      <c r="M135" s="9" t="s">
        <v>4009</v>
      </c>
      <c r="N135" s="8"/>
      <c r="O135" s="1"/>
    </row>
    <row r="136" spans="1:15" ht="36.6" hidden="1" customHeight="1">
      <c r="A136" s="10">
        <v>1</v>
      </c>
      <c r="B136" s="33" t="s">
        <v>3959</v>
      </c>
      <c r="C136" s="41" t="s">
        <v>93</v>
      </c>
      <c r="D136" s="41" t="s">
        <v>4148</v>
      </c>
      <c r="E136" s="41" t="s">
        <v>39</v>
      </c>
      <c r="F136" s="41">
        <v>51982767559</v>
      </c>
      <c r="G136" s="41" t="s">
        <v>41</v>
      </c>
      <c r="H136" s="8" t="s">
        <v>33</v>
      </c>
      <c r="I136" s="70"/>
      <c r="J136" s="70"/>
      <c r="K136" s="41" t="s">
        <v>55</v>
      </c>
      <c r="L136" s="41"/>
      <c r="M136" s="9" t="s">
        <v>4149</v>
      </c>
      <c r="N136" s="8"/>
      <c r="O136" s="1"/>
    </row>
    <row r="137" spans="1:15" ht="36.6" customHeight="1">
      <c r="A137" s="10">
        <v>1</v>
      </c>
      <c r="B137" s="33" t="s">
        <v>3959</v>
      </c>
      <c r="C137" s="41" t="s">
        <v>28</v>
      </c>
      <c r="D137" s="41" t="s">
        <v>4150</v>
      </c>
      <c r="E137" s="41" t="s">
        <v>1057</v>
      </c>
      <c r="F137" s="41">
        <v>51985194846</v>
      </c>
      <c r="G137" s="41" t="s">
        <v>66</v>
      </c>
      <c r="H137" s="8" t="s">
        <v>67</v>
      </c>
      <c r="I137" s="70"/>
      <c r="J137" s="70"/>
      <c r="K137" s="41" t="s">
        <v>49</v>
      </c>
      <c r="L137" s="41" t="s">
        <v>128</v>
      </c>
      <c r="M137" s="9" t="s">
        <v>4151</v>
      </c>
      <c r="N137" s="8"/>
      <c r="O137" s="1"/>
    </row>
    <row r="138" spans="1:15" ht="36.6" hidden="1" customHeight="1">
      <c r="A138" s="75">
        <v>1</v>
      </c>
      <c r="B138" s="33" t="s">
        <v>3959</v>
      </c>
      <c r="C138" s="41" t="s">
        <v>93</v>
      </c>
      <c r="D138" s="41" t="s">
        <v>4152</v>
      </c>
      <c r="E138" s="41" t="s">
        <v>1057</v>
      </c>
      <c r="F138" s="41" t="s">
        <v>4153</v>
      </c>
      <c r="G138" s="41" t="s">
        <v>66</v>
      </c>
      <c r="H138" s="8" t="s">
        <v>67</v>
      </c>
      <c r="I138" s="70"/>
      <c r="J138" s="70"/>
      <c r="K138" s="41" t="s">
        <v>49</v>
      </c>
      <c r="L138" s="41"/>
      <c r="M138" s="9" t="s">
        <v>4154</v>
      </c>
      <c r="N138" s="8"/>
      <c r="O138" s="1"/>
    </row>
    <row r="139" spans="1:15" ht="36.6" hidden="1" customHeight="1">
      <c r="A139" s="10">
        <v>1</v>
      </c>
      <c r="B139" s="33" t="s">
        <v>3959</v>
      </c>
      <c r="C139" s="41" t="s">
        <v>93</v>
      </c>
      <c r="D139" s="41" t="s">
        <v>2517</v>
      </c>
      <c r="E139" s="41" t="s">
        <v>209</v>
      </c>
      <c r="F139" s="41" t="s">
        <v>2518</v>
      </c>
      <c r="G139" s="41" t="s">
        <v>559</v>
      </c>
      <c r="H139" s="8" t="s">
        <v>33</v>
      </c>
      <c r="I139" s="70"/>
      <c r="J139" s="70"/>
      <c r="K139" s="41" t="s">
        <v>2050</v>
      </c>
      <c r="L139" s="41"/>
      <c r="M139" s="9" t="s">
        <v>4155</v>
      </c>
      <c r="N139" s="8"/>
      <c r="O139" s="1"/>
    </row>
    <row r="140" spans="1:15" ht="36.6" customHeight="1">
      <c r="A140" s="10">
        <v>1</v>
      </c>
      <c r="B140" s="33" t="s">
        <v>3959</v>
      </c>
      <c r="C140" s="41" t="s">
        <v>28</v>
      </c>
      <c r="D140" s="41" t="s">
        <v>4156</v>
      </c>
      <c r="E140" s="41" t="s">
        <v>4157</v>
      </c>
      <c r="F140" s="41">
        <v>51996820237</v>
      </c>
      <c r="G140" s="41" t="s">
        <v>4158</v>
      </c>
      <c r="H140" s="8" t="s">
        <v>206</v>
      </c>
      <c r="I140" s="70"/>
      <c r="J140" s="70"/>
      <c r="K140" s="41" t="s">
        <v>49</v>
      </c>
      <c r="L140" s="41" t="s">
        <v>128</v>
      </c>
      <c r="M140" s="9" t="s">
        <v>4159</v>
      </c>
      <c r="N140" s="8"/>
      <c r="O140" s="1"/>
    </row>
    <row r="141" spans="1:15" ht="36.6" customHeight="1">
      <c r="A141" s="75">
        <v>1</v>
      </c>
      <c r="B141" s="33" t="s">
        <v>3959</v>
      </c>
      <c r="C141" s="41" t="s">
        <v>28</v>
      </c>
      <c r="D141" s="41" t="s">
        <v>4160</v>
      </c>
      <c r="E141" s="41" t="s">
        <v>3411</v>
      </c>
      <c r="F141" s="41">
        <v>51999179820</v>
      </c>
      <c r="G141" s="41" t="s">
        <v>2338</v>
      </c>
      <c r="H141" s="8" t="s">
        <v>191</v>
      </c>
      <c r="I141" s="70"/>
      <c r="J141" s="70"/>
      <c r="K141" s="41" t="s">
        <v>49</v>
      </c>
      <c r="L141" s="41" t="s">
        <v>111</v>
      </c>
      <c r="M141" s="9" t="s">
        <v>4161</v>
      </c>
      <c r="N141" s="8"/>
      <c r="O141" s="1"/>
    </row>
    <row r="142" spans="1:15" ht="36.6" hidden="1" customHeight="1">
      <c r="A142" s="75">
        <v>1</v>
      </c>
      <c r="B142" s="33" t="s">
        <v>3959</v>
      </c>
      <c r="C142" s="41" t="s">
        <v>93</v>
      </c>
      <c r="D142" s="41" t="s">
        <v>4162</v>
      </c>
      <c r="E142" s="41" t="s">
        <v>4163</v>
      </c>
      <c r="F142" s="41">
        <v>51991294719</v>
      </c>
      <c r="G142" s="41" t="s">
        <v>4164</v>
      </c>
      <c r="H142" s="8" t="s">
        <v>3157</v>
      </c>
      <c r="I142" s="70"/>
      <c r="J142" s="70"/>
      <c r="K142" s="41" t="s">
        <v>49</v>
      </c>
      <c r="L142" s="41"/>
      <c r="M142" s="9" t="s">
        <v>4165</v>
      </c>
      <c r="N142" s="8"/>
      <c r="O142" s="1"/>
    </row>
    <row r="143" spans="1:15" ht="36.6" hidden="1" customHeight="1">
      <c r="A143" s="10">
        <v>1</v>
      </c>
      <c r="B143" s="33" t="s">
        <v>3959</v>
      </c>
      <c r="C143" s="41" t="s">
        <v>93</v>
      </c>
      <c r="D143" s="41" t="s">
        <v>2388</v>
      </c>
      <c r="E143" s="41" t="s">
        <v>182</v>
      </c>
      <c r="F143" s="41">
        <v>51989150707</v>
      </c>
      <c r="G143" s="41" t="s">
        <v>66</v>
      </c>
      <c r="H143" s="8" t="s">
        <v>67</v>
      </c>
      <c r="I143" s="70"/>
      <c r="J143" s="70"/>
      <c r="K143" s="41" t="s">
        <v>55</v>
      </c>
      <c r="L143" s="41"/>
      <c r="M143" s="68" t="s">
        <v>4166</v>
      </c>
      <c r="N143" s="8"/>
      <c r="O143" s="1"/>
    </row>
    <row r="144" spans="1:15" ht="36.6" customHeight="1">
      <c r="A144" s="10">
        <v>1</v>
      </c>
      <c r="B144" s="33" t="s">
        <v>3959</v>
      </c>
      <c r="C144" s="41" t="s">
        <v>28</v>
      </c>
      <c r="D144" s="41" t="s">
        <v>4167</v>
      </c>
      <c r="E144" s="41" t="s">
        <v>39</v>
      </c>
      <c r="F144" s="41">
        <v>51989150707</v>
      </c>
      <c r="G144" s="41" t="s">
        <v>41</v>
      </c>
      <c r="H144" s="8" t="s">
        <v>33</v>
      </c>
      <c r="I144" s="70"/>
      <c r="J144" s="70"/>
      <c r="K144" s="41" t="s">
        <v>55</v>
      </c>
      <c r="L144" s="41" t="s">
        <v>61</v>
      </c>
      <c r="M144" s="9" t="s">
        <v>4168</v>
      </c>
      <c r="N144" s="8"/>
      <c r="O144" s="1"/>
    </row>
    <row r="145" spans="1:15" ht="36.6" customHeight="1">
      <c r="A145" s="75">
        <v>1</v>
      </c>
      <c r="B145" s="33" t="s">
        <v>3959</v>
      </c>
      <c r="C145" s="41" t="s">
        <v>28</v>
      </c>
      <c r="D145" s="41" t="s">
        <v>4169</v>
      </c>
      <c r="E145" s="41" t="s">
        <v>4170</v>
      </c>
      <c r="F145" s="41">
        <v>51995163542</v>
      </c>
      <c r="G145" s="41" t="s">
        <v>73</v>
      </c>
      <c r="H145" s="8" t="s">
        <v>33</v>
      </c>
      <c r="I145" s="70"/>
      <c r="J145" s="70"/>
      <c r="K145" s="41" t="s">
        <v>49</v>
      </c>
      <c r="L145" s="41" t="s">
        <v>61</v>
      </c>
      <c r="M145" s="68" t="s">
        <v>4171</v>
      </c>
      <c r="N145" s="8"/>
      <c r="O145" s="1"/>
    </row>
    <row r="146" spans="1:15" ht="36.6" customHeight="1">
      <c r="A146" s="75">
        <v>1</v>
      </c>
      <c r="B146" s="33" t="s">
        <v>3959</v>
      </c>
      <c r="C146" s="41" t="s">
        <v>28</v>
      </c>
      <c r="D146" s="41" t="s">
        <v>4172</v>
      </c>
      <c r="E146" s="41" t="s">
        <v>4173</v>
      </c>
      <c r="F146" s="41">
        <v>51994984731</v>
      </c>
      <c r="G146" s="41" t="s">
        <v>91</v>
      </c>
      <c r="H146" s="8" t="s">
        <v>67</v>
      </c>
      <c r="I146" s="70"/>
      <c r="J146" s="70"/>
      <c r="K146" s="41" t="s">
        <v>49</v>
      </c>
      <c r="L146" s="41" t="s">
        <v>128</v>
      </c>
      <c r="M146" s="9" t="s">
        <v>4174</v>
      </c>
      <c r="N146" s="8"/>
      <c r="O146" s="1"/>
    </row>
    <row r="147" spans="1:15" ht="36.6" customHeight="1">
      <c r="A147" s="10">
        <v>1</v>
      </c>
      <c r="B147" s="33" t="s">
        <v>3959</v>
      </c>
      <c r="C147" s="41" t="s">
        <v>28</v>
      </c>
      <c r="D147" s="8" t="s">
        <v>4175</v>
      </c>
      <c r="E147" s="41" t="s">
        <v>653</v>
      </c>
      <c r="F147" s="41">
        <v>51996225232</v>
      </c>
      <c r="G147" s="41" t="s">
        <v>730</v>
      </c>
      <c r="H147" s="8" t="s">
        <v>33</v>
      </c>
      <c r="I147" s="70" t="s">
        <v>4176</v>
      </c>
      <c r="J147" s="70"/>
      <c r="K147" s="41" t="s">
        <v>55</v>
      </c>
      <c r="L147" s="41" t="s">
        <v>56</v>
      </c>
      <c r="M147" s="9" t="s">
        <v>4177</v>
      </c>
      <c r="N147" s="8"/>
      <c r="O147" s="1"/>
    </row>
    <row r="148" spans="1:15" ht="36.6" customHeight="1">
      <c r="A148" s="10">
        <v>1</v>
      </c>
      <c r="B148" s="33" t="s">
        <v>3959</v>
      </c>
      <c r="C148" s="41" t="s">
        <v>28</v>
      </c>
      <c r="D148" s="41" t="s">
        <v>4178</v>
      </c>
      <c r="E148" s="41" t="s">
        <v>39</v>
      </c>
      <c r="F148" s="41" t="s">
        <v>4179</v>
      </c>
      <c r="G148" s="41" t="s">
        <v>1091</v>
      </c>
      <c r="H148" s="8" t="s">
        <v>33</v>
      </c>
      <c r="I148" s="70" t="s">
        <v>3968</v>
      </c>
      <c r="J148" s="70"/>
      <c r="K148" s="41" t="s">
        <v>2050</v>
      </c>
      <c r="L148" s="41" t="s">
        <v>128</v>
      </c>
      <c r="M148" s="9" t="s">
        <v>4009</v>
      </c>
      <c r="N148" s="8"/>
      <c r="O148" s="1"/>
    </row>
    <row r="149" spans="1:15" ht="36.6" customHeight="1">
      <c r="A149" s="75">
        <v>1</v>
      </c>
      <c r="B149" s="33" t="s">
        <v>3959</v>
      </c>
      <c r="C149" s="41" t="s">
        <v>28</v>
      </c>
      <c r="D149" s="41" t="s">
        <v>4180</v>
      </c>
      <c r="E149" s="41" t="s">
        <v>4181</v>
      </c>
      <c r="F149" s="41">
        <v>51992985496</v>
      </c>
      <c r="G149" s="41" t="s">
        <v>66</v>
      </c>
      <c r="H149" s="8" t="s">
        <v>67</v>
      </c>
      <c r="I149" s="70"/>
      <c r="J149" s="70"/>
      <c r="K149" s="41" t="s">
        <v>49</v>
      </c>
      <c r="L149" s="41" t="s">
        <v>128</v>
      </c>
      <c r="M149" s="9" t="s">
        <v>4182</v>
      </c>
      <c r="N149" s="8"/>
      <c r="O149" s="1"/>
    </row>
    <row r="150" spans="1:15" ht="36.6" hidden="1" customHeight="1">
      <c r="A150" s="75">
        <v>1</v>
      </c>
      <c r="B150" s="33" t="s">
        <v>3959</v>
      </c>
      <c r="C150" s="41" t="s">
        <v>93</v>
      </c>
      <c r="D150" s="41" t="s">
        <v>4183</v>
      </c>
      <c r="E150" s="41" t="s">
        <v>4184</v>
      </c>
      <c r="F150" s="41">
        <v>51996242111</v>
      </c>
      <c r="G150" s="41" t="s">
        <v>2174</v>
      </c>
      <c r="H150" s="8" t="s">
        <v>215</v>
      </c>
      <c r="I150" s="70"/>
      <c r="J150" s="70"/>
      <c r="K150" s="41" t="s">
        <v>49</v>
      </c>
      <c r="L150" s="41"/>
      <c r="M150" s="9" t="s">
        <v>4185</v>
      </c>
      <c r="N150" s="8"/>
      <c r="O150" s="1"/>
    </row>
    <row r="151" spans="1:15" ht="36.6" customHeight="1">
      <c r="A151" s="75">
        <v>1</v>
      </c>
      <c r="B151" s="33" t="s">
        <v>3959</v>
      </c>
      <c r="C151" s="41" t="s">
        <v>28</v>
      </c>
      <c r="D151" s="41" t="s">
        <v>4186</v>
      </c>
      <c r="E151" s="41" t="s">
        <v>3392</v>
      </c>
      <c r="F151" s="41">
        <v>51995002444</v>
      </c>
      <c r="G151" s="41" t="s">
        <v>85</v>
      </c>
      <c r="H151" s="8" t="s">
        <v>215</v>
      </c>
      <c r="I151" s="70" t="s">
        <v>54</v>
      </c>
      <c r="J151" s="70"/>
      <c r="K151" s="41" t="s">
        <v>55</v>
      </c>
      <c r="L151" s="41" t="s">
        <v>35</v>
      </c>
      <c r="M151" s="9" t="s">
        <v>4187</v>
      </c>
      <c r="N151" s="8"/>
      <c r="O151" s="1"/>
    </row>
    <row r="152" spans="1:15" ht="36.6" customHeight="1">
      <c r="A152" s="88">
        <v>1</v>
      </c>
      <c r="B152" s="33" t="s">
        <v>3959</v>
      </c>
      <c r="C152" s="41" t="s">
        <v>398</v>
      </c>
      <c r="D152" s="88" t="s">
        <v>4188</v>
      </c>
      <c r="E152" s="88" t="s">
        <v>1741</v>
      </c>
      <c r="F152" s="88" t="s">
        <v>4189</v>
      </c>
      <c r="G152" s="88" t="s">
        <v>756</v>
      </c>
      <c r="H152" s="88" t="s">
        <v>206</v>
      </c>
      <c r="I152" s="88"/>
      <c r="J152" s="88"/>
      <c r="K152" s="88" t="s">
        <v>3568</v>
      </c>
      <c r="L152" s="88" t="s">
        <v>4190</v>
      </c>
      <c r="M152" s="88" t="s">
        <v>4190</v>
      </c>
      <c r="N152" s="8"/>
      <c r="O152" s="1"/>
    </row>
    <row r="153" spans="1:15" ht="36.6" customHeight="1">
      <c r="A153" s="88">
        <v>1</v>
      </c>
      <c r="B153" s="33" t="s">
        <v>3959</v>
      </c>
      <c r="C153" s="41" t="s">
        <v>398</v>
      </c>
      <c r="D153" s="88" t="s">
        <v>4191</v>
      </c>
      <c r="E153" s="88" t="s">
        <v>812</v>
      </c>
      <c r="F153" s="88" t="s">
        <v>4192</v>
      </c>
      <c r="G153" s="88" t="s">
        <v>756</v>
      </c>
      <c r="H153" s="88" t="s">
        <v>206</v>
      </c>
      <c r="I153" s="88"/>
      <c r="J153" s="88"/>
      <c r="K153" s="88" t="s">
        <v>3568</v>
      </c>
      <c r="L153" s="88" t="s">
        <v>4190</v>
      </c>
      <c r="M153" s="88" t="s">
        <v>4190</v>
      </c>
      <c r="N153" s="8"/>
      <c r="O153" s="1"/>
    </row>
    <row r="154" spans="1:15" ht="36.6" customHeight="1">
      <c r="A154" s="10">
        <v>1</v>
      </c>
      <c r="B154" s="33" t="s">
        <v>3886</v>
      </c>
      <c r="C154" s="41" t="s">
        <v>28</v>
      </c>
      <c r="D154" s="41" t="s">
        <v>4193</v>
      </c>
      <c r="E154" s="41" t="s">
        <v>39</v>
      </c>
      <c r="F154" s="41" t="s">
        <v>4194</v>
      </c>
      <c r="G154" s="41" t="s">
        <v>1091</v>
      </c>
      <c r="H154" s="8" t="s">
        <v>33</v>
      </c>
      <c r="I154" s="70" t="s">
        <v>3841</v>
      </c>
      <c r="J154" s="70"/>
      <c r="K154" s="41" t="s">
        <v>2050</v>
      </c>
      <c r="L154" s="41" t="s">
        <v>61</v>
      </c>
      <c r="M154" s="9" t="s">
        <v>4195</v>
      </c>
      <c r="N154" s="8"/>
      <c r="O154" s="1"/>
    </row>
    <row r="155" spans="1:15" ht="36.6" customHeight="1">
      <c r="A155" s="10">
        <v>1</v>
      </c>
      <c r="B155" s="33" t="s">
        <v>3886</v>
      </c>
      <c r="C155" s="41" t="s">
        <v>28</v>
      </c>
      <c r="D155" s="41" t="s">
        <v>4196</v>
      </c>
      <c r="E155" s="41" t="s">
        <v>285</v>
      </c>
      <c r="F155" s="41">
        <v>51995824951</v>
      </c>
      <c r="G155" s="41" t="s">
        <v>66</v>
      </c>
      <c r="H155" s="8" t="s">
        <v>67</v>
      </c>
      <c r="I155" s="70" t="s">
        <v>2760</v>
      </c>
      <c r="J155" s="70"/>
      <c r="K155" s="41" t="s">
        <v>55</v>
      </c>
      <c r="L155" s="41" t="s">
        <v>128</v>
      </c>
      <c r="M155" s="9" t="s">
        <v>4197</v>
      </c>
      <c r="N155" s="8"/>
      <c r="O155" s="1"/>
    </row>
    <row r="156" spans="1:15" ht="36.6" customHeight="1">
      <c r="A156" s="10">
        <v>1</v>
      </c>
      <c r="B156" s="33" t="s">
        <v>3886</v>
      </c>
      <c r="C156" s="41" t="s">
        <v>28</v>
      </c>
      <c r="D156" s="41" t="s">
        <v>4077</v>
      </c>
      <c r="E156" s="41" t="s">
        <v>967</v>
      </c>
      <c r="F156" s="41">
        <v>51995824951</v>
      </c>
      <c r="G156" s="41" t="s">
        <v>53</v>
      </c>
      <c r="H156" s="8" t="s">
        <v>33</v>
      </c>
      <c r="I156" s="70" t="s">
        <v>54</v>
      </c>
      <c r="J156" s="70"/>
      <c r="K156" s="41" t="s">
        <v>55</v>
      </c>
      <c r="L156" s="41" t="s">
        <v>61</v>
      </c>
      <c r="M156" s="9" t="s">
        <v>4198</v>
      </c>
      <c r="N156" s="8"/>
      <c r="O156" s="1"/>
    </row>
    <row r="157" spans="1:15" ht="36.6" hidden="1" customHeight="1">
      <c r="A157" s="10">
        <v>1</v>
      </c>
      <c r="B157" s="33" t="s">
        <v>3886</v>
      </c>
      <c r="C157" s="41" t="s">
        <v>93</v>
      </c>
      <c r="D157" s="41" t="s">
        <v>4199</v>
      </c>
      <c r="E157" s="41" t="s">
        <v>71</v>
      </c>
      <c r="F157" s="41" t="s">
        <v>4200</v>
      </c>
      <c r="G157" s="41" t="s">
        <v>1236</v>
      </c>
      <c r="H157" s="8" t="s">
        <v>33</v>
      </c>
      <c r="I157" s="70"/>
      <c r="J157" s="70"/>
      <c r="K157" s="41" t="s">
        <v>2050</v>
      </c>
      <c r="L157" s="41"/>
      <c r="M157" s="9" t="s">
        <v>4201</v>
      </c>
      <c r="N157" s="8"/>
      <c r="O157" s="1"/>
    </row>
    <row r="158" spans="1:15" ht="36.6" customHeight="1">
      <c r="A158" s="75">
        <v>1</v>
      </c>
      <c r="B158" s="33" t="s">
        <v>3886</v>
      </c>
      <c r="C158" s="41" t="s">
        <v>28</v>
      </c>
      <c r="D158" s="41" t="s">
        <v>4202</v>
      </c>
      <c r="E158" s="41" t="s">
        <v>39</v>
      </c>
      <c r="F158" s="41" t="s">
        <v>4203</v>
      </c>
      <c r="G158" s="41" t="s">
        <v>1091</v>
      </c>
      <c r="H158" s="8" t="s">
        <v>33</v>
      </c>
      <c r="I158" s="70" t="s">
        <v>3968</v>
      </c>
      <c r="J158" s="70"/>
      <c r="K158" s="41" t="s">
        <v>2050</v>
      </c>
      <c r="L158" s="41" t="s">
        <v>61</v>
      </c>
      <c r="M158" s="9" t="s">
        <v>4117</v>
      </c>
      <c r="N158" s="8"/>
      <c r="O158" s="1"/>
    </row>
    <row r="159" spans="1:15" ht="36.6" customHeight="1">
      <c r="A159" s="75">
        <v>1</v>
      </c>
      <c r="B159" s="33" t="s">
        <v>3886</v>
      </c>
      <c r="C159" s="41" t="s">
        <v>28</v>
      </c>
      <c r="D159" s="41" t="s">
        <v>4204</v>
      </c>
      <c r="E159" s="41" t="s">
        <v>678</v>
      </c>
      <c r="F159" s="41">
        <v>51984172853</v>
      </c>
      <c r="G159" s="41" t="s">
        <v>66</v>
      </c>
      <c r="H159" s="8" t="s">
        <v>3157</v>
      </c>
      <c r="I159" s="70" t="s">
        <v>2760</v>
      </c>
      <c r="J159" s="70"/>
      <c r="K159" s="41" t="s">
        <v>55</v>
      </c>
      <c r="L159" s="41" t="s">
        <v>56</v>
      </c>
      <c r="M159" s="9" t="s">
        <v>4205</v>
      </c>
      <c r="N159" s="8"/>
      <c r="O159" s="1"/>
    </row>
    <row r="160" spans="1:15" ht="36.6" customHeight="1">
      <c r="A160" s="75">
        <v>1</v>
      </c>
      <c r="B160" s="33" t="s">
        <v>3886</v>
      </c>
      <c r="C160" s="41" t="s">
        <v>28</v>
      </c>
      <c r="D160" s="41" t="s">
        <v>4206</v>
      </c>
      <c r="E160" s="41" t="s">
        <v>2563</v>
      </c>
      <c r="F160" s="41">
        <v>51996699210</v>
      </c>
      <c r="G160" s="41" t="s">
        <v>147</v>
      </c>
      <c r="H160" s="8" t="s">
        <v>33</v>
      </c>
      <c r="I160" s="70" t="s">
        <v>4207</v>
      </c>
      <c r="J160" s="70"/>
      <c r="K160" s="41" t="s">
        <v>55</v>
      </c>
      <c r="L160" s="41" t="s">
        <v>61</v>
      </c>
      <c r="M160" s="9" t="s">
        <v>4208</v>
      </c>
      <c r="N160" s="8"/>
      <c r="O160" s="1"/>
    </row>
    <row r="161" spans="1:15" ht="36.6" hidden="1" customHeight="1">
      <c r="A161" s="75">
        <v>1</v>
      </c>
      <c r="B161" s="33" t="s">
        <v>3886</v>
      </c>
      <c r="C161" s="41" t="s">
        <v>93</v>
      </c>
      <c r="D161" s="41" t="s">
        <v>4209</v>
      </c>
      <c r="E161" s="41" t="s">
        <v>1083</v>
      </c>
      <c r="F161" s="41">
        <v>51998787455</v>
      </c>
      <c r="G161" s="41" t="s">
        <v>85</v>
      </c>
      <c r="H161" s="8" t="s">
        <v>33</v>
      </c>
      <c r="I161" s="70"/>
      <c r="J161" s="70"/>
      <c r="K161" s="41" t="s">
        <v>55</v>
      </c>
      <c r="L161" s="41"/>
      <c r="M161" s="9" t="s">
        <v>4210</v>
      </c>
      <c r="N161" s="8"/>
      <c r="O161" s="1"/>
    </row>
    <row r="162" spans="1:15" ht="36.6" customHeight="1">
      <c r="A162" s="10">
        <v>1</v>
      </c>
      <c r="B162" s="33" t="s">
        <v>3886</v>
      </c>
      <c r="C162" s="41" t="s">
        <v>28</v>
      </c>
      <c r="D162" s="41" t="s">
        <v>4211</v>
      </c>
      <c r="E162" s="41" t="s">
        <v>4212</v>
      </c>
      <c r="F162" s="41" t="s">
        <v>4213</v>
      </c>
      <c r="G162" s="41" t="s">
        <v>1091</v>
      </c>
      <c r="H162" s="8" t="s">
        <v>33</v>
      </c>
      <c r="I162" s="70"/>
      <c r="J162" s="70"/>
      <c r="K162" s="41" t="s">
        <v>2050</v>
      </c>
      <c r="L162" s="41" t="s">
        <v>128</v>
      </c>
      <c r="M162" s="9" t="s">
        <v>4214</v>
      </c>
      <c r="N162" s="8"/>
      <c r="O162" s="1"/>
    </row>
    <row r="163" spans="1:15" ht="36.6" customHeight="1">
      <c r="A163" s="75">
        <v>1</v>
      </c>
      <c r="B163" s="33" t="s">
        <v>3886</v>
      </c>
      <c r="C163" s="41" t="s">
        <v>28</v>
      </c>
      <c r="D163" s="41" t="s">
        <v>4215</v>
      </c>
      <c r="E163" s="41" t="s">
        <v>1885</v>
      </c>
      <c r="F163" s="41">
        <v>51997176791</v>
      </c>
      <c r="G163" s="41" t="s">
        <v>3654</v>
      </c>
      <c r="H163" s="8" t="s">
        <v>215</v>
      </c>
      <c r="I163" s="70"/>
      <c r="J163" s="70"/>
      <c r="K163" s="41" t="s">
        <v>49</v>
      </c>
      <c r="L163" s="41" t="s">
        <v>111</v>
      </c>
      <c r="M163" s="9" t="s">
        <v>4216</v>
      </c>
      <c r="N163" s="8"/>
      <c r="O163" s="1"/>
    </row>
    <row r="164" spans="1:15" ht="36.6" customHeight="1">
      <c r="A164" s="10">
        <v>1</v>
      </c>
      <c r="B164" s="33" t="s">
        <v>3886</v>
      </c>
      <c r="C164" s="41" t="s">
        <v>28</v>
      </c>
      <c r="D164" s="41" t="s">
        <v>4217</v>
      </c>
      <c r="E164" s="41" t="s">
        <v>2626</v>
      </c>
      <c r="F164" s="41">
        <v>51998787455</v>
      </c>
      <c r="G164" s="41" t="s">
        <v>4100</v>
      </c>
      <c r="H164" s="8" t="s">
        <v>33</v>
      </c>
      <c r="I164" s="70" t="s">
        <v>1351</v>
      </c>
      <c r="J164" s="70"/>
      <c r="K164" s="41" t="s">
        <v>55</v>
      </c>
      <c r="L164" s="41" t="s">
        <v>61</v>
      </c>
      <c r="M164" s="9" t="s">
        <v>4218</v>
      </c>
      <c r="N164" s="8"/>
      <c r="O164" s="1"/>
    </row>
    <row r="165" spans="1:15" ht="36.6" hidden="1" customHeight="1">
      <c r="A165" s="75">
        <v>1</v>
      </c>
      <c r="B165" s="33" t="s">
        <v>3886</v>
      </c>
      <c r="C165" s="41" t="s">
        <v>93</v>
      </c>
      <c r="D165" s="41" t="s">
        <v>4219</v>
      </c>
      <c r="E165" s="41" t="s">
        <v>1885</v>
      </c>
      <c r="F165" s="41">
        <v>51998564932</v>
      </c>
      <c r="G165" s="41" t="s">
        <v>3654</v>
      </c>
      <c r="H165" s="8" t="s">
        <v>215</v>
      </c>
      <c r="I165" s="70"/>
      <c r="J165" s="70"/>
      <c r="K165" s="41" t="s">
        <v>49</v>
      </c>
      <c r="L165" s="41"/>
      <c r="M165" s="9" t="s">
        <v>4220</v>
      </c>
      <c r="N165" s="8"/>
      <c r="O165" s="1"/>
    </row>
    <row r="166" spans="1:15" ht="36.6" customHeight="1">
      <c r="A166" s="75">
        <v>1</v>
      </c>
      <c r="B166" s="33" t="s">
        <v>3886</v>
      </c>
      <c r="C166" s="41" t="s">
        <v>28</v>
      </c>
      <c r="D166" s="41" t="s">
        <v>4221</v>
      </c>
      <c r="E166" s="41" t="s">
        <v>1885</v>
      </c>
      <c r="F166" s="41">
        <v>51997626088</v>
      </c>
      <c r="G166" s="41" t="s">
        <v>3654</v>
      </c>
      <c r="H166" s="8" t="s">
        <v>215</v>
      </c>
      <c r="I166" s="70"/>
      <c r="J166" s="70"/>
      <c r="K166" s="41" t="s">
        <v>49</v>
      </c>
      <c r="L166" s="41" t="s">
        <v>111</v>
      </c>
      <c r="M166" s="9" t="s">
        <v>4222</v>
      </c>
      <c r="N166" s="8"/>
      <c r="O166" s="1"/>
    </row>
    <row r="167" spans="1:15" ht="36.6" customHeight="1">
      <c r="A167" s="10">
        <v>1</v>
      </c>
      <c r="B167" s="33" t="s">
        <v>3886</v>
      </c>
      <c r="C167" s="41" t="s">
        <v>28</v>
      </c>
      <c r="D167" s="41" t="s">
        <v>4223</v>
      </c>
      <c r="E167" s="41" t="s">
        <v>2526</v>
      </c>
      <c r="F167" s="41">
        <v>51982642234</v>
      </c>
      <c r="G167" s="41" t="s">
        <v>91</v>
      </c>
      <c r="H167" s="8" t="s">
        <v>67</v>
      </c>
      <c r="I167" s="70" t="s">
        <v>2760</v>
      </c>
      <c r="J167" s="70"/>
      <c r="K167" s="41" t="s">
        <v>55</v>
      </c>
      <c r="L167" s="41" t="s">
        <v>128</v>
      </c>
      <c r="M167" s="9" t="s">
        <v>4224</v>
      </c>
      <c r="N167" s="8"/>
      <c r="O167" s="1"/>
    </row>
    <row r="168" spans="1:15" ht="36.6" customHeight="1">
      <c r="A168" s="75">
        <v>1</v>
      </c>
      <c r="B168" s="33" t="s">
        <v>3886</v>
      </c>
      <c r="C168" s="41" t="s">
        <v>28</v>
      </c>
      <c r="D168" s="41" t="s">
        <v>4225</v>
      </c>
      <c r="E168" s="41" t="s">
        <v>4226</v>
      </c>
      <c r="F168" s="41">
        <v>51992016359</v>
      </c>
      <c r="G168" s="41" t="s">
        <v>4164</v>
      </c>
      <c r="H168" s="8" t="s">
        <v>67</v>
      </c>
      <c r="I168" s="70"/>
      <c r="J168" s="70"/>
      <c r="K168" s="41" t="s">
        <v>49</v>
      </c>
      <c r="L168" s="41" t="s">
        <v>128</v>
      </c>
      <c r="M168" s="9" t="s">
        <v>4227</v>
      </c>
      <c r="N168" s="8"/>
      <c r="O168" s="1"/>
    </row>
    <row r="169" spans="1:15" ht="36.6" hidden="1" customHeight="1">
      <c r="A169" s="75">
        <v>1</v>
      </c>
      <c r="B169" s="33" t="s">
        <v>3886</v>
      </c>
      <c r="C169" s="41" t="s">
        <v>93</v>
      </c>
      <c r="D169" s="41" t="s">
        <v>4228</v>
      </c>
      <c r="E169" s="41" t="s">
        <v>4184</v>
      </c>
      <c r="F169" s="41">
        <v>51993483385</v>
      </c>
      <c r="G169" s="41" t="s">
        <v>2174</v>
      </c>
      <c r="H169" s="8" t="s">
        <v>215</v>
      </c>
      <c r="I169" s="70"/>
      <c r="J169" s="70"/>
      <c r="K169" s="41" t="s">
        <v>49</v>
      </c>
      <c r="L169" s="41"/>
      <c r="M169" s="9" t="s">
        <v>4229</v>
      </c>
      <c r="N169" s="8"/>
      <c r="O169" s="1"/>
    </row>
    <row r="170" spans="1:15" ht="36.6" customHeight="1">
      <c r="A170" s="75">
        <v>1</v>
      </c>
      <c r="B170" s="33" t="s">
        <v>3886</v>
      </c>
      <c r="C170" s="41" t="s">
        <v>28</v>
      </c>
      <c r="D170" s="41" t="s">
        <v>4230</v>
      </c>
      <c r="E170" s="41" t="s">
        <v>4231</v>
      </c>
      <c r="F170" s="41">
        <v>51995616948</v>
      </c>
      <c r="G170" s="41" t="s">
        <v>4232</v>
      </c>
      <c r="H170" s="8" t="s">
        <v>215</v>
      </c>
      <c r="I170" s="70"/>
      <c r="J170" s="70"/>
      <c r="K170" s="41" t="s">
        <v>49</v>
      </c>
      <c r="L170" s="41" t="s">
        <v>35</v>
      </c>
      <c r="M170" s="9" t="s">
        <v>4233</v>
      </c>
      <c r="N170" s="8"/>
      <c r="O170" s="1"/>
    </row>
    <row r="171" spans="1:15" ht="36.6" customHeight="1">
      <c r="A171" s="75">
        <v>1</v>
      </c>
      <c r="B171" s="33" t="s">
        <v>3886</v>
      </c>
      <c r="C171" s="41" t="s">
        <v>28</v>
      </c>
      <c r="D171" s="41" t="s">
        <v>4234</v>
      </c>
      <c r="E171" s="41" t="s">
        <v>127</v>
      </c>
      <c r="F171" s="41" t="s">
        <v>4235</v>
      </c>
      <c r="G171" s="41" t="s">
        <v>1236</v>
      </c>
      <c r="H171" s="8" t="s">
        <v>215</v>
      </c>
      <c r="I171" s="70" t="s">
        <v>4207</v>
      </c>
      <c r="J171" s="70"/>
      <c r="K171" s="41" t="s">
        <v>2050</v>
      </c>
      <c r="L171" s="41" t="s">
        <v>61</v>
      </c>
      <c r="M171" s="9" t="s">
        <v>4236</v>
      </c>
      <c r="N171" s="8"/>
      <c r="O171" s="1"/>
    </row>
    <row r="172" spans="1:15" ht="36.6" customHeight="1">
      <c r="A172" s="10">
        <v>1</v>
      </c>
      <c r="B172" s="33" t="s">
        <v>3886</v>
      </c>
      <c r="C172" s="41" t="s">
        <v>28</v>
      </c>
      <c r="D172" s="41" t="s">
        <v>4237</v>
      </c>
      <c r="E172" s="41" t="s">
        <v>4238</v>
      </c>
      <c r="F172" s="41">
        <v>51995537262</v>
      </c>
      <c r="G172" s="41" t="s">
        <v>3654</v>
      </c>
      <c r="H172" s="8" t="s">
        <v>215</v>
      </c>
      <c r="I172" s="70"/>
      <c r="J172" s="70"/>
      <c r="K172" s="41" t="s">
        <v>49</v>
      </c>
      <c r="L172" s="41" t="s">
        <v>35</v>
      </c>
      <c r="M172" s="9" t="s">
        <v>4239</v>
      </c>
      <c r="N172" s="8"/>
      <c r="O172" s="1"/>
    </row>
    <row r="173" spans="1:15" ht="36.6" customHeight="1">
      <c r="A173" s="75">
        <v>1</v>
      </c>
      <c r="B173" s="33" t="s">
        <v>3886</v>
      </c>
      <c r="C173" s="41" t="s">
        <v>28</v>
      </c>
      <c r="D173" s="41" t="s">
        <v>4240</v>
      </c>
      <c r="E173" s="41" t="s">
        <v>145</v>
      </c>
      <c r="F173" s="41" t="s">
        <v>4241</v>
      </c>
      <c r="G173" s="41" t="s">
        <v>750</v>
      </c>
      <c r="H173" s="8" t="s">
        <v>1479</v>
      </c>
      <c r="I173" s="70" t="s">
        <v>4242</v>
      </c>
      <c r="J173" s="70"/>
      <c r="K173" s="41" t="s">
        <v>2050</v>
      </c>
      <c r="L173" s="41" t="s">
        <v>128</v>
      </c>
      <c r="M173" s="9" t="s">
        <v>4243</v>
      </c>
      <c r="N173" s="8"/>
      <c r="O173" s="1"/>
    </row>
    <row r="174" spans="1:15" ht="36.6" customHeight="1">
      <c r="A174" s="10">
        <v>1</v>
      </c>
      <c r="B174" s="33" t="s">
        <v>3886</v>
      </c>
      <c r="C174" s="41" t="s">
        <v>28</v>
      </c>
      <c r="D174" s="41" t="s">
        <v>4244</v>
      </c>
      <c r="E174" s="41" t="s">
        <v>39</v>
      </c>
      <c r="F174" s="41">
        <v>51997301974</v>
      </c>
      <c r="G174" s="41" t="s">
        <v>41</v>
      </c>
      <c r="H174" s="8" t="s">
        <v>33</v>
      </c>
      <c r="I174" s="70"/>
      <c r="J174" s="70"/>
      <c r="K174" s="41" t="s">
        <v>55</v>
      </c>
      <c r="L174" s="41" t="s">
        <v>128</v>
      </c>
      <c r="M174" s="9" t="s">
        <v>4245</v>
      </c>
      <c r="N174" s="8"/>
      <c r="O174" s="1"/>
    </row>
    <row r="175" spans="1:15" ht="36.6" customHeight="1">
      <c r="A175" s="10">
        <v>1</v>
      </c>
      <c r="B175" s="33" t="s">
        <v>3886</v>
      </c>
      <c r="C175" s="41" t="s">
        <v>28</v>
      </c>
      <c r="D175" s="41" t="s">
        <v>4246</v>
      </c>
      <c r="E175" s="41" t="s">
        <v>4247</v>
      </c>
      <c r="F175" s="41">
        <v>51997507093</v>
      </c>
      <c r="G175" s="41" t="s">
        <v>41</v>
      </c>
      <c r="H175" s="8" t="s">
        <v>33</v>
      </c>
      <c r="I175" s="70"/>
      <c r="J175" s="70"/>
      <c r="K175" s="41" t="s">
        <v>55</v>
      </c>
      <c r="L175" s="41" t="s">
        <v>56</v>
      </c>
      <c r="M175" s="68" t="s">
        <v>4248</v>
      </c>
      <c r="N175" s="8"/>
      <c r="O175" s="1"/>
    </row>
    <row r="176" spans="1:15" ht="36.6" hidden="1" customHeight="1">
      <c r="A176" s="75">
        <v>1</v>
      </c>
      <c r="B176" s="33" t="s">
        <v>3886</v>
      </c>
      <c r="C176" s="41" t="s">
        <v>93</v>
      </c>
      <c r="D176" s="41" t="s">
        <v>4249</v>
      </c>
      <c r="E176" s="41" t="s">
        <v>157</v>
      </c>
      <c r="F176" s="41" t="s">
        <v>4250</v>
      </c>
      <c r="G176" s="41" t="s">
        <v>1236</v>
      </c>
      <c r="H176" s="8" t="s">
        <v>33</v>
      </c>
      <c r="I176" s="70"/>
      <c r="J176" s="70"/>
      <c r="K176" s="41" t="s">
        <v>2050</v>
      </c>
      <c r="L176" s="41"/>
      <c r="M176" s="9" t="s">
        <v>4251</v>
      </c>
      <c r="N176" s="8"/>
      <c r="O176" s="1"/>
    </row>
    <row r="177" spans="1:15" ht="36.6" customHeight="1">
      <c r="A177" s="75">
        <v>1</v>
      </c>
      <c r="B177" s="33" t="s">
        <v>3886</v>
      </c>
      <c r="C177" s="41" t="s">
        <v>28</v>
      </c>
      <c r="D177" s="41" t="s">
        <v>4252</v>
      </c>
      <c r="E177" s="41" t="s">
        <v>209</v>
      </c>
      <c r="F177" s="41">
        <v>51997072695</v>
      </c>
      <c r="G177" s="41" t="s">
        <v>147</v>
      </c>
      <c r="H177" s="8" t="s">
        <v>33</v>
      </c>
      <c r="I177" s="70" t="s">
        <v>3841</v>
      </c>
      <c r="J177" s="70"/>
      <c r="K177" s="41" t="s">
        <v>55</v>
      </c>
      <c r="L177" s="41" t="s">
        <v>61</v>
      </c>
      <c r="M177" s="9" t="s">
        <v>4253</v>
      </c>
      <c r="N177" s="8"/>
      <c r="O177" s="1"/>
    </row>
    <row r="178" spans="1:15" ht="36.6" customHeight="1">
      <c r="A178" s="10">
        <v>1</v>
      </c>
      <c r="B178" s="33" t="s">
        <v>3886</v>
      </c>
      <c r="C178" s="41" t="s">
        <v>28</v>
      </c>
      <c r="D178" s="41" t="s">
        <v>4254</v>
      </c>
      <c r="E178" s="41" t="s">
        <v>4255</v>
      </c>
      <c r="F178" s="41">
        <v>51998586482</v>
      </c>
      <c r="G178" s="41" t="s">
        <v>1810</v>
      </c>
      <c r="H178" s="8" t="s">
        <v>33</v>
      </c>
      <c r="I178" s="70" t="s">
        <v>54</v>
      </c>
      <c r="J178" s="70"/>
      <c r="K178" s="41" t="s">
        <v>55</v>
      </c>
      <c r="L178" s="41" t="s">
        <v>61</v>
      </c>
      <c r="M178" s="9" t="s">
        <v>4256</v>
      </c>
      <c r="N178" s="8"/>
      <c r="O178" s="1"/>
    </row>
    <row r="179" spans="1:15" ht="36.6" hidden="1" customHeight="1">
      <c r="A179" s="75">
        <v>1</v>
      </c>
      <c r="B179" s="33" t="s">
        <v>3886</v>
      </c>
      <c r="C179" s="41" t="s">
        <v>93</v>
      </c>
      <c r="D179" s="41" t="s">
        <v>4257</v>
      </c>
      <c r="E179" s="41" t="s">
        <v>4258</v>
      </c>
      <c r="F179" s="41">
        <v>51985137911</v>
      </c>
      <c r="G179" s="41" t="s">
        <v>973</v>
      </c>
      <c r="H179" s="8" t="s">
        <v>206</v>
      </c>
      <c r="I179" s="70"/>
      <c r="J179" s="70"/>
      <c r="K179" s="41" t="s">
        <v>49</v>
      </c>
      <c r="L179" s="41"/>
      <c r="M179" s="9" t="s">
        <v>4259</v>
      </c>
      <c r="N179" s="8"/>
      <c r="O179" s="1"/>
    </row>
    <row r="180" spans="1:15" ht="36.6" hidden="1" customHeight="1">
      <c r="A180" s="75">
        <v>1</v>
      </c>
      <c r="B180" s="33" t="s">
        <v>3886</v>
      </c>
      <c r="C180" s="41" t="s">
        <v>93</v>
      </c>
      <c r="D180" s="41" t="s">
        <v>4260</v>
      </c>
      <c r="E180" s="41" t="s">
        <v>4261</v>
      </c>
      <c r="F180" s="41">
        <v>51980619568</v>
      </c>
      <c r="G180" s="41" t="s">
        <v>2174</v>
      </c>
      <c r="H180" s="8" t="s">
        <v>215</v>
      </c>
      <c r="I180" s="70"/>
      <c r="J180" s="70"/>
      <c r="K180" s="41" t="s">
        <v>49</v>
      </c>
      <c r="L180" s="41"/>
      <c r="M180" s="9" t="s">
        <v>4262</v>
      </c>
      <c r="N180" s="8"/>
      <c r="O180" s="1"/>
    </row>
    <row r="181" spans="1:15" ht="36.6" customHeight="1">
      <c r="A181" s="88">
        <v>1</v>
      </c>
      <c r="B181" s="33" t="s">
        <v>3886</v>
      </c>
      <c r="C181" s="41" t="s">
        <v>398</v>
      </c>
      <c r="D181" s="88" t="s">
        <v>4263</v>
      </c>
      <c r="E181" s="88" t="s">
        <v>1580</v>
      </c>
      <c r="F181" s="88" t="s">
        <v>4264</v>
      </c>
      <c r="G181" s="88" t="s">
        <v>310</v>
      </c>
      <c r="H181" s="88" t="s">
        <v>249</v>
      </c>
      <c r="I181" s="88"/>
      <c r="J181" s="88"/>
      <c r="K181" s="88" t="s">
        <v>3568</v>
      </c>
      <c r="L181" s="88" t="s">
        <v>4190</v>
      </c>
      <c r="M181" s="88" t="s">
        <v>4190</v>
      </c>
      <c r="N181" s="8"/>
      <c r="O181" s="1"/>
    </row>
    <row r="182" spans="1:15" ht="36.6" customHeight="1">
      <c r="A182" s="88">
        <v>1</v>
      </c>
      <c r="B182" s="33" t="s">
        <v>3886</v>
      </c>
      <c r="C182" s="41" t="s">
        <v>398</v>
      </c>
      <c r="D182" s="88" t="s">
        <v>4265</v>
      </c>
      <c r="E182" s="88" t="s">
        <v>686</v>
      </c>
      <c r="F182" s="88" t="s">
        <v>4266</v>
      </c>
      <c r="G182" s="88" t="s">
        <v>756</v>
      </c>
      <c r="H182" s="88" t="s">
        <v>206</v>
      </c>
      <c r="I182" s="88"/>
      <c r="J182" s="88"/>
      <c r="K182" s="88" t="s">
        <v>3568</v>
      </c>
      <c r="L182" s="88" t="s">
        <v>4190</v>
      </c>
      <c r="M182" s="88" t="s">
        <v>4190</v>
      </c>
      <c r="N182" s="8"/>
      <c r="O182" s="1"/>
    </row>
    <row r="183" spans="1:15" ht="36.6" customHeight="1">
      <c r="A183" s="88">
        <v>1</v>
      </c>
      <c r="B183" s="33" t="s">
        <v>3886</v>
      </c>
      <c r="C183" s="41" t="s">
        <v>398</v>
      </c>
      <c r="D183" s="88" t="s">
        <v>4267</v>
      </c>
      <c r="E183" s="88" t="s">
        <v>817</v>
      </c>
      <c r="F183" s="88" t="s">
        <v>4268</v>
      </c>
      <c r="G183" s="88" t="s">
        <v>41</v>
      </c>
      <c r="H183" s="88" t="s">
        <v>215</v>
      </c>
      <c r="I183" s="88"/>
      <c r="J183" s="88"/>
      <c r="K183" s="88" t="s">
        <v>3568</v>
      </c>
      <c r="L183" s="88" t="s">
        <v>4190</v>
      </c>
      <c r="M183" s="88" t="s">
        <v>4190</v>
      </c>
      <c r="N183" s="8"/>
      <c r="O183" s="1"/>
    </row>
    <row r="184" spans="1:15" ht="36.6" customHeight="1">
      <c r="A184" s="88">
        <v>1</v>
      </c>
      <c r="B184" s="33" t="s">
        <v>3886</v>
      </c>
      <c r="C184" s="41" t="s">
        <v>398</v>
      </c>
      <c r="D184" s="88" t="s">
        <v>4269</v>
      </c>
      <c r="E184" s="88" t="s">
        <v>1584</v>
      </c>
      <c r="F184" s="88" t="s">
        <v>4270</v>
      </c>
      <c r="G184" s="88" t="s">
        <v>310</v>
      </c>
      <c r="H184" s="88" t="s">
        <v>249</v>
      </c>
      <c r="I184" s="88"/>
      <c r="J184" s="88"/>
      <c r="K184" s="88" t="s">
        <v>3568</v>
      </c>
      <c r="L184" s="88" t="s">
        <v>4190</v>
      </c>
      <c r="M184" s="88" t="s">
        <v>4190</v>
      </c>
      <c r="N184" s="8"/>
      <c r="O184" s="1"/>
    </row>
    <row r="185" spans="1:15" ht="36.6" customHeight="1">
      <c r="A185" s="88">
        <v>1</v>
      </c>
      <c r="B185" s="33" t="s">
        <v>3886</v>
      </c>
      <c r="C185" s="41" t="s">
        <v>398</v>
      </c>
      <c r="D185" s="88" t="s">
        <v>4271</v>
      </c>
      <c r="E185" s="88" t="s">
        <v>161</v>
      </c>
      <c r="F185" s="88" t="s">
        <v>4272</v>
      </c>
      <c r="G185" s="88" t="s">
        <v>66</v>
      </c>
      <c r="H185" s="88" t="s">
        <v>206</v>
      </c>
      <c r="I185" s="88"/>
      <c r="J185" s="88"/>
      <c r="K185" s="88" t="s">
        <v>3568</v>
      </c>
      <c r="L185" s="88" t="s">
        <v>4190</v>
      </c>
      <c r="M185" s="88" t="s">
        <v>4190</v>
      </c>
      <c r="N185" s="8"/>
      <c r="O185" s="1"/>
    </row>
    <row r="186" spans="1:15" ht="36.6" customHeight="1">
      <c r="A186" s="88">
        <v>1</v>
      </c>
      <c r="B186" s="33" t="s">
        <v>3886</v>
      </c>
      <c r="C186" s="41" t="s">
        <v>398</v>
      </c>
      <c r="D186" s="88" t="s">
        <v>4273</v>
      </c>
      <c r="E186" s="88" t="s">
        <v>1443</v>
      </c>
      <c r="F186" s="88" t="s">
        <v>4274</v>
      </c>
      <c r="G186" s="88" t="s">
        <v>32</v>
      </c>
      <c r="H186" s="88" t="s">
        <v>215</v>
      </c>
      <c r="I186" s="88"/>
      <c r="J186" s="88"/>
      <c r="K186" s="88" t="s">
        <v>3568</v>
      </c>
      <c r="L186" s="88" t="s">
        <v>4190</v>
      </c>
      <c r="M186" s="88" t="s">
        <v>4190</v>
      </c>
      <c r="N186" s="8"/>
      <c r="O186" s="1"/>
    </row>
    <row r="187" spans="1:15" ht="36.6" customHeight="1">
      <c r="A187" s="88">
        <v>1</v>
      </c>
      <c r="B187" s="33" t="s">
        <v>3886</v>
      </c>
      <c r="C187" s="41" t="s">
        <v>398</v>
      </c>
      <c r="D187" s="88" t="s">
        <v>4275</v>
      </c>
      <c r="E187" s="88" t="s">
        <v>323</v>
      </c>
      <c r="F187" s="88" t="s">
        <v>4276</v>
      </c>
      <c r="G187" s="88" t="s">
        <v>310</v>
      </c>
      <c r="H187" s="88" t="s">
        <v>249</v>
      </c>
      <c r="I187" s="88"/>
      <c r="J187" s="88"/>
      <c r="K187" s="88" t="s">
        <v>3568</v>
      </c>
      <c r="L187" s="88" t="s">
        <v>4190</v>
      </c>
      <c r="M187" s="88" t="s">
        <v>4190</v>
      </c>
      <c r="N187" s="8"/>
      <c r="O187" s="1"/>
    </row>
    <row r="188" spans="1:15" ht="36.6" customHeight="1">
      <c r="A188" s="88">
        <v>1</v>
      </c>
      <c r="B188" s="33" t="s">
        <v>3886</v>
      </c>
      <c r="C188" s="41" t="s">
        <v>398</v>
      </c>
      <c r="D188" s="88" t="s">
        <v>4277</v>
      </c>
      <c r="E188" s="88" t="s">
        <v>1899</v>
      </c>
      <c r="F188" s="88" t="s">
        <v>4278</v>
      </c>
      <c r="G188" s="88" t="s">
        <v>756</v>
      </c>
      <c r="H188" s="88" t="s">
        <v>206</v>
      </c>
      <c r="I188" s="88"/>
      <c r="J188" s="88"/>
      <c r="K188" s="88" t="s">
        <v>3568</v>
      </c>
      <c r="L188" s="88" t="s">
        <v>4190</v>
      </c>
      <c r="M188" s="88" t="s">
        <v>4190</v>
      </c>
      <c r="N188" s="8"/>
      <c r="O188" s="1"/>
    </row>
    <row r="189" spans="1:15" ht="36.6" customHeight="1">
      <c r="A189" s="88">
        <v>1</v>
      </c>
      <c r="B189" s="33" t="s">
        <v>3886</v>
      </c>
      <c r="C189" s="41" t="s">
        <v>398</v>
      </c>
      <c r="D189" s="88" t="s">
        <v>4279</v>
      </c>
      <c r="E189" s="88" t="s">
        <v>186</v>
      </c>
      <c r="F189" s="88" t="s">
        <v>4280</v>
      </c>
      <c r="G189" s="88" t="s">
        <v>66</v>
      </c>
      <c r="H189" s="88" t="s">
        <v>206</v>
      </c>
      <c r="I189" s="88"/>
      <c r="J189" s="88"/>
      <c r="K189" s="88" t="s">
        <v>3568</v>
      </c>
      <c r="L189" s="88" t="s">
        <v>4190</v>
      </c>
      <c r="M189" s="88" t="s">
        <v>4190</v>
      </c>
      <c r="N189" s="8"/>
      <c r="O189" s="1"/>
    </row>
    <row r="190" spans="1:15" ht="36.6" customHeight="1">
      <c r="A190" s="88">
        <v>1</v>
      </c>
      <c r="B190" s="33" t="s">
        <v>3886</v>
      </c>
      <c r="C190" s="41" t="s">
        <v>398</v>
      </c>
      <c r="D190" s="88" t="s">
        <v>4281</v>
      </c>
      <c r="E190" s="88" t="s">
        <v>1637</v>
      </c>
      <c r="F190" s="88" t="s">
        <v>4282</v>
      </c>
      <c r="G190" s="88" t="s">
        <v>66</v>
      </c>
      <c r="H190" s="88" t="s">
        <v>206</v>
      </c>
      <c r="I190" s="88"/>
      <c r="J190" s="88"/>
      <c r="K190" s="88" t="s">
        <v>3568</v>
      </c>
      <c r="L190" s="88" t="s">
        <v>4190</v>
      </c>
      <c r="M190" s="88" t="s">
        <v>4190</v>
      </c>
      <c r="N190" s="8"/>
      <c r="O190" s="1"/>
    </row>
    <row r="191" spans="1:15" ht="36.6" customHeight="1">
      <c r="A191" s="88">
        <v>1</v>
      </c>
      <c r="B191" s="33" t="s">
        <v>3886</v>
      </c>
      <c r="C191" s="41" t="s">
        <v>398</v>
      </c>
      <c r="D191" s="88" t="s">
        <v>4283</v>
      </c>
      <c r="E191" s="88" t="s">
        <v>290</v>
      </c>
      <c r="F191" s="88" t="s">
        <v>4284</v>
      </c>
      <c r="G191" s="88" t="s">
        <v>756</v>
      </c>
      <c r="H191" s="88" t="s">
        <v>206</v>
      </c>
      <c r="I191" s="88"/>
      <c r="J191" s="88"/>
      <c r="K191" s="88" t="s">
        <v>3568</v>
      </c>
      <c r="L191" s="88" t="s">
        <v>4190</v>
      </c>
      <c r="M191" s="88" t="s">
        <v>4190</v>
      </c>
      <c r="N191" s="8"/>
      <c r="O191" s="1"/>
    </row>
    <row r="192" spans="1:15" ht="36.6" customHeight="1">
      <c r="A192" s="88">
        <v>1</v>
      </c>
      <c r="B192" s="33" t="s">
        <v>3886</v>
      </c>
      <c r="C192" s="41" t="s">
        <v>398</v>
      </c>
      <c r="D192" s="88" t="s">
        <v>4285</v>
      </c>
      <c r="E192" s="88" t="s">
        <v>298</v>
      </c>
      <c r="F192" s="88" t="s">
        <v>4286</v>
      </c>
      <c r="G192" s="88" t="s">
        <v>756</v>
      </c>
      <c r="H192" s="88" t="s">
        <v>206</v>
      </c>
      <c r="I192" s="88"/>
      <c r="J192" s="88"/>
      <c r="K192" s="88" t="s">
        <v>3568</v>
      </c>
      <c r="L192" s="88" t="s">
        <v>4190</v>
      </c>
      <c r="M192" s="88" t="s">
        <v>4190</v>
      </c>
      <c r="N192" s="8"/>
      <c r="O192" s="1"/>
    </row>
    <row r="193" spans="1:15" ht="36.6" customHeight="1">
      <c r="A193" s="88">
        <v>1</v>
      </c>
      <c r="B193" s="33" t="s">
        <v>3886</v>
      </c>
      <c r="C193" s="41" t="s">
        <v>398</v>
      </c>
      <c r="D193" s="88" t="s">
        <v>4287</v>
      </c>
      <c r="E193" s="88" t="s">
        <v>145</v>
      </c>
      <c r="F193" s="88" t="s">
        <v>4288</v>
      </c>
      <c r="G193" s="88" t="s">
        <v>310</v>
      </c>
      <c r="H193" s="88" t="s">
        <v>249</v>
      </c>
      <c r="I193" s="88"/>
      <c r="J193" s="88"/>
      <c r="K193" s="88" t="s">
        <v>3568</v>
      </c>
      <c r="L193" s="88" t="s">
        <v>4190</v>
      </c>
      <c r="M193" s="88" t="s">
        <v>4190</v>
      </c>
      <c r="N193" s="8"/>
      <c r="O193" s="1"/>
    </row>
    <row r="194" spans="1:15" ht="36.6" customHeight="1">
      <c r="A194" s="88">
        <v>1</v>
      </c>
      <c r="B194" s="33" t="s">
        <v>3886</v>
      </c>
      <c r="C194" s="41" t="s">
        <v>398</v>
      </c>
      <c r="D194" s="88" t="s">
        <v>4289</v>
      </c>
      <c r="E194" s="88" t="s">
        <v>3748</v>
      </c>
      <c r="F194" s="88" t="s">
        <v>4290</v>
      </c>
      <c r="G194" s="88" t="s">
        <v>66</v>
      </c>
      <c r="H194" s="88" t="s">
        <v>206</v>
      </c>
      <c r="I194" s="88"/>
      <c r="J194" s="88"/>
      <c r="K194" s="88" t="s">
        <v>3568</v>
      </c>
      <c r="L194" s="88" t="s">
        <v>4190</v>
      </c>
      <c r="M194" s="88" t="s">
        <v>4190</v>
      </c>
      <c r="N194" s="8"/>
      <c r="O194" s="1"/>
    </row>
    <row r="195" spans="1:15" ht="36.6" customHeight="1">
      <c r="A195" s="88">
        <v>1</v>
      </c>
      <c r="B195" s="33" t="s">
        <v>3886</v>
      </c>
      <c r="C195" s="41" t="s">
        <v>398</v>
      </c>
      <c r="D195" s="88" t="s">
        <v>4291</v>
      </c>
      <c r="E195" s="88" t="s">
        <v>1672</v>
      </c>
      <c r="F195" s="88" t="s">
        <v>4292</v>
      </c>
      <c r="G195" s="88" t="s">
        <v>66</v>
      </c>
      <c r="H195" s="88" t="s">
        <v>206</v>
      </c>
      <c r="I195" s="88"/>
      <c r="J195" s="88"/>
      <c r="K195" s="88" t="s">
        <v>3568</v>
      </c>
      <c r="L195" s="88" t="s">
        <v>4190</v>
      </c>
      <c r="M195" s="88" t="s">
        <v>4190</v>
      </c>
      <c r="N195" s="8"/>
      <c r="O195" s="1"/>
    </row>
    <row r="196" spans="1:15" ht="36.6" customHeight="1">
      <c r="A196" s="88">
        <v>1</v>
      </c>
      <c r="B196" s="33" t="s">
        <v>3886</v>
      </c>
      <c r="C196" s="41" t="s">
        <v>398</v>
      </c>
      <c r="D196" s="88" t="s">
        <v>4293</v>
      </c>
      <c r="E196" s="88" t="s">
        <v>1835</v>
      </c>
      <c r="F196" s="88" t="s">
        <v>4294</v>
      </c>
      <c r="G196" s="88" t="s">
        <v>756</v>
      </c>
      <c r="H196" s="88" t="s">
        <v>206</v>
      </c>
      <c r="I196" s="88"/>
      <c r="J196" s="88"/>
      <c r="K196" s="88" t="s">
        <v>3568</v>
      </c>
      <c r="L196" s="88" t="s">
        <v>4190</v>
      </c>
      <c r="M196" s="88" t="s">
        <v>4190</v>
      </c>
      <c r="N196" s="8"/>
      <c r="O196" s="1"/>
    </row>
    <row r="197" spans="1:15" ht="36.6" customHeight="1">
      <c r="A197" s="88">
        <v>1</v>
      </c>
      <c r="B197" s="33" t="s">
        <v>3886</v>
      </c>
      <c r="C197" s="41" t="s">
        <v>398</v>
      </c>
      <c r="D197" s="88" t="s">
        <v>4295</v>
      </c>
      <c r="E197" s="88" t="s">
        <v>260</v>
      </c>
      <c r="F197" s="88" t="s">
        <v>4296</v>
      </c>
      <c r="G197" s="88" t="s">
        <v>32</v>
      </c>
      <c r="H197" s="88" t="s">
        <v>215</v>
      </c>
      <c r="I197" s="88"/>
      <c r="J197" s="88"/>
      <c r="K197" s="88" t="s">
        <v>3568</v>
      </c>
      <c r="L197" s="88" t="s">
        <v>4190</v>
      </c>
      <c r="M197" s="88" t="s">
        <v>4190</v>
      </c>
      <c r="N197" s="8"/>
      <c r="O197" s="1"/>
    </row>
    <row r="198" spans="1:15" ht="36.6" customHeight="1">
      <c r="A198" s="88">
        <v>1</v>
      </c>
      <c r="B198" s="33" t="s">
        <v>3886</v>
      </c>
      <c r="C198" s="41" t="s">
        <v>398</v>
      </c>
      <c r="D198" s="88" t="s">
        <v>4297</v>
      </c>
      <c r="E198" s="88" t="s">
        <v>145</v>
      </c>
      <c r="F198" s="88" t="s">
        <v>4298</v>
      </c>
      <c r="G198" s="88" t="s">
        <v>85</v>
      </c>
      <c r="H198" s="88" t="s">
        <v>215</v>
      </c>
      <c r="I198" s="88"/>
      <c r="J198" s="88"/>
      <c r="K198" s="88" t="s">
        <v>3568</v>
      </c>
      <c r="L198" s="88" t="s">
        <v>4190</v>
      </c>
      <c r="M198" s="88" t="s">
        <v>4190</v>
      </c>
      <c r="N198" s="8"/>
      <c r="O198" s="1"/>
    </row>
    <row r="199" spans="1:15" ht="36.6" customHeight="1">
      <c r="A199" s="88">
        <v>1</v>
      </c>
      <c r="B199" s="33" t="s">
        <v>3886</v>
      </c>
      <c r="C199" s="41" t="s">
        <v>398</v>
      </c>
      <c r="D199" s="88" t="s">
        <v>4299</v>
      </c>
      <c r="E199" s="88" t="s">
        <v>1741</v>
      </c>
      <c r="F199" s="88" t="s">
        <v>4300</v>
      </c>
      <c r="G199" s="88" t="s">
        <v>756</v>
      </c>
      <c r="H199" s="88" t="s">
        <v>206</v>
      </c>
      <c r="I199" s="88"/>
      <c r="J199" s="88"/>
      <c r="K199" s="88" t="s">
        <v>3568</v>
      </c>
      <c r="L199" s="88" t="s">
        <v>4190</v>
      </c>
      <c r="M199" s="88" t="s">
        <v>4190</v>
      </c>
      <c r="N199" s="8"/>
      <c r="O199" s="1"/>
    </row>
    <row r="200" spans="1:15" ht="36.6" customHeight="1">
      <c r="A200" s="88">
        <v>1</v>
      </c>
      <c r="B200" s="33" t="s">
        <v>3886</v>
      </c>
      <c r="C200" s="41" t="s">
        <v>398</v>
      </c>
      <c r="D200" s="88" t="s">
        <v>4301</v>
      </c>
      <c r="E200" s="88" t="s">
        <v>3263</v>
      </c>
      <c r="F200" s="88" t="s">
        <v>4302</v>
      </c>
      <c r="G200" s="88" t="s">
        <v>756</v>
      </c>
      <c r="H200" s="88" t="s">
        <v>206</v>
      </c>
      <c r="I200" s="88"/>
      <c r="J200" s="88"/>
      <c r="K200" s="88" t="s">
        <v>3568</v>
      </c>
      <c r="L200" s="88" t="s">
        <v>4190</v>
      </c>
      <c r="M200" s="88" t="s">
        <v>4190</v>
      </c>
      <c r="N200" s="8"/>
      <c r="O200" s="1"/>
    </row>
    <row r="201" spans="1:15" ht="36.6" customHeight="1">
      <c r="A201" s="88">
        <v>1</v>
      </c>
      <c r="B201" s="33" t="s">
        <v>3886</v>
      </c>
      <c r="C201" s="41" t="s">
        <v>398</v>
      </c>
      <c r="D201" s="88" t="s">
        <v>4303</v>
      </c>
      <c r="E201" s="88" t="s">
        <v>817</v>
      </c>
      <c r="F201" s="88" t="s">
        <v>4304</v>
      </c>
      <c r="G201" s="88" t="s">
        <v>41</v>
      </c>
      <c r="H201" s="88" t="s">
        <v>215</v>
      </c>
      <c r="I201" s="88"/>
      <c r="J201" s="88"/>
      <c r="K201" s="88" t="s">
        <v>3568</v>
      </c>
      <c r="L201" s="88" t="s">
        <v>4190</v>
      </c>
      <c r="M201" s="88" t="s">
        <v>4190</v>
      </c>
      <c r="N201" s="8"/>
      <c r="O201" s="1"/>
    </row>
    <row r="202" spans="1:15" ht="36.6" customHeight="1">
      <c r="A202" s="88">
        <v>1</v>
      </c>
      <c r="B202" s="33" t="s">
        <v>3886</v>
      </c>
      <c r="C202" s="41" t="s">
        <v>398</v>
      </c>
      <c r="D202" s="88" t="s">
        <v>4305</v>
      </c>
      <c r="E202" s="88" t="s">
        <v>161</v>
      </c>
      <c r="F202" s="88" t="s">
        <v>4306</v>
      </c>
      <c r="G202" s="88" t="s">
        <v>66</v>
      </c>
      <c r="H202" s="88" t="s">
        <v>206</v>
      </c>
      <c r="I202" s="88"/>
      <c r="J202" s="88"/>
      <c r="K202" s="88" t="s">
        <v>3568</v>
      </c>
      <c r="L202" s="88" t="s">
        <v>4190</v>
      </c>
      <c r="M202" s="88" t="s">
        <v>4190</v>
      </c>
      <c r="N202" s="8"/>
      <c r="O202" s="1"/>
    </row>
    <row r="203" spans="1:15" ht="36.6" customHeight="1">
      <c r="A203" s="88">
        <v>1</v>
      </c>
      <c r="B203" s="33" t="s">
        <v>3886</v>
      </c>
      <c r="C203" s="41" t="s">
        <v>398</v>
      </c>
      <c r="D203" s="88" t="s">
        <v>4307</v>
      </c>
      <c r="E203" s="88" t="s">
        <v>3689</v>
      </c>
      <c r="F203" s="88" t="s">
        <v>4308</v>
      </c>
      <c r="G203" s="88" t="s">
        <v>756</v>
      </c>
      <c r="H203" s="88" t="s">
        <v>206</v>
      </c>
      <c r="I203" s="88"/>
      <c r="J203" s="88"/>
      <c r="K203" s="88" t="s">
        <v>3568</v>
      </c>
      <c r="L203" s="88" t="s">
        <v>4190</v>
      </c>
      <c r="M203" s="88" t="s">
        <v>4190</v>
      </c>
      <c r="N203" s="8"/>
      <c r="O203" s="1"/>
    </row>
    <row r="204" spans="1:15" ht="36.6" customHeight="1">
      <c r="A204" s="88">
        <v>1</v>
      </c>
      <c r="B204" s="33" t="s">
        <v>3886</v>
      </c>
      <c r="C204" s="41" t="s">
        <v>398</v>
      </c>
      <c r="D204" s="88" t="s">
        <v>4309</v>
      </c>
      <c r="E204" s="88" t="s">
        <v>3317</v>
      </c>
      <c r="F204" s="88" t="s">
        <v>4310</v>
      </c>
      <c r="G204" s="88" t="s">
        <v>85</v>
      </c>
      <c r="H204" s="88" t="s">
        <v>215</v>
      </c>
      <c r="I204" s="88"/>
      <c r="J204" s="88"/>
      <c r="K204" s="88" t="s">
        <v>3568</v>
      </c>
      <c r="L204" s="88" t="s">
        <v>4190</v>
      </c>
      <c r="M204" s="88" t="s">
        <v>4190</v>
      </c>
      <c r="N204" s="8"/>
      <c r="O204" s="1"/>
    </row>
    <row r="205" spans="1:15" ht="36.6" customHeight="1">
      <c r="A205" s="88">
        <v>1</v>
      </c>
      <c r="B205" s="33" t="s">
        <v>3886</v>
      </c>
      <c r="C205" s="41" t="s">
        <v>398</v>
      </c>
      <c r="D205" s="88" t="s">
        <v>4311</v>
      </c>
      <c r="E205" s="88" t="s">
        <v>1620</v>
      </c>
      <c r="F205" s="88" t="s">
        <v>4312</v>
      </c>
      <c r="G205" s="88" t="s">
        <v>41</v>
      </c>
      <c r="H205" s="88" t="s">
        <v>215</v>
      </c>
      <c r="I205" s="88"/>
      <c r="J205" s="88"/>
      <c r="K205" s="88" t="s">
        <v>3568</v>
      </c>
      <c r="L205" s="88" t="s">
        <v>4190</v>
      </c>
      <c r="M205" s="88" t="s">
        <v>4190</v>
      </c>
      <c r="N205" s="8"/>
      <c r="O205" s="1"/>
    </row>
    <row r="206" spans="1:15" ht="36.6" customHeight="1">
      <c r="A206" s="88">
        <v>1</v>
      </c>
      <c r="B206" s="33" t="s">
        <v>3886</v>
      </c>
      <c r="C206" s="41" t="s">
        <v>398</v>
      </c>
      <c r="D206" s="88" t="s">
        <v>4313</v>
      </c>
      <c r="E206" s="88" t="s">
        <v>4314</v>
      </c>
      <c r="F206" s="88" t="s">
        <v>4315</v>
      </c>
      <c r="G206" s="88" t="s">
        <v>756</v>
      </c>
      <c r="H206" s="88" t="s">
        <v>206</v>
      </c>
      <c r="I206" s="88"/>
      <c r="J206" s="88"/>
      <c r="K206" s="88" t="s">
        <v>3568</v>
      </c>
      <c r="L206" s="88" t="s">
        <v>4190</v>
      </c>
      <c r="M206" s="88" t="s">
        <v>4190</v>
      </c>
      <c r="N206" s="8"/>
      <c r="O206" s="1"/>
    </row>
    <row r="207" spans="1:15" ht="36.6" customHeight="1">
      <c r="A207" s="88">
        <v>1</v>
      </c>
      <c r="B207" s="33" t="s">
        <v>3886</v>
      </c>
      <c r="C207" s="41" t="s">
        <v>398</v>
      </c>
      <c r="D207" s="88" t="s">
        <v>4316</v>
      </c>
      <c r="E207" s="88" t="s">
        <v>270</v>
      </c>
      <c r="F207" s="88" t="s">
        <v>4317</v>
      </c>
      <c r="G207" s="88" t="s">
        <v>66</v>
      </c>
      <c r="H207" s="88" t="s">
        <v>206</v>
      </c>
      <c r="I207" s="88"/>
      <c r="J207" s="88"/>
      <c r="K207" s="88" t="s">
        <v>3568</v>
      </c>
      <c r="L207" s="88" t="s">
        <v>4190</v>
      </c>
      <c r="M207" s="88" t="s">
        <v>4190</v>
      </c>
      <c r="N207" s="8"/>
      <c r="O207" s="1"/>
    </row>
    <row r="208" spans="1:15" ht="36.6" customHeight="1">
      <c r="A208" s="88">
        <v>1</v>
      </c>
      <c r="B208" s="33" t="s">
        <v>3886</v>
      </c>
      <c r="C208" s="41" t="s">
        <v>398</v>
      </c>
      <c r="D208" s="88" t="s">
        <v>4318</v>
      </c>
      <c r="E208" s="88" t="s">
        <v>363</v>
      </c>
      <c r="F208" s="88" t="s">
        <v>4319</v>
      </c>
      <c r="G208" s="88" t="s">
        <v>66</v>
      </c>
      <c r="H208" s="88" t="s">
        <v>206</v>
      </c>
      <c r="I208" s="88"/>
      <c r="J208" s="88"/>
      <c r="K208" s="88" t="s">
        <v>3568</v>
      </c>
      <c r="L208" s="88" t="s">
        <v>4190</v>
      </c>
      <c r="M208" s="88" t="s">
        <v>4190</v>
      </c>
      <c r="N208" s="8"/>
      <c r="O208" s="1"/>
    </row>
    <row r="209" spans="1:15" ht="36.6" customHeight="1">
      <c r="A209" s="88">
        <v>1</v>
      </c>
      <c r="B209" s="33" t="s">
        <v>3886</v>
      </c>
      <c r="C209" s="41" t="s">
        <v>398</v>
      </c>
      <c r="D209" s="88" t="s">
        <v>4320</v>
      </c>
      <c r="E209" s="88" t="s">
        <v>1661</v>
      </c>
      <c r="F209" s="88" t="s">
        <v>4321</v>
      </c>
      <c r="G209" s="88" t="s">
        <v>66</v>
      </c>
      <c r="H209" s="88" t="s">
        <v>206</v>
      </c>
      <c r="I209" s="88"/>
      <c r="J209" s="88"/>
      <c r="K209" s="88" t="s">
        <v>3568</v>
      </c>
      <c r="L209" s="88" t="s">
        <v>4190</v>
      </c>
      <c r="M209" s="88" t="s">
        <v>4190</v>
      </c>
      <c r="N209" s="8"/>
      <c r="O209" s="1"/>
    </row>
    <row r="210" spans="1:15" ht="36.6" customHeight="1">
      <c r="A210" s="88">
        <v>1</v>
      </c>
      <c r="B210" s="33" t="s">
        <v>3886</v>
      </c>
      <c r="C210" s="41" t="s">
        <v>398</v>
      </c>
      <c r="D210" s="88" t="s">
        <v>4322</v>
      </c>
      <c r="E210" s="88" t="s">
        <v>1595</v>
      </c>
      <c r="F210" s="88" t="s">
        <v>4323</v>
      </c>
      <c r="G210" s="88" t="s">
        <v>66</v>
      </c>
      <c r="H210" s="88" t="s">
        <v>206</v>
      </c>
      <c r="I210" s="88"/>
      <c r="J210" s="88"/>
      <c r="K210" s="88" t="s">
        <v>3568</v>
      </c>
      <c r="L210" s="88" t="s">
        <v>4190</v>
      </c>
      <c r="M210" s="88" t="s">
        <v>4190</v>
      </c>
      <c r="N210" s="8"/>
      <c r="O210" s="1"/>
    </row>
    <row r="211" spans="1:15" ht="36.6" customHeight="1">
      <c r="A211" s="88">
        <v>1</v>
      </c>
      <c r="B211" s="33" t="s">
        <v>3886</v>
      </c>
      <c r="C211" s="41" t="s">
        <v>398</v>
      </c>
      <c r="D211" s="88" t="s">
        <v>4324</v>
      </c>
      <c r="E211" s="88" t="s">
        <v>1250</v>
      </c>
      <c r="F211" s="88" t="s">
        <v>4325</v>
      </c>
      <c r="G211" s="88" t="s">
        <v>41</v>
      </c>
      <c r="H211" s="88" t="s">
        <v>215</v>
      </c>
      <c r="I211" s="88"/>
      <c r="J211" s="88"/>
      <c r="K211" s="88" t="s">
        <v>3568</v>
      </c>
      <c r="L211" s="88" t="s">
        <v>4190</v>
      </c>
      <c r="M211" s="88" t="s">
        <v>4190</v>
      </c>
      <c r="N211" s="8"/>
      <c r="O211" s="1"/>
    </row>
    <row r="212" spans="1:15" ht="36.6" customHeight="1">
      <c r="A212" s="88">
        <v>1</v>
      </c>
      <c r="B212" s="33" t="s">
        <v>3886</v>
      </c>
      <c r="C212" s="41" t="s">
        <v>398</v>
      </c>
      <c r="D212" s="88" t="s">
        <v>4326</v>
      </c>
      <c r="E212" s="88" t="s">
        <v>1620</v>
      </c>
      <c r="F212" s="88" t="s">
        <v>4327</v>
      </c>
      <c r="G212" s="88" t="s">
        <v>41</v>
      </c>
      <c r="H212" s="88" t="s">
        <v>215</v>
      </c>
      <c r="I212" s="88"/>
      <c r="J212" s="88"/>
      <c r="K212" s="88" t="s">
        <v>3568</v>
      </c>
      <c r="L212" s="88" t="s">
        <v>4190</v>
      </c>
      <c r="M212" s="88" t="s">
        <v>4190</v>
      </c>
      <c r="N212" s="8"/>
      <c r="O212" s="1"/>
    </row>
    <row r="213" spans="1:15" ht="36.6" customHeight="1">
      <c r="A213" s="88">
        <v>1</v>
      </c>
      <c r="B213" s="33" t="s">
        <v>3886</v>
      </c>
      <c r="C213" s="41" t="s">
        <v>398</v>
      </c>
      <c r="D213" s="88" t="s">
        <v>4328</v>
      </c>
      <c r="E213" s="88" t="s">
        <v>39</v>
      </c>
      <c r="F213" s="88" t="s">
        <v>4329</v>
      </c>
      <c r="G213" s="88" t="s">
        <v>41</v>
      </c>
      <c r="H213" s="88" t="s">
        <v>215</v>
      </c>
      <c r="I213" s="88"/>
      <c r="J213" s="88"/>
      <c r="K213" s="88" t="s">
        <v>3568</v>
      </c>
      <c r="L213" s="88" t="s">
        <v>4190</v>
      </c>
      <c r="M213" s="88" t="s">
        <v>4190</v>
      </c>
      <c r="N213" s="8"/>
      <c r="O213" s="1"/>
    </row>
    <row r="214" spans="1:15" ht="36.6" customHeight="1">
      <c r="A214" s="88">
        <v>1</v>
      </c>
      <c r="B214" s="33" t="s">
        <v>3886</v>
      </c>
      <c r="C214" s="41" t="s">
        <v>398</v>
      </c>
      <c r="D214" s="88" t="s">
        <v>4330</v>
      </c>
      <c r="E214" s="88" t="s">
        <v>4331</v>
      </c>
      <c r="F214" s="88" t="s">
        <v>4332</v>
      </c>
      <c r="G214" s="88" t="s">
        <v>147</v>
      </c>
      <c r="H214" s="88" t="s">
        <v>215</v>
      </c>
      <c r="I214" s="88"/>
      <c r="J214" s="88"/>
      <c r="K214" s="88" t="s">
        <v>3568</v>
      </c>
      <c r="L214" s="88" t="s">
        <v>4190</v>
      </c>
      <c r="M214" s="88" t="s">
        <v>4190</v>
      </c>
      <c r="N214" s="8"/>
      <c r="O214" s="1"/>
    </row>
    <row r="215" spans="1:15" ht="36.6" customHeight="1">
      <c r="A215" s="88">
        <v>1</v>
      </c>
      <c r="B215" s="33" t="s">
        <v>3886</v>
      </c>
      <c r="C215" s="41" t="s">
        <v>398</v>
      </c>
      <c r="D215" s="88" t="s">
        <v>4333</v>
      </c>
      <c r="E215" s="88" t="s">
        <v>145</v>
      </c>
      <c r="F215" s="88" t="s">
        <v>4334</v>
      </c>
      <c r="G215" s="88" t="s">
        <v>53</v>
      </c>
      <c r="H215" s="88" t="s">
        <v>215</v>
      </c>
      <c r="I215" s="88"/>
      <c r="J215" s="88"/>
      <c r="K215" s="88" t="s">
        <v>3568</v>
      </c>
      <c r="L215" s="88" t="s">
        <v>4190</v>
      </c>
      <c r="M215" s="88" t="s">
        <v>4190</v>
      </c>
      <c r="N215" s="8"/>
      <c r="O215" s="1"/>
    </row>
    <row r="216" spans="1:15" ht="36.6" customHeight="1">
      <c r="A216" s="88">
        <v>1</v>
      </c>
      <c r="B216" s="33" t="s">
        <v>3886</v>
      </c>
      <c r="C216" s="41" t="s">
        <v>398</v>
      </c>
      <c r="D216" s="88" t="s">
        <v>4335</v>
      </c>
      <c r="E216" s="88" t="s">
        <v>2141</v>
      </c>
      <c r="F216" s="88" t="s">
        <v>4336</v>
      </c>
      <c r="G216" s="88" t="s">
        <v>1810</v>
      </c>
      <c r="H216" s="88" t="s">
        <v>215</v>
      </c>
      <c r="I216" s="88"/>
      <c r="J216" s="88"/>
      <c r="K216" s="88" t="s">
        <v>3568</v>
      </c>
      <c r="L216" s="88" t="s">
        <v>4190</v>
      </c>
      <c r="M216" s="88" t="s">
        <v>4190</v>
      </c>
      <c r="N216" s="8"/>
      <c r="O216" s="1"/>
    </row>
    <row r="217" spans="1:15" ht="36.6" customHeight="1">
      <c r="A217" s="88">
        <v>1</v>
      </c>
      <c r="B217" s="33" t="s">
        <v>3886</v>
      </c>
      <c r="C217" s="41" t="s">
        <v>398</v>
      </c>
      <c r="D217" s="88" t="s">
        <v>4337</v>
      </c>
      <c r="E217" s="88" t="s">
        <v>39</v>
      </c>
      <c r="F217" s="88" t="s">
        <v>4338</v>
      </c>
      <c r="G217" s="88" t="s">
        <v>41</v>
      </c>
      <c r="H217" s="88" t="s">
        <v>215</v>
      </c>
      <c r="I217" s="88"/>
      <c r="J217" s="88"/>
      <c r="K217" s="88" t="s">
        <v>3568</v>
      </c>
      <c r="L217" s="88" t="s">
        <v>4190</v>
      </c>
      <c r="M217" s="88" t="s">
        <v>4190</v>
      </c>
      <c r="N217" s="8"/>
      <c r="O217" s="1"/>
    </row>
    <row r="218" spans="1:15" ht="36.6" customHeight="1">
      <c r="A218" s="88">
        <v>1</v>
      </c>
      <c r="B218" s="33" t="s">
        <v>3886</v>
      </c>
      <c r="C218" s="41" t="s">
        <v>398</v>
      </c>
      <c r="D218" s="88" t="s">
        <v>4339</v>
      </c>
      <c r="E218" s="88" t="s">
        <v>39</v>
      </c>
      <c r="F218" s="88" t="s">
        <v>4340</v>
      </c>
      <c r="G218" s="88" t="s">
        <v>41</v>
      </c>
      <c r="H218" s="88" t="s">
        <v>215</v>
      </c>
      <c r="I218" s="88"/>
      <c r="J218" s="88"/>
      <c r="K218" s="88" t="s">
        <v>3568</v>
      </c>
      <c r="L218" s="88" t="s">
        <v>4190</v>
      </c>
      <c r="M218" s="88" t="s">
        <v>4190</v>
      </c>
      <c r="N218" s="8"/>
      <c r="O218" s="1"/>
    </row>
    <row r="219" spans="1:15" ht="36.6" customHeight="1">
      <c r="A219" s="88">
        <v>1</v>
      </c>
      <c r="B219" s="33" t="s">
        <v>3886</v>
      </c>
      <c r="C219" s="41" t="s">
        <v>398</v>
      </c>
      <c r="D219" s="88" t="s">
        <v>4341</v>
      </c>
      <c r="E219" s="88" t="s">
        <v>260</v>
      </c>
      <c r="F219" s="88" t="s">
        <v>4342</v>
      </c>
      <c r="G219" s="88" t="s">
        <v>32</v>
      </c>
      <c r="H219" s="88" t="s">
        <v>215</v>
      </c>
      <c r="I219" s="88"/>
      <c r="J219" s="88"/>
      <c r="K219" s="88" t="s">
        <v>3568</v>
      </c>
      <c r="L219" s="88" t="s">
        <v>4190</v>
      </c>
      <c r="M219" s="88" t="s">
        <v>4190</v>
      </c>
      <c r="N219" s="8"/>
      <c r="O219" s="1"/>
    </row>
    <row r="220" spans="1:15" ht="36.6" customHeight="1">
      <c r="A220" s="88">
        <v>1</v>
      </c>
      <c r="B220" s="33" t="s">
        <v>3886</v>
      </c>
      <c r="C220" s="41" t="s">
        <v>398</v>
      </c>
      <c r="D220" s="88" t="s">
        <v>4343</v>
      </c>
      <c r="E220" s="88" t="s">
        <v>4344</v>
      </c>
      <c r="F220" s="88" t="s">
        <v>4345</v>
      </c>
      <c r="G220" s="88" t="s">
        <v>243</v>
      </c>
      <c r="H220" s="88" t="s">
        <v>215</v>
      </c>
      <c r="I220" s="88"/>
      <c r="J220" s="88"/>
      <c r="K220" s="88" t="s">
        <v>3568</v>
      </c>
      <c r="L220" s="88" t="s">
        <v>4190</v>
      </c>
      <c r="M220" s="88" t="s">
        <v>4190</v>
      </c>
      <c r="N220" s="8"/>
      <c r="O220" s="1"/>
    </row>
    <row r="221" spans="1:15" ht="36.6" customHeight="1">
      <c r="A221" s="88">
        <v>1</v>
      </c>
      <c r="B221" s="33" t="s">
        <v>3886</v>
      </c>
      <c r="C221" s="41" t="s">
        <v>398</v>
      </c>
      <c r="D221" s="88" t="s">
        <v>4346</v>
      </c>
      <c r="E221" s="88" t="s">
        <v>1250</v>
      </c>
      <c r="F221" s="88" t="s">
        <v>4347</v>
      </c>
      <c r="G221" s="88" t="s">
        <v>41</v>
      </c>
      <c r="H221" s="88" t="s">
        <v>215</v>
      </c>
      <c r="I221" s="88"/>
      <c r="J221" s="88"/>
      <c r="K221" s="88" t="s">
        <v>3568</v>
      </c>
      <c r="L221" s="88" t="s">
        <v>4190</v>
      </c>
      <c r="M221" s="88" t="s">
        <v>4190</v>
      </c>
      <c r="N221" s="8"/>
      <c r="O221" s="1"/>
    </row>
    <row r="222" spans="1:15" ht="36.6" customHeight="1">
      <c r="A222" s="75">
        <v>1</v>
      </c>
      <c r="B222" s="33" t="s">
        <v>3954</v>
      </c>
      <c r="C222" s="41" t="s">
        <v>28</v>
      </c>
      <c r="D222" s="41" t="s">
        <v>4348</v>
      </c>
      <c r="E222" s="41" t="s">
        <v>39</v>
      </c>
      <c r="F222" s="41" t="s">
        <v>4349</v>
      </c>
      <c r="G222" s="41" t="s">
        <v>1091</v>
      </c>
      <c r="H222" s="8" t="s">
        <v>33</v>
      </c>
      <c r="I222" s="70"/>
      <c r="J222" s="70"/>
      <c r="K222" s="41" t="s">
        <v>2050</v>
      </c>
      <c r="L222" s="41" t="s">
        <v>61</v>
      </c>
      <c r="M222" s="9" t="s">
        <v>4350</v>
      </c>
      <c r="N222" s="8"/>
      <c r="O222" s="1"/>
    </row>
    <row r="223" spans="1:15" ht="36.6" customHeight="1">
      <c r="A223" s="10">
        <v>1</v>
      </c>
      <c r="B223" s="33" t="s">
        <v>3954</v>
      </c>
      <c r="C223" s="41" t="s">
        <v>28</v>
      </c>
      <c r="D223" s="41" t="s">
        <v>4351</v>
      </c>
      <c r="E223" s="41" t="s">
        <v>1213</v>
      </c>
      <c r="F223" s="41">
        <v>51985278849</v>
      </c>
      <c r="G223" s="41" t="s">
        <v>66</v>
      </c>
      <c r="H223" s="8" t="s">
        <v>67</v>
      </c>
      <c r="I223" s="70"/>
      <c r="J223" s="70"/>
      <c r="K223" s="41" t="s">
        <v>55</v>
      </c>
      <c r="L223" s="41" t="s">
        <v>35</v>
      </c>
      <c r="M223" s="9" t="s">
        <v>4352</v>
      </c>
      <c r="N223" s="8"/>
      <c r="O223" s="1"/>
    </row>
    <row r="224" spans="1:15" ht="36.6" hidden="1" customHeight="1">
      <c r="A224" s="75">
        <v>1</v>
      </c>
      <c r="B224" s="33" t="s">
        <v>3954</v>
      </c>
      <c r="C224" s="41" t="s">
        <v>93</v>
      </c>
      <c r="D224" s="41" t="s">
        <v>4353</v>
      </c>
      <c r="E224" s="41" t="s">
        <v>270</v>
      </c>
      <c r="F224" s="41" t="s">
        <v>4354</v>
      </c>
      <c r="G224" s="41" t="s">
        <v>66</v>
      </c>
      <c r="H224" s="8" t="s">
        <v>67</v>
      </c>
      <c r="I224" s="70"/>
      <c r="J224" s="70"/>
      <c r="K224" s="41" t="s">
        <v>2050</v>
      </c>
      <c r="L224" s="41"/>
      <c r="M224" s="68" t="s">
        <v>4355</v>
      </c>
      <c r="N224" s="8"/>
      <c r="O224" s="1"/>
    </row>
    <row r="225" spans="1:15" ht="36.6" hidden="1" customHeight="1">
      <c r="A225" s="10">
        <v>1</v>
      </c>
      <c r="B225" s="33" t="s">
        <v>3954</v>
      </c>
      <c r="C225" s="41" t="s">
        <v>93</v>
      </c>
      <c r="D225" s="41" t="s">
        <v>4356</v>
      </c>
      <c r="E225" s="41" t="s">
        <v>4357</v>
      </c>
      <c r="F225" s="41">
        <v>51999762771</v>
      </c>
      <c r="G225" s="41" t="s">
        <v>66</v>
      </c>
      <c r="H225" s="8" t="s">
        <v>67</v>
      </c>
      <c r="I225" s="70"/>
      <c r="J225" s="70"/>
      <c r="K225" s="41" t="s">
        <v>55</v>
      </c>
      <c r="L225" s="41"/>
      <c r="M225" s="9" t="s">
        <v>4358</v>
      </c>
      <c r="N225" s="8"/>
      <c r="O225" s="1"/>
    </row>
    <row r="226" spans="1:15" ht="36.6" customHeight="1">
      <c r="A226" s="75">
        <v>1</v>
      </c>
      <c r="B226" s="33" t="s">
        <v>3954</v>
      </c>
      <c r="C226" s="41" t="s">
        <v>28</v>
      </c>
      <c r="D226" s="41" t="s">
        <v>4015</v>
      </c>
      <c r="E226" s="41" t="s">
        <v>2563</v>
      </c>
      <c r="F226" s="41" t="s">
        <v>4359</v>
      </c>
      <c r="G226" s="41" t="s">
        <v>1236</v>
      </c>
      <c r="H226" s="8" t="s">
        <v>33</v>
      </c>
      <c r="I226" s="70" t="s">
        <v>4207</v>
      </c>
      <c r="J226" s="70"/>
      <c r="K226" s="41" t="s">
        <v>2050</v>
      </c>
      <c r="L226" s="41" t="s">
        <v>61</v>
      </c>
      <c r="M226" s="9" t="s">
        <v>2146</v>
      </c>
      <c r="N226" s="8"/>
      <c r="O226" s="1"/>
    </row>
    <row r="227" spans="1:15" ht="36.6" customHeight="1">
      <c r="A227" s="10">
        <v>1</v>
      </c>
      <c r="B227" s="33" t="s">
        <v>3954</v>
      </c>
      <c r="C227" s="41" t="s">
        <v>28</v>
      </c>
      <c r="D227" s="41" t="s">
        <v>4360</v>
      </c>
      <c r="E227" s="41" t="s">
        <v>4361</v>
      </c>
      <c r="F227" s="41">
        <v>51992117172</v>
      </c>
      <c r="G227" s="41" t="s">
        <v>2635</v>
      </c>
      <c r="H227" s="8" t="s">
        <v>33</v>
      </c>
      <c r="I227" s="70" t="s">
        <v>4207</v>
      </c>
      <c r="J227" s="70"/>
      <c r="K227" s="41" t="s">
        <v>55</v>
      </c>
      <c r="L227" s="41" t="s">
        <v>61</v>
      </c>
      <c r="M227" s="9" t="s">
        <v>4362</v>
      </c>
      <c r="N227" s="8"/>
      <c r="O227" s="1"/>
    </row>
    <row r="228" spans="1:15" ht="36.6" customHeight="1">
      <c r="A228" s="10">
        <v>1</v>
      </c>
      <c r="B228" s="33" t="s">
        <v>3954</v>
      </c>
      <c r="C228" s="41" t="s">
        <v>28</v>
      </c>
      <c r="D228" s="41" t="s">
        <v>4363</v>
      </c>
      <c r="E228" s="41" t="s">
        <v>4364</v>
      </c>
      <c r="F228" s="41" t="s">
        <v>4365</v>
      </c>
      <c r="G228" s="41" t="s">
        <v>559</v>
      </c>
      <c r="H228" s="8" t="s">
        <v>33</v>
      </c>
      <c r="I228" s="70" t="s">
        <v>3841</v>
      </c>
      <c r="J228" s="70"/>
      <c r="K228" s="41" t="s">
        <v>2050</v>
      </c>
      <c r="L228" s="41" t="s">
        <v>133</v>
      </c>
      <c r="M228" s="9" t="s">
        <v>4366</v>
      </c>
      <c r="N228" s="8"/>
      <c r="O228" s="1"/>
    </row>
    <row r="229" spans="1:15" ht="36.6" customHeight="1">
      <c r="A229" s="10">
        <v>1</v>
      </c>
      <c r="B229" s="33" t="s">
        <v>3954</v>
      </c>
      <c r="C229" s="41" t="s">
        <v>28</v>
      </c>
      <c r="D229" s="41" t="s">
        <v>4367</v>
      </c>
      <c r="E229" s="41" t="s">
        <v>1542</v>
      </c>
      <c r="F229" s="41" t="s">
        <v>4368</v>
      </c>
      <c r="G229" s="41" t="s">
        <v>559</v>
      </c>
      <c r="H229" s="8" t="s">
        <v>33</v>
      </c>
      <c r="I229" s="70" t="s">
        <v>3841</v>
      </c>
      <c r="J229" s="70"/>
      <c r="K229" s="41" t="s">
        <v>2050</v>
      </c>
      <c r="L229" s="41" t="s">
        <v>35</v>
      </c>
      <c r="M229" s="9" t="s">
        <v>4369</v>
      </c>
      <c r="N229" s="8"/>
      <c r="O229" s="1"/>
    </row>
    <row r="230" spans="1:15" ht="36.6" customHeight="1">
      <c r="A230" s="10">
        <v>1</v>
      </c>
      <c r="B230" s="33" t="s">
        <v>3954</v>
      </c>
      <c r="C230" s="41" t="s">
        <v>28</v>
      </c>
      <c r="D230" s="41" t="s">
        <v>4370</v>
      </c>
      <c r="E230" s="41" t="s">
        <v>4371</v>
      </c>
      <c r="F230" s="41" t="s">
        <v>4372</v>
      </c>
      <c r="G230" s="41" t="s">
        <v>559</v>
      </c>
      <c r="H230" s="8" t="s">
        <v>33</v>
      </c>
      <c r="I230" s="70"/>
      <c r="J230" s="70"/>
      <c r="K230" s="41" t="s">
        <v>49</v>
      </c>
      <c r="L230" s="41" t="s">
        <v>61</v>
      </c>
      <c r="M230" s="9" t="s">
        <v>4373</v>
      </c>
      <c r="N230" s="8"/>
      <c r="O230" s="1"/>
    </row>
    <row r="231" spans="1:15" ht="36.6" hidden="1" customHeight="1">
      <c r="A231" s="10">
        <v>1</v>
      </c>
      <c r="B231" s="33" t="s">
        <v>3954</v>
      </c>
      <c r="C231" s="41" t="s">
        <v>93</v>
      </c>
      <c r="D231" s="41" t="s">
        <v>4374</v>
      </c>
      <c r="E231" s="41" t="s">
        <v>4375</v>
      </c>
      <c r="F231" s="41">
        <v>51995315075</v>
      </c>
      <c r="G231" s="41" t="s">
        <v>809</v>
      </c>
      <c r="H231" s="8" t="s">
        <v>67</v>
      </c>
      <c r="I231" s="70"/>
      <c r="J231" s="70"/>
      <c r="K231" s="41" t="s">
        <v>55</v>
      </c>
      <c r="L231" s="41"/>
      <c r="M231" s="9" t="s">
        <v>4376</v>
      </c>
      <c r="N231" s="8"/>
      <c r="O231" s="1"/>
    </row>
    <row r="232" spans="1:15" ht="36.6" customHeight="1">
      <c r="A232" s="10">
        <v>1</v>
      </c>
      <c r="B232" s="33" t="s">
        <v>3954</v>
      </c>
      <c r="C232" s="41" t="s">
        <v>28</v>
      </c>
      <c r="D232" s="41" t="s">
        <v>4377</v>
      </c>
      <c r="E232" s="41" t="s">
        <v>3268</v>
      </c>
      <c r="F232" s="41" t="s">
        <v>4378</v>
      </c>
      <c r="G232" s="41" t="s">
        <v>1810</v>
      </c>
      <c r="H232" s="8" t="s">
        <v>33</v>
      </c>
      <c r="I232" s="70"/>
      <c r="J232" s="70"/>
      <c r="K232" s="41" t="s">
        <v>49</v>
      </c>
      <c r="L232" s="41" t="s">
        <v>61</v>
      </c>
      <c r="M232" s="9" t="s">
        <v>4379</v>
      </c>
      <c r="N232" s="8"/>
      <c r="O232" s="1"/>
    </row>
    <row r="233" spans="1:15" ht="36.6" hidden="1" customHeight="1">
      <c r="A233" s="10">
        <v>1</v>
      </c>
      <c r="B233" s="33" t="s">
        <v>3954</v>
      </c>
      <c r="C233" s="41" t="s">
        <v>93</v>
      </c>
      <c r="D233" s="41" t="s">
        <v>4380</v>
      </c>
      <c r="E233" s="41" t="s">
        <v>817</v>
      </c>
      <c r="F233" s="41" t="s">
        <v>4381</v>
      </c>
      <c r="G233" s="41" t="s">
        <v>41</v>
      </c>
      <c r="H233" s="8" t="s">
        <v>33</v>
      </c>
      <c r="I233" s="70"/>
      <c r="J233" s="70"/>
      <c r="K233" s="41" t="s">
        <v>49</v>
      </c>
      <c r="L233" s="41"/>
      <c r="M233" s="9" t="s">
        <v>4382</v>
      </c>
      <c r="N233" s="8"/>
      <c r="O233" s="1"/>
    </row>
    <row r="234" spans="1:15" ht="36.6" hidden="1" customHeight="1">
      <c r="A234" s="10">
        <v>1</v>
      </c>
      <c r="B234" s="33" t="s">
        <v>3954</v>
      </c>
      <c r="C234" s="41" t="s">
        <v>93</v>
      </c>
      <c r="D234" s="41" t="s">
        <v>4383</v>
      </c>
      <c r="E234" s="41" t="s">
        <v>315</v>
      </c>
      <c r="F234" s="41" t="s">
        <v>4384</v>
      </c>
      <c r="G234" s="41" t="s">
        <v>66</v>
      </c>
      <c r="H234" s="8" t="s">
        <v>67</v>
      </c>
      <c r="I234" s="70"/>
      <c r="J234" s="70"/>
      <c r="K234" s="41" t="s">
        <v>49</v>
      </c>
      <c r="L234" s="41"/>
      <c r="M234" s="9" t="s">
        <v>4385</v>
      </c>
      <c r="N234" s="8"/>
      <c r="O234" s="1"/>
    </row>
    <row r="235" spans="1:15" ht="36.6" hidden="1" customHeight="1">
      <c r="A235" s="10">
        <v>1</v>
      </c>
      <c r="B235" s="33" t="s">
        <v>3954</v>
      </c>
      <c r="C235" s="41" t="s">
        <v>93</v>
      </c>
      <c r="D235" s="41" t="s">
        <v>4386</v>
      </c>
      <c r="E235" s="41" t="s">
        <v>270</v>
      </c>
      <c r="F235" s="41">
        <v>51995315075</v>
      </c>
      <c r="G235" s="41" t="s">
        <v>66</v>
      </c>
      <c r="H235" s="8" t="s">
        <v>67</v>
      </c>
      <c r="I235" s="70"/>
      <c r="J235" s="70"/>
      <c r="K235" s="41" t="s">
        <v>55</v>
      </c>
      <c r="L235" s="41"/>
      <c r="M235" s="68" t="s">
        <v>4387</v>
      </c>
      <c r="N235" s="8"/>
      <c r="O235" s="1"/>
    </row>
    <row r="236" spans="1:15" ht="36.6" customHeight="1">
      <c r="A236" s="10">
        <v>1</v>
      </c>
      <c r="B236" s="33" t="s">
        <v>3954</v>
      </c>
      <c r="C236" s="41" t="s">
        <v>28</v>
      </c>
      <c r="D236" s="41" t="s">
        <v>4388</v>
      </c>
      <c r="E236" s="41" t="s">
        <v>846</v>
      </c>
      <c r="F236" s="41" t="s">
        <v>4389</v>
      </c>
      <c r="G236" s="41" t="s">
        <v>32</v>
      </c>
      <c r="H236" s="8" t="s">
        <v>33</v>
      </c>
      <c r="I236" s="70"/>
      <c r="J236" s="70"/>
      <c r="K236" s="41" t="s">
        <v>49</v>
      </c>
      <c r="L236" s="41" t="s">
        <v>35</v>
      </c>
      <c r="M236" s="9" t="s">
        <v>4390</v>
      </c>
      <c r="N236" s="8"/>
      <c r="O236" s="1"/>
    </row>
    <row r="237" spans="1:15" ht="36.6" customHeight="1">
      <c r="A237" s="10">
        <v>1</v>
      </c>
      <c r="B237" s="33" t="s">
        <v>3954</v>
      </c>
      <c r="C237" s="41" t="s">
        <v>28</v>
      </c>
      <c r="D237" s="41" t="s">
        <v>4391</v>
      </c>
      <c r="E237" s="41" t="s">
        <v>127</v>
      </c>
      <c r="F237" s="41" t="s">
        <v>4392</v>
      </c>
      <c r="G237" s="41" t="s">
        <v>1236</v>
      </c>
      <c r="H237" s="8" t="s">
        <v>33</v>
      </c>
      <c r="I237" s="70" t="s">
        <v>3841</v>
      </c>
      <c r="J237" s="70"/>
      <c r="K237" s="41" t="s">
        <v>2050</v>
      </c>
      <c r="L237" s="41" t="s">
        <v>128</v>
      </c>
      <c r="M237" s="9" t="s">
        <v>4393</v>
      </c>
      <c r="N237" s="8"/>
      <c r="O237" s="1"/>
    </row>
    <row r="238" spans="1:15" ht="36.6" hidden="1" customHeight="1">
      <c r="A238" s="10">
        <v>1</v>
      </c>
      <c r="B238" s="33" t="s">
        <v>3954</v>
      </c>
      <c r="C238" s="41" t="s">
        <v>93</v>
      </c>
      <c r="D238" s="41" t="s">
        <v>2298</v>
      </c>
      <c r="E238" s="41" t="s">
        <v>4394</v>
      </c>
      <c r="F238" s="41">
        <v>51992667794</v>
      </c>
      <c r="G238" s="41" t="s">
        <v>66</v>
      </c>
      <c r="H238" s="8" t="s">
        <v>67</v>
      </c>
      <c r="I238" s="70"/>
      <c r="J238" s="70"/>
      <c r="K238" s="41" t="s">
        <v>55</v>
      </c>
      <c r="L238" s="41"/>
      <c r="M238" s="9" t="s">
        <v>741</v>
      </c>
      <c r="N238" s="8"/>
      <c r="O238" s="1"/>
    </row>
    <row r="239" spans="1:15" ht="36.6" customHeight="1">
      <c r="A239" s="10">
        <v>1</v>
      </c>
      <c r="B239" s="33" t="s">
        <v>3954</v>
      </c>
      <c r="C239" s="41" t="s">
        <v>28</v>
      </c>
      <c r="D239" s="41" t="s">
        <v>4395</v>
      </c>
      <c r="E239" s="41" t="s">
        <v>3672</v>
      </c>
      <c r="F239" s="41" t="s">
        <v>4396</v>
      </c>
      <c r="G239" s="41" t="s">
        <v>559</v>
      </c>
      <c r="H239" s="8" t="s">
        <v>33</v>
      </c>
      <c r="I239" s="70" t="s">
        <v>2760</v>
      </c>
      <c r="J239" s="70"/>
      <c r="K239" s="41" t="s">
        <v>2050</v>
      </c>
      <c r="L239" s="41" t="s">
        <v>61</v>
      </c>
      <c r="M239" s="9" t="s">
        <v>4397</v>
      </c>
      <c r="N239" s="8"/>
      <c r="O239" s="1"/>
    </row>
    <row r="240" spans="1:15" ht="36.6" customHeight="1">
      <c r="A240" s="10">
        <v>1</v>
      </c>
      <c r="B240" s="33" t="s">
        <v>3954</v>
      </c>
      <c r="C240" s="41" t="s">
        <v>28</v>
      </c>
      <c r="D240" s="41" t="s">
        <v>4398</v>
      </c>
      <c r="E240" s="41" t="s">
        <v>697</v>
      </c>
      <c r="F240" s="41" t="s">
        <v>4399</v>
      </c>
      <c r="G240" s="41" t="s">
        <v>559</v>
      </c>
      <c r="H240" s="8" t="s">
        <v>33</v>
      </c>
      <c r="I240" s="70" t="s">
        <v>2760</v>
      </c>
      <c r="J240" s="70"/>
      <c r="K240" s="41" t="s">
        <v>2050</v>
      </c>
      <c r="L240" s="41" t="s">
        <v>61</v>
      </c>
      <c r="M240" s="9" t="s">
        <v>4400</v>
      </c>
      <c r="N240" s="8"/>
      <c r="O240" s="1"/>
    </row>
    <row r="241" spans="1:15" ht="36.6" customHeight="1">
      <c r="A241" s="10">
        <v>1</v>
      </c>
      <c r="B241" s="33" t="s">
        <v>3954</v>
      </c>
      <c r="C241" s="41" t="s">
        <v>28</v>
      </c>
      <c r="D241" s="41" t="s">
        <v>4401</v>
      </c>
      <c r="E241" s="41" t="s">
        <v>39</v>
      </c>
      <c r="F241" s="41" t="s">
        <v>4402</v>
      </c>
      <c r="G241" s="41" t="s">
        <v>1091</v>
      </c>
      <c r="H241" s="8" t="s">
        <v>33</v>
      </c>
      <c r="I241" s="70" t="s">
        <v>2062</v>
      </c>
      <c r="J241" s="70"/>
      <c r="K241" s="41" t="s">
        <v>2050</v>
      </c>
      <c r="L241" s="41" t="s">
        <v>128</v>
      </c>
      <c r="M241" s="9" t="s">
        <v>4403</v>
      </c>
      <c r="N241" s="8"/>
      <c r="O241" s="1"/>
    </row>
    <row r="242" spans="1:15" ht="36.6" customHeight="1">
      <c r="A242" s="10">
        <v>1</v>
      </c>
      <c r="B242" s="33" t="s">
        <v>3954</v>
      </c>
      <c r="C242" s="41" t="s">
        <v>28</v>
      </c>
      <c r="D242" s="41" t="s">
        <v>4404</v>
      </c>
      <c r="E242" s="41" t="s">
        <v>39</v>
      </c>
      <c r="F242" s="41">
        <v>51992117172</v>
      </c>
      <c r="G242" s="41" t="s">
        <v>1091</v>
      </c>
      <c r="H242" s="8" t="s">
        <v>33</v>
      </c>
      <c r="I242" s="70" t="s">
        <v>54</v>
      </c>
      <c r="J242" s="70"/>
      <c r="K242" s="41" t="s">
        <v>55</v>
      </c>
      <c r="L242" s="41" t="s">
        <v>56</v>
      </c>
      <c r="M242" s="9" t="s">
        <v>4405</v>
      </c>
      <c r="N242" s="8"/>
      <c r="O242" s="1"/>
    </row>
    <row r="243" spans="1:15" ht="36.6" customHeight="1">
      <c r="A243" s="10">
        <v>1</v>
      </c>
      <c r="B243" s="33" t="s">
        <v>3954</v>
      </c>
      <c r="C243" s="41" t="s">
        <v>28</v>
      </c>
      <c r="D243" s="41" t="s">
        <v>4406</v>
      </c>
      <c r="E243" s="41" t="s">
        <v>39</v>
      </c>
      <c r="F243" s="41" t="s">
        <v>4407</v>
      </c>
      <c r="G243" s="41" t="s">
        <v>1091</v>
      </c>
      <c r="H243" s="8" t="s">
        <v>33</v>
      </c>
      <c r="I243" s="70" t="s">
        <v>2062</v>
      </c>
      <c r="J243" s="70"/>
      <c r="K243" s="41" t="s">
        <v>2050</v>
      </c>
      <c r="L243" s="41" t="s">
        <v>61</v>
      </c>
      <c r="M243" s="9" t="s">
        <v>4408</v>
      </c>
      <c r="N243" s="8"/>
      <c r="O243" s="1"/>
    </row>
    <row r="244" spans="1:15" ht="36.6" hidden="1" customHeight="1">
      <c r="A244" s="10">
        <v>1</v>
      </c>
      <c r="B244" s="33" t="s">
        <v>3954</v>
      </c>
      <c r="C244" s="41" t="s">
        <v>93</v>
      </c>
      <c r="D244" s="41" t="s">
        <v>4409</v>
      </c>
      <c r="E244" s="41" t="s">
        <v>312</v>
      </c>
      <c r="F244" s="41" t="s">
        <v>2078</v>
      </c>
      <c r="G244" s="41" t="s">
        <v>41</v>
      </c>
      <c r="H244" s="8" t="s">
        <v>33</v>
      </c>
      <c r="I244" s="70"/>
      <c r="J244" s="70"/>
      <c r="K244" s="41" t="s">
        <v>49</v>
      </c>
      <c r="L244" s="41"/>
      <c r="M244" s="9" t="s">
        <v>4410</v>
      </c>
      <c r="N244" s="8"/>
      <c r="O244" s="1"/>
    </row>
    <row r="245" spans="1:15" ht="36.6" hidden="1" customHeight="1">
      <c r="A245" s="10">
        <v>1</v>
      </c>
      <c r="B245" s="33" t="s">
        <v>3954</v>
      </c>
      <c r="C245" s="41" t="s">
        <v>93</v>
      </c>
      <c r="D245" s="41" t="s">
        <v>4411</v>
      </c>
      <c r="E245" s="41" t="s">
        <v>615</v>
      </c>
      <c r="F245" s="41" t="s">
        <v>4412</v>
      </c>
      <c r="G245" s="41" t="s">
        <v>66</v>
      </c>
      <c r="H245" s="8" t="s">
        <v>67</v>
      </c>
      <c r="I245" s="70"/>
      <c r="J245" s="70"/>
      <c r="K245" s="41" t="s">
        <v>49</v>
      </c>
      <c r="L245" s="41"/>
      <c r="M245" s="9" t="s">
        <v>4413</v>
      </c>
      <c r="N245" s="8"/>
      <c r="O245" s="1"/>
    </row>
    <row r="246" spans="1:15" ht="36.6" customHeight="1">
      <c r="A246" s="10">
        <v>1</v>
      </c>
      <c r="B246" s="33" t="s">
        <v>3954</v>
      </c>
      <c r="C246" s="41" t="s">
        <v>28</v>
      </c>
      <c r="D246" s="41" t="s">
        <v>4414</v>
      </c>
      <c r="E246" s="41" t="s">
        <v>39</v>
      </c>
      <c r="F246" s="41">
        <v>51996323336</v>
      </c>
      <c r="G246" s="41" t="s">
        <v>41</v>
      </c>
      <c r="H246" s="8" t="s">
        <v>33</v>
      </c>
      <c r="I246" s="70" t="s">
        <v>54</v>
      </c>
      <c r="J246" s="70"/>
      <c r="K246" s="41" t="s">
        <v>55</v>
      </c>
      <c r="L246" s="41" t="s">
        <v>56</v>
      </c>
      <c r="M246" s="9" t="s">
        <v>4415</v>
      </c>
      <c r="N246" s="8"/>
      <c r="O246" s="1"/>
    </row>
    <row r="247" spans="1:15" ht="36.6" customHeight="1">
      <c r="A247" s="10">
        <v>1</v>
      </c>
      <c r="B247" s="33" t="s">
        <v>3954</v>
      </c>
      <c r="C247" s="41" t="s">
        <v>28</v>
      </c>
      <c r="D247" s="41" t="s">
        <v>4416</v>
      </c>
      <c r="E247" s="41" t="s">
        <v>39</v>
      </c>
      <c r="F247" s="41">
        <v>51999055509</v>
      </c>
      <c r="G247" s="41" t="s">
        <v>41</v>
      </c>
      <c r="H247" s="8" t="s">
        <v>33</v>
      </c>
      <c r="I247" s="70"/>
      <c r="J247" s="70"/>
      <c r="K247" s="41" t="s">
        <v>55</v>
      </c>
      <c r="L247" s="41" t="s">
        <v>61</v>
      </c>
      <c r="M247" s="9" t="s">
        <v>4417</v>
      </c>
      <c r="N247" s="8"/>
      <c r="O247" s="1"/>
    </row>
    <row r="248" spans="1:15" ht="36.6" customHeight="1">
      <c r="A248" s="10">
        <v>1</v>
      </c>
      <c r="B248" s="33" t="s">
        <v>3954</v>
      </c>
      <c r="C248" s="41" t="s">
        <v>28</v>
      </c>
      <c r="D248" s="41" t="s">
        <v>4418</v>
      </c>
      <c r="E248" s="41" t="s">
        <v>442</v>
      </c>
      <c r="F248" s="41">
        <v>51984499262</v>
      </c>
      <c r="G248" s="41" t="s">
        <v>147</v>
      </c>
      <c r="H248" s="8" t="s">
        <v>33</v>
      </c>
      <c r="I248" s="70" t="s">
        <v>4207</v>
      </c>
      <c r="J248" s="70"/>
      <c r="K248" s="41" t="s">
        <v>55</v>
      </c>
      <c r="L248" s="41" t="s">
        <v>61</v>
      </c>
      <c r="M248" s="9" t="s">
        <v>4419</v>
      </c>
      <c r="N248" s="8"/>
      <c r="O248" s="1"/>
    </row>
    <row r="249" spans="1:15" ht="36.6" customHeight="1">
      <c r="A249" s="10">
        <v>1</v>
      </c>
      <c r="B249" s="33" t="s">
        <v>3954</v>
      </c>
      <c r="C249" s="41" t="s">
        <v>28</v>
      </c>
      <c r="D249" s="41" t="s">
        <v>4420</v>
      </c>
      <c r="E249" s="41" t="s">
        <v>454</v>
      </c>
      <c r="F249" s="41" t="s">
        <v>4421</v>
      </c>
      <c r="G249" s="41" t="s">
        <v>66</v>
      </c>
      <c r="H249" s="8" t="s">
        <v>67</v>
      </c>
      <c r="I249" s="70"/>
      <c r="J249" s="70"/>
      <c r="K249" s="41" t="s">
        <v>49</v>
      </c>
      <c r="L249" s="41" t="s">
        <v>61</v>
      </c>
      <c r="M249" s="9" t="s">
        <v>4422</v>
      </c>
      <c r="N249" s="8"/>
      <c r="O249" s="1"/>
    </row>
    <row r="250" spans="1:15" ht="36.6" hidden="1" customHeight="1">
      <c r="A250" s="10">
        <v>1</v>
      </c>
      <c r="B250" s="33" t="s">
        <v>3954</v>
      </c>
      <c r="C250" s="41" t="s">
        <v>93</v>
      </c>
      <c r="D250" s="41" t="s">
        <v>4423</v>
      </c>
      <c r="E250" s="41" t="s">
        <v>285</v>
      </c>
      <c r="F250" s="41" t="s">
        <v>4424</v>
      </c>
      <c r="G250" s="41" t="s">
        <v>66</v>
      </c>
      <c r="H250" s="8" t="s">
        <v>67</v>
      </c>
      <c r="I250" s="70"/>
      <c r="J250" s="70"/>
      <c r="K250" s="41" t="s">
        <v>49</v>
      </c>
      <c r="L250" s="41"/>
      <c r="M250" s="9" t="s">
        <v>4425</v>
      </c>
      <c r="N250" s="8"/>
      <c r="O250" s="1"/>
    </row>
    <row r="251" spans="1:15" ht="36.6" hidden="1" customHeight="1">
      <c r="A251" s="10">
        <v>1</v>
      </c>
      <c r="B251" s="33" t="s">
        <v>3954</v>
      </c>
      <c r="C251" s="41" t="s">
        <v>93</v>
      </c>
      <c r="D251" s="41" t="s">
        <v>4426</v>
      </c>
      <c r="E251" s="41" t="s">
        <v>122</v>
      </c>
      <c r="F251" s="41" t="s">
        <v>4424</v>
      </c>
      <c r="G251" s="41" t="s">
        <v>73</v>
      </c>
      <c r="H251" s="8" t="s">
        <v>33</v>
      </c>
      <c r="I251" s="70"/>
      <c r="J251" s="70"/>
      <c r="K251" s="41" t="s">
        <v>49</v>
      </c>
      <c r="L251" s="41"/>
      <c r="M251" s="9" t="s">
        <v>4427</v>
      </c>
      <c r="N251" s="8"/>
      <c r="O251" s="1"/>
    </row>
    <row r="252" spans="1:15" ht="36.6" hidden="1" customHeight="1">
      <c r="A252" s="10">
        <v>1</v>
      </c>
      <c r="B252" s="33" t="s">
        <v>3954</v>
      </c>
      <c r="C252" s="41" t="s">
        <v>93</v>
      </c>
      <c r="D252" s="41" t="s">
        <v>1019</v>
      </c>
      <c r="E252" s="41" t="s">
        <v>967</v>
      </c>
      <c r="F252" s="41">
        <v>51986069360</v>
      </c>
      <c r="G252" s="41" t="s">
        <v>53</v>
      </c>
      <c r="H252" s="8" t="s">
        <v>33</v>
      </c>
      <c r="I252" s="70"/>
      <c r="J252" s="70"/>
      <c r="K252" s="41" t="s">
        <v>55</v>
      </c>
      <c r="L252" s="41"/>
      <c r="M252" s="9" t="s">
        <v>4428</v>
      </c>
      <c r="N252" s="8"/>
      <c r="O252" s="1"/>
    </row>
    <row r="253" spans="1:15" ht="36.6" customHeight="1">
      <c r="A253" s="10">
        <v>1</v>
      </c>
      <c r="B253" s="33" t="s">
        <v>4429</v>
      </c>
      <c r="C253" s="41" t="s">
        <v>28</v>
      </c>
      <c r="D253" s="41" t="s">
        <v>4430</v>
      </c>
      <c r="E253" s="41" t="s">
        <v>157</v>
      </c>
      <c r="F253" s="41" t="s">
        <v>4431</v>
      </c>
      <c r="G253" s="41" t="s">
        <v>1236</v>
      </c>
      <c r="H253" s="8" t="s">
        <v>33</v>
      </c>
      <c r="I253" s="70" t="s">
        <v>4176</v>
      </c>
      <c r="J253" s="70"/>
      <c r="K253" s="41" t="s">
        <v>2050</v>
      </c>
      <c r="L253" s="41" t="s">
        <v>128</v>
      </c>
      <c r="M253" s="9" t="s">
        <v>4432</v>
      </c>
      <c r="N253" s="8"/>
      <c r="O253" s="1"/>
    </row>
    <row r="254" spans="1:15" ht="36.6" hidden="1" customHeight="1">
      <c r="A254" s="10">
        <v>1</v>
      </c>
      <c r="B254" s="33" t="s">
        <v>4429</v>
      </c>
      <c r="C254" s="41" t="s">
        <v>93</v>
      </c>
      <c r="D254" s="41" t="s">
        <v>4433</v>
      </c>
      <c r="E254" s="41" t="s">
        <v>39</v>
      </c>
      <c r="F254" s="41">
        <v>51992724235</v>
      </c>
      <c r="G254" s="41" t="s">
        <v>41</v>
      </c>
      <c r="H254" s="8" t="s">
        <v>33</v>
      </c>
      <c r="I254" s="70"/>
      <c r="J254" s="70"/>
      <c r="K254" s="41" t="s">
        <v>55</v>
      </c>
      <c r="L254" s="41"/>
      <c r="M254" s="9" t="s">
        <v>4434</v>
      </c>
      <c r="N254" s="8"/>
      <c r="O254" s="1"/>
    </row>
    <row r="255" spans="1:15" ht="36.6" customHeight="1">
      <c r="A255" s="10">
        <v>1</v>
      </c>
      <c r="B255" s="33" t="s">
        <v>4429</v>
      </c>
      <c r="C255" s="41" t="s">
        <v>28</v>
      </c>
      <c r="D255" s="41" t="s">
        <v>4435</v>
      </c>
      <c r="E255" s="41" t="s">
        <v>39</v>
      </c>
      <c r="F255" s="41" t="s">
        <v>4436</v>
      </c>
      <c r="G255" s="41" t="s">
        <v>1091</v>
      </c>
      <c r="H255" s="8" t="s">
        <v>33</v>
      </c>
      <c r="I255" s="70" t="s">
        <v>2062</v>
      </c>
      <c r="J255" s="70"/>
      <c r="K255" s="41" t="s">
        <v>2050</v>
      </c>
      <c r="L255" s="41" t="s">
        <v>61</v>
      </c>
      <c r="M255" s="9" t="s">
        <v>4437</v>
      </c>
      <c r="N255" s="8"/>
      <c r="O255" s="1"/>
    </row>
    <row r="256" spans="1:15" ht="36.6" customHeight="1">
      <c r="A256" s="10">
        <v>1</v>
      </c>
      <c r="B256" s="33" t="s">
        <v>4429</v>
      </c>
      <c r="C256" s="41" t="s">
        <v>28</v>
      </c>
      <c r="D256" s="8" t="s">
        <v>4438</v>
      </c>
      <c r="E256" s="41" t="s">
        <v>4439</v>
      </c>
      <c r="F256" s="41" t="s">
        <v>4440</v>
      </c>
      <c r="G256" s="41" t="s">
        <v>1024</v>
      </c>
      <c r="H256" s="8" t="s">
        <v>33</v>
      </c>
      <c r="I256" s="70" t="s">
        <v>4441</v>
      </c>
      <c r="J256" s="70"/>
      <c r="K256" s="41" t="s">
        <v>2050</v>
      </c>
      <c r="L256" s="41" t="s">
        <v>61</v>
      </c>
      <c r="M256" s="9" t="s">
        <v>4442</v>
      </c>
      <c r="N256" s="8"/>
      <c r="O256" s="1"/>
    </row>
    <row r="257" spans="1:15" ht="36.6" hidden="1" customHeight="1">
      <c r="A257" s="10">
        <v>1</v>
      </c>
      <c r="B257" s="33" t="s">
        <v>4429</v>
      </c>
      <c r="C257" s="41" t="s">
        <v>93</v>
      </c>
      <c r="D257" s="41" t="s">
        <v>4443</v>
      </c>
      <c r="E257" s="41" t="s">
        <v>2253</v>
      </c>
      <c r="F257" s="41" t="s">
        <v>4444</v>
      </c>
      <c r="G257" s="41" t="s">
        <v>53</v>
      </c>
      <c r="H257" s="8" t="s">
        <v>33</v>
      </c>
      <c r="I257" s="70"/>
      <c r="J257" s="70"/>
      <c r="K257" s="41" t="s">
        <v>49</v>
      </c>
      <c r="L257" s="41"/>
      <c r="M257" s="9" t="s">
        <v>4445</v>
      </c>
      <c r="N257" s="8"/>
      <c r="O257" s="1"/>
    </row>
    <row r="258" spans="1:15" ht="36.6" customHeight="1">
      <c r="A258" s="10">
        <v>1</v>
      </c>
      <c r="B258" s="33" t="s">
        <v>4429</v>
      </c>
      <c r="C258" s="41" t="s">
        <v>28</v>
      </c>
      <c r="D258" s="41" t="s">
        <v>4446</v>
      </c>
      <c r="E258" s="41" t="s">
        <v>39</v>
      </c>
      <c r="F258" s="41" t="s">
        <v>4444</v>
      </c>
      <c r="G258" s="41" t="s">
        <v>41</v>
      </c>
      <c r="H258" s="8" t="s">
        <v>33</v>
      </c>
      <c r="I258" s="70"/>
      <c r="J258" s="70"/>
      <c r="K258" s="41" t="s">
        <v>49</v>
      </c>
      <c r="L258" s="41" t="s">
        <v>35</v>
      </c>
      <c r="M258" s="68" t="s">
        <v>4447</v>
      </c>
      <c r="N258" s="8"/>
      <c r="O258" s="1"/>
    </row>
    <row r="259" spans="1:15" ht="36.6" hidden="1" customHeight="1">
      <c r="A259" s="10">
        <v>1</v>
      </c>
      <c r="B259" s="33" t="s">
        <v>4429</v>
      </c>
      <c r="C259" s="41" t="s">
        <v>93</v>
      </c>
      <c r="D259" s="41" t="s">
        <v>4448</v>
      </c>
      <c r="E259" s="41" t="s">
        <v>1134</v>
      </c>
      <c r="F259" s="41">
        <v>51995193712</v>
      </c>
      <c r="G259" s="41" t="s">
        <v>41</v>
      </c>
      <c r="H259" s="8" t="s">
        <v>33</v>
      </c>
      <c r="I259" s="70"/>
      <c r="J259" s="70"/>
      <c r="K259" s="41" t="s">
        <v>55</v>
      </c>
      <c r="L259" s="41"/>
      <c r="M259" s="9" t="s">
        <v>102</v>
      </c>
      <c r="N259" s="8"/>
      <c r="O259" s="1"/>
    </row>
    <row r="260" spans="1:15" ht="36.6" customHeight="1">
      <c r="A260" s="10">
        <v>1</v>
      </c>
      <c r="B260" s="33" t="s">
        <v>4429</v>
      </c>
      <c r="C260" s="41" t="s">
        <v>28</v>
      </c>
      <c r="D260" s="41" t="s">
        <v>4449</v>
      </c>
      <c r="E260" s="41" t="s">
        <v>454</v>
      </c>
      <c r="F260" s="41" t="s">
        <v>4450</v>
      </c>
      <c r="G260" s="41" t="s">
        <v>66</v>
      </c>
      <c r="H260" s="8" t="s">
        <v>67</v>
      </c>
      <c r="I260" s="70"/>
      <c r="J260" s="70"/>
      <c r="K260" s="41" t="s">
        <v>49</v>
      </c>
      <c r="L260" s="41" t="s">
        <v>128</v>
      </c>
      <c r="M260" s="9" t="s">
        <v>4451</v>
      </c>
      <c r="N260" s="8"/>
      <c r="O260" s="1"/>
    </row>
    <row r="261" spans="1:15" ht="36.6" customHeight="1">
      <c r="A261" s="10">
        <v>1</v>
      </c>
      <c r="B261" s="33" t="s">
        <v>4429</v>
      </c>
      <c r="C261" s="41" t="s">
        <v>28</v>
      </c>
      <c r="D261" s="41" t="s">
        <v>4452</v>
      </c>
      <c r="E261" s="41" t="s">
        <v>290</v>
      </c>
      <c r="F261" s="41" t="s">
        <v>4453</v>
      </c>
      <c r="G261" s="41" t="s">
        <v>91</v>
      </c>
      <c r="H261" s="8" t="s">
        <v>67</v>
      </c>
      <c r="I261" s="70"/>
      <c r="J261" s="70"/>
      <c r="K261" s="41" t="s">
        <v>49</v>
      </c>
      <c r="L261" s="41" t="s">
        <v>80</v>
      </c>
      <c r="M261" s="9" t="s">
        <v>4454</v>
      </c>
      <c r="N261" s="8"/>
      <c r="O261" s="1"/>
    </row>
    <row r="262" spans="1:15" ht="36.6" hidden="1" customHeight="1">
      <c r="A262" s="10">
        <v>1</v>
      </c>
      <c r="B262" s="33" t="s">
        <v>4429</v>
      </c>
      <c r="C262" s="41" t="s">
        <v>93</v>
      </c>
      <c r="D262" s="41" t="s">
        <v>4455</v>
      </c>
      <c r="E262" s="41" t="s">
        <v>39</v>
      </c>
      <c r="F262" s="41" t="s">
        <v>4456</v>
      </c>
      <c r="G262" s="41" t="s">
        <v>1091</v>
      </c>
      <c r="H262" s="8" t="s">
        <v>33</v>
      </c>
      <c r="I262" s="70"/>
      <c r="J262" s="70"/>
      <c r="K262" s="41" t="s">
        <v>2050</v>
      </c>
      <c r="L262" s="41"/>
      <c r="M262" s="9" t="s">
        <v>4457</v>
      </c>
      <c r="N262" s="8"/>
      <c r="O262" s="1"/>
    </row>
    <row r="263" spans="1:15" ht="36.6" hidden="1" customHeight="1">
      <c r="A263" s="10">
        <v>1</v>
      </c>
      <c r="B263" s="33" t="s">
        <v>4429</v>
      </c>
      <c r="C263" s="41" t="s">
        <v>93</v>
      </c>
      <c r="D263" s="8" t="s">
        <v>4458</v>
      </c>
      <c r="E263" s="41" t="s">
        <v>4459</v>
      </c>
      <c r="F263" s="41">
        <v>51984856667</v>
      </c>
      <c r="G263" s="41" t="s">
        <v>420</v>
      </c>
      <c r="H263" s="8" t="s">
        <v>67</v>
      </c>
      <c r="I263" s="70"/>
      <c r="J263" s="70"/>
      <c r="K263" s="41" t="s">
        <v>55</v>
      </c>
      <c r="L263" s="41"/>
      <c r="M263" s="9" t="s">
        <v>4460</v>
      </c>
      <c r="N263" s="8"/>
      <c r="O263" s="1"/>
    </row>
    <row r="264" spans="1:15" ht="36.6" customHeight="1">
      <c r="A264" s="10">
        <v>1</v>
      </c>
      <c r="B264" s="33" t="s">
        <v>4429</v>
      </c>
      <c r="C264" s="41" t="s">
        <v>398</v>
      </c>
      <c r="D264" s="41" t="s">
        <v>4461</v>
      </c>
      <c r="E264" s="41"/>
      <c r="F264" s="89" t="s">
        <v>4462</v>
      </c>
      <c r="G264" s="41" t="s">
        <v>32</v>
      </c>
      <c r="H264" s="8" t="s">
        <v>33</v>
      </c>
      <c r="I264" s="70"/>
      <c r="J264" s="70"/>
      <c r="K264" s="90" t="s">
        <v>3568</v>
      </c>
      <c r="L264" s="90" t="s">
        <v>4190</v>
      </c>
      <c r="M264" s="90" t="s">
        <v>4190</v>
      </c>
      <c r="N264" s="8"/>
      <c r="O264" s="1"/>
    </row>
    <row r="265" spans="1:15" ht="36.6" hidden="1" customHeight="1">
      <c r="A265" s="10">
        <v>1</v>
      </c>
      <c r="B265" s="33" t="s">
        <v>4429</v>
      </c>
      <c r="C265" s="41" t="s">
        <v>93</v>
      </c>
      <c r="D265" s="41" t="s">
        <v>4463</v>
      </c>
      <c r="E265" s="41" t="s">
        <v>290</v>
      </c>
      <c r="F265" s="41" t="s">
        <v>4464</v>
      </c>
      <c r="G265" s="41" t="s">
        <v>91</v>
      </c>
      <c r="H265" s="8" t="s">
        <v>67</v>
      </c>
      <c r="I265" s="70"/>
      <c r="J265" s="70"/>
      <c r="K265" s="41" t="s">
        <v>49</v>
      </c>
      <c r="L265" s="41"/>
      <c r="M265" s="9" t="s">
        <v>4465</v>
      </c>
      <c r="N265" s="8"/>
      <c r="O265" s="1"/>
    </row>
    <row r="266" spans="1:15" ht="36.6" customHeight="1">
      <c r="A266" s="10">
        <v>1</v>
      </c>
      <c r="B266" s="33" t="s">
        <v>4429</v>
      </c>
      <c r="C266" s="41" t="s">
        <v>28</v>
      </c>
      <c r="D266" s="41" t="s">
        <v>4466</v>
      </c>
      <c r="E266" s="41" t="s">
        <v>39</v>
      </c>
      <c r="F266" s="41" t="s">
        <v>4467</v>
      </c>
      <c r="G266" s="41" t="s">
        <v>41</v>
      </c>
      <c r="H266" s="8" t="s">
        <v>33</v>
      </c>
      <c r="I266" s="70"/>
      <c r="J266" s="70"/>
      <c r="K266" s="41" t="s">
        <v>49</v>
      </c>
      <c r="L266" s="41" t="s">
        <v>61</v>
      </c>
      <c r="M266" s="9" t="s">
        <v>4468</v>
      </c>
      <c r="N266" s="8"/>
      <c r="O266" s="1"/>
    </row>
    <row r="267" spans="1:15" ht="36.6" customHeight="1">
      <c r="A267" s="10">
        <v>1</v>
      </c>
      <c r="B267" s="33" t="s">
        <v>4469</v>
      </c>
      <c r="C267" s="41" t="s">
        <v>28</v>
      </c>
      <c r="D267" s="41" t="s">
        <v>4470</v>
      </c>
      <c r="E267" s="41" t="s">
        <v>363</v>
      </c>
      <c r="F267" s="41">
        <v>51998817281</v>
      </c>
      <c r="G267" s="41" t="s">
        <v>66</v>
      </c>
      <c r="H267" s="8" t="s">
        <v>67</v>
      </c>
      <c r="I267" s="70" t="s">
        <v>4471</v>
      </c>
      <c r="J267" s="70"/>
      <c r="K267" s="41" t="s">
        <v>55</v>
      </c>
      <c r="L267" s="41" t="s">
        <v>61</v>
      </c>
      <c r="M267" s="9" t="s">
        <v>4472</v>
      </c>
      <c r="N267" s="8"/>
      <c r="O267" s="1"/>
    </row>
    <row r="268" spans="1:15" ht="36.6" hidden="1" customHeight="1">
      <c r="A268" s="10">
        <v>1</v>
      </c>
      <c r="B268" s="33" t="s">
        <v>4469</v>
      </c>
      <c r="C268" s="41" t="s">
        <v>93</v>
      </c>
      <c r="D268" s="41" t="s">
        <v>4473</v>
      </c>
      <c r="E268" s="41" t="s">
        <v>39</v>
      </c>
      <c r="F268" s="41">
        <v>51996898707</v>
      </c>
      <c r="G268" s="41" t="s">
        <v>313</v>
      </c>
      <c r="H268" s="8" t="s">
        <v>33</v>
      </c>
      <c r="I268" s="70"/>
      <c r="J268" s="70"/>
      <c r="K268" s="41" t="s">
        <v>55</v>
      </c>
      <c r="L268" s="41" t="s">
        <v>80</v>
      </c>
      <c r="M268" s="9" t="s">
        <v>735</v>
      </c>
      <c r="N268" s="8"/>
      <c r="O268" s="1"/>
    </row>
    <row r="269" spans="1:15" ht="36.6" customHeight="1">
      <c r="A269" s="10">
        <v>1</v>
      </c>
      <c r="B269" s="33" t="s">
        <v>4469</v>
      </c>
      <c r="C269" s="41" t="s">
        <v>28</v>
      </c>
      <c r="D269" s="41" t="s">
        <v>4474</v>
      </c>
      <c r="E269" s="41" t="s">
        <v>226</v>
      </c>
      <c r="F269" s="41" t="s">
        <v>4475</v>
      </c>
      <c r="G269" s="41" t="s">
        <v>501</v>
      </c>
      <c r="H269" s="8" t="s">
        <v>67</v>
      </c>
      <c r="I269" s="70" t="s">
        <v>4471</v>
      </c>
      <c r="J269" s="70"/>
      <c r="K269" s="41" t="s">
        <v>2050</v>
      </c>
      <c r="L269" s="41" t="s">
        <v>35</v>
      </c>
      <c r="M269" s="9" t="s">
        <v>4476</v>
      </c>
      <c r="N269" s="8"/>
      <c r="O269" s="1"/>
    </row>
    <row r="270" spans="1:15" ht="36.6" customHeight="1">
      <c r="A270" s="10">
        <v>1</v>
      </c>
      <c r="B270" s="33" t="s">
        <v>4469</v>
      </c>
      <c r="C270" s="41" t="s">
        <v>28</v>
      </c>
      <c r="D270" s="41" t="s">
        <v>4477</v>
      </c>
      <c r="E270" s="41" t="s">
        <v>147</v>
      </c>
      <c r="F270" s="41" t="s">
        <v>4478</v>
      </c>
      <c r="G270" s="41" t="s">
        <v>4479</v>
      </c>
      <c r="H270" s="8" t="s">
        <v>67</v>
      </c>
      <c r="I270" s="70"/>
      <c r="J270" s="70"/>
      <c r="K270" s="41" t="s">
        <v>2050</v>
      </c>
      <c r="L270" s="41" t="s">
        <v>61</v>
      </c>
      <c r="M270" s="9" t="s">
        <v>4480</v>
      </c>
      <c r="N270" s="8"/>
      <c r="O270" s="1"/>
    </row>
    <row r="271" spans="1:15" ht="36.6" hidden="1" customHeight="1">
      <c r="A271" s="10">
        <v>1</v>
      </c>
      <c r="B271" s="33" t="s">
        <v>4469</v>
      </c>
      <c r="C271" s="41" t="s">
        <v>93</v>
      </c>
      <c r="D271" s="41" t="s">
        <v>4481</v>
      </c>
      <c r="E271" s="41" t="s">
        <v>298</v>
      </c>
      <c r="F271" s="41" t="s">
        <v>4482</v>
      </c>
      <c r="G271" s="41" t="s">
        <v>91</v>
      </c>
      <c r="H271" s="8" t="s">
        <v>67</v>
      </c>
      <c r="I271" s="70"/>
      <c r="J271" s="70"/>
      <c r="K271" s="41" t="s">
        <v>49</v>
      </c>
      <c r="L271" s="41"/>
      <c r="M271" s="9" t="s">
        <v>4483</v>
      </c>
      <c r="N271" s="8"/>
      <c r="O271" s="1"/>
    </row>
    <row r="272" spans="1:15" ht="36.6" customHeight="1">
      <c r="A272" s="10">
        <v>1</v>
      </c>
      <c r="B272" s="33" t="s">
        <v>4469</v>
      </c>
      <c r="C272" s="41" t="s">
        <v>28</v>
      </c>
      <c r="D272" s="41" t="s">
        <v>4484</v>
      </c>
      <c r="E272" s="41" t="s">
        <v>136</v>
      </c>
      <c r="F272" s="41" t="s">
        <v>4485</v>
      </c>
      <c r="G272" s="41" t="s">
        <v>66</v>
      </c>
      <c r="H272" s="8" t="s">
        <v>67</v>
      </c>
      <c r="I272" s="70"/>
      <c r="J272" s="70"/>
      <c r="K272" s="41" t="s">
        <v>49</v>
      </c>
      <c r="L272" s="41" t="s">
        <v>80</v>
      </c>
      <c r="M272" s="9" t="s">
        <v>4486</v>
      </c>
      <c r="N272" s="8"/>
      <c r="O272" s="1"/>
    </row>
    <row r="273" spans="1:15" ht="36.6" hidden="1" customHeight="1">
      <c r="A273" s="10">
        <v>1</v>
      </c>
      <c r="B273" s="33" t="s">
        <v>4469</v>
      </c>
      <c r="C273" s="41" t="s">
        <v>93</v>
      </c>
      <c r="D273" s="41" t="s">
        <v>4487</v>
      </c>
      <c r="E273" s="41" t="s">
        <v>1835</v>
      </c>
      <c r="F273" s="41" t="s">
        <v>4488</v>
      </c>
      <c r="G273" s="41" t="s">
        <v>91</v>
      </c>
      <c r="H273" s="8" t="s">
        <v>67</v>
      </c>
      <c r="I273" s="70"/>
      <c r="J273" s="70"/>
      <c r="K273" s="41" t="s">
        <v>49</v>
      </c>
      <c r="L273" s="41"/>
      <c r="M273" s="9" t="s">
        <v>4489</v>
      </c>
      <c r="N273" s="8"/>
      <c r="O273" s="1"/>
    </row>
    <row r="274" spans="1:15" ht="36.6" customHeight="1">
      <c r="A274" s="10">
        <v>1</v>
      </c>
      <c r="B274" s="33" t="s">
        <v>4469</v>
      </c>
      <c r="C274" s="41" t="s">
        <v>28</v>
      </c>
      <c r="D274" s="41" t="s">
        <v>4490</v>
      </c>
      <c r="E274" s="41" t="s">
        <v>2638</v>
      </c>
      <c r="F274" s="41" t="s">
        <v>4491</v>
      </c>
      <c r="G274" s="41" t="s">
        <v>91</v>
      </c>
      <c r="H274" s="8" t="s">
        <v>67</v>
      </c>
      <c r="I274" s="70"/>
      <c r="J274" s="70"/>
      <c r="K274" s="41" t="s">
        <v>49</v>
      </c>
      <c r="L274" s="41" t="s">
        <v>128</v>
      </c>
      <c r="M274" s="9" t="s">
        <v>4492</v>
      </c>
      <c r="N274" s="8"/>
      <c r="O274" s="1"/>
    </row>
    <row r="275" spans="1:15" ht="36.6" hidden="1" customHeight="1">
      <c r="A275" s="10">
        <v>1</v>
      </c>
      <c r="B275" s="33" t="s">
        <v>4469</v>
      </c>
      <c r="C275" s="41" t="s">
        <v>93</v>
      </c>
      <c r="D275" s="41" t="s">
        <v>1365</v>
      </c>
      <c r="E275" s="41" t="s">
        <v>39</v>
      </c>
      <c r="F275" s="41" t="s">
        <v>4475</v>
      </c>
      <c r="G275" s="41" t="s">
        <v>1091</v>
      </c>
      <c r="H275" s="8" t="s">
        <v>33</v>
      </c>
      <c r="I275" s="70"/>
      <c r="J275" s="70"/>
      <c r="K275" s="41" t="s">
        <v>2050</v>
      </c>
      <c r="L275" s="41"/>
      <c r="M275" s="9" t="s">
        <v>4493</v>
      </c>
      <c r="N275" s="8"/>
      <c r="O275" s="1"/>
    </row>
    <row r="276" spans="1:15" ht="36.6" customHeight="1">
      <c r="A276" s="10">
        <v>1</v>
      </c>
      <c r="B276" s="33" t="s">
        <v>4469</v>
      </c>
      <c r="C276" s="41" t="s">
        <v>28</v>
      </c>
      <c r="D276" s="41" t="s">
        <v>4494</v>
      </c>
      <c r="E276" s="41" t="s">
        <v>186</v>
      </c>
      <c r="F276" s="41" t="s">
        <v>4495</v>
      </c>
      <c r="G276" s="41" t="s">
        <v>66</v>
      </c>
      <c r="H276" s="8" t="s">
        <v>67</v>
      </c>
      <c r="I276" s="70"/>
      <c r="J276" s="70"/>
      <c r="K276" s="41" t="s">
        <v>49</v>
      </c>
      <c r="L276" s="41" t="s">
        <v>56</v>
      </c>
      <c r="M276" s="9" t="s">
        <v>4492</v>
      </c>
      <c r="N276" s="8"/>
      <c r="O276" s="1"/>
    </row>
    <row r="277" spans="1:15" ht="36.6" hidden="1" customHeight="1">
      <c r="A277" s="10">
        <v>1</v>
      </c>
      <c r="B277" s="33" t="s">
        <v>4469</v>
      </c>
      <c r="C277" s="41" t="s">
        <v>93</v>
      </c>
      <c r="D277" s="41" t="s">
        <v>4496</v>
      </c>
      <c r="E277" s="41" t="s">
        <v>1083</v>
      </c>
      <c r="F277" s="41">
        <v>51994517171</v>
      </c>
      <c r="G277" s="41" t="s">
        <v>85</v>
      </c>
      <c r="H277" s="8" t="s">
        <v>33</v>
      </c>
      <c r="I277" s="70"/>
      <c r="J277" s="70"/>
      <c r="K277" s="41" t="s">
        <v>55</v>
      </c>
      <c r="L277" s="41"/>
      <c r="M277" s="9" t="s">
        <v>4497</v>
      </c>
      <c r="N277" s="8"/>
      <c r="O277" s="1"/>
    </row>
    <row r="278" spans="1:15" ht="36.6" customHeight="1">
      <c r="A278" s="10">
        <v>1</v>
      </c>
      <c r="B278" s="33" t="s">
        <v>4469</v>
      </c>
      <c r="C278" s="41" t="s">
        <v>28</v>
      </c>
      <c r="D278" s="41" t="s">
        <v>4498</v>
      </c>
      <c r="E278" s="41" t="s">
        <v>4499</v>
      </c>
      <c r="F278" s="41">
        <v>51993449223</v>
      </c>
      <c r="G278" s="41" t="s">
        <v>91</v>
      </c>
      <c r="H278" s="8" t="s">
        <v>67</v>
      </c>
      <c r="I278" s="70" t="s">
        <v>4471</v>
      </c>
      <c r="J278" s="70"/>
      <c r="K278" s="41" t="s">
        <v>55</v>
      </c>
      <c r="L278" s="41" t="s">
        <v>56</v>
      </c>
      <c r="M278" s="9" t="s">
        <v>4405</v>
      </c>
      <c r="N278" s="8"/>
      <c r="O278" s="1"/>
    </row>
    <row r="279" spans="1:15" ht="36.6" hidden="1" customHeight="1">
      <c r="A279" s="75">
        <v>1</v>
      </c>
      <c r="B279" s="33" t="s">
        <v>4469</v>
      </c>
      <c r="C279" s="41" t="s">
        <v>93</v>
      </c>
      <c r="D279" s="41" t="s">
        <v>4500</v>
      </c>
      <c r="E279" s="41" t="s">
        <v>39</v>
      </c>
      <c r="F279" s="41" t="s">
        <v>4501</v>
      </c>
      <c r="G279" s="41" t="s">
        <v>41</v>
      </c>
      <c r="H279" s="8" t="s">
        <v>33</v>
      </c>
      <c r="I279" s="70"/>
      <c r="J279" s="70"/>
      <c r="K279" s="41" t="s">
        <v>49</v>
      </c>
      <c r="L279" s="41"/>
      <c r="M279" s="9" t="s">
        <v>4502</v>
      </c>
      <c r="N279" s="8"/>
      <c r="O279" s="1"/>
    </row>
    <row r="280" spans="1:15" ht="36.6" customHeight="1">
      <c r="A280" s="10">
        <v>1</v>
      </c>
      <c r="B280" s="33" t="s">
        <v>4469</v>
      </c>
      <c r="C280" s="41" t="s">
        <v>28</v>
      </c>
      <c r="D280" s="8" t="s">
        <v>4503</v>
      </c>
      <c r="E280" s="41" t="s">
        <v>145</v>
      </c>
      <c r="F280" s="41" t="s">
        <v>4504</v>
      </c>
      <c r="G280" s="41" t="s">
        <v>559</v>
      </c>
      <c r="H280" s="8" t="s">
        <v>33</v>
      </c>
      <c r="I280" s="70"/>
      <c r="J280" s="70"/>
      <c r="K280" s="41" t="s">
        <v>2050</v>
      </c>
      <c r="L280" s="41" t="s">
        <v>128</v>
      </c>
      <c r="M280" s="9" t="s">
        <v>4505</v>
      </c>
      <c r="N280" s="8"/>
      <c r="O280" s="1"/>
    </row>
    <row r="281" spans="1:15" ht="36.6" hidden="1" customHeight="1">
      <c r="A281" s="75">
        <v>1</v>
      </c>
      <c r="B281" s="33" t="s">
        <v>4469</v>
      </c>
      <c r="C281" s="41" t="s">
        <v>93</v>
      </c>
      <c r="D281" s="41" t="s">
        <v>4506</v>
      </c>
      <c r="E281" s="41" t="s">
        <v>285</v>
      </c>
      <c r="F281" s="41" t="s">
        <v>4507</v>
      </c>
      <c r="G281" s="41" t="s">
        <v>66</v>
      </c>
      <c r="H281" s="8" t="s">
        <v>67</v>
      </c>
      <c r="I281" s="70"/>
      <c r="J281" s="70"/>
      <c r="K281" s="41" t="s">
        <v>49</v>
      </c>
      <c r="L281" s="41"/>
      <c r="M281" s="9" t="s">
        <v>4508</v>
      </c>
      <c r="N281" s="8"/>
      <c r="O281" s="1"/>
    </row>
    <row r="282" spans="1:15" ht="36.6" customHeight="1">
      <c r="A282" s="10">
        <v>1</v>
      </c>
      <c r="B282" s="33" t="s">
        <v>4469</v>
      </c>
      <c r="C282" s="41" t="s">
        <v>398</v>
      </c>
      <c r="D282" s="41" t="s">
        <v>4509</v>
      </c>
      <c r="E282" s="91" t="s">
        <v>4510</v>
      </c>
      <c r="F282" s="91" t="s">
        <v>4511</v>
      </c>
      <c r="G282" s="41" t="s">
        <v>66</v>
      </c>
      <c r="H282" s="8" t="s">
        <v>67</v>
      </c>
      <c r="I282" s="70"/>
      <c r="J282" s="70"/>
      <c r="K282" s="98" t="s">
        <v>3568</v>
      </c>
      <c r="L282" s="88" t="s">
        <v>4190</v>
      </c>
      <c r="M282" s="9"/>
      <c r="N282" s="8"/>
      <c r="O282" s="1"/>
    </row>
    <row r="283" spans="1:15" ht="36.6" customHeight="1">
      <c r="A283" s="10">
        <v>1</v>
      </c>
      <c r="B283" s="33" t="s">
        <v>4469</v>
      </c>
      <c r="C283" s="41" t="s">
        <v>398</v>
      </c>
      <c r="D283" s="93" t="s">
        <v>4512</v>
      </c>
      <c r="E283" s="92" t="s">
        <v>292</v>
      </c>
      <c r="F283" s="91" t="s">
        <v>4513</v>
      </c>
      <c r="G283" s="41" t="s">
        <v>1091</v>
      </c>
      <c r="H283" s="8" t="s">
        <v>33</v>
      </c>
      <c r="I283" s="70"/>
      <c r="J283" s="70"/>
      <c r="K283" s="98" t="s">
        <v>3568</v>
      </c>
      <c r="L283" s="88" t="s">
        <v>4190</v>
      </c>
      <c r="M283" s="9"/>
      <c r="N283" s="8"/>
      <c r="O283" s="1"/>
    </row>
    <row r="284" spans="1:15" ht="36.6" customHeight="1">
      <c r="A284" s="10">
        <v>1</v>
      </c>
      <c r="B284" s="33" t="s">
        <v>4469</v>
      </c>
      <c r="C284" s="94" t="s">
        <v>28</v>
      </c>
      <c r="D284" s="95" t="s">
        <v>4514</v>
      </c>
      <c r="E284" s="94" t="s">
        <v>161</v>
      </c>
      <c r="F284" s="94" t="s">
        <v>4515</v>
      </c>
      <c r="G284" s="94" t="s">
        <v>66</v>
      </c>
      <c r="H284" s="96" t="s">
        <v>67</v>
      </c>
      <c r="I284" s="97"/>
      <c r="J284" s="70"/>
      <c r="K284" s="41" t="s">
        <v>49</v>
      </c>
      <c r="L284" s="41" t="s">
        <v>128</v>
      </c>
      <c r="M284" s="9" t="s">
        <v>4516</v>
      </c>
      <c r="N284" s="8"/>
      <c r="O284" s="1"/>
    </row>
    <row r="285" spans="1:15" ht="36.6" customHeight="1">
      <c r="A285" s="10">
        <v>1</v>
      </c>
      <c r="B285" s="33" t="s">
        <v>4469</v>
      </c>
      <c r="C285" s="94" t="s">
        <v>398</v>
      </c>
      <c r="D285" s="98" t="s">
        <v>4509</v>
      </c>
      <c r="E285" s="98" t="s">
        <v>315</v>
      </c>
      <c r="F285" s="98" t="s">
        <v>4517</v>
      </c>
      <c r="G285" s="98" t="s">
        <v>66</v>
      </c>
      <c r="H285" s="96" t="s">
        <v>67</v>
      </c>
      <c r="I285" s="97"/>
      <c r="J285" s="70"/>
      <c r="K285" s="98" t="s">
        <v>3568</v>
      </c>
      <c r="L285" s="88" t="s">
        <v>4190</v>
      </c>
      <c r="M285" s="88" t="s">
        <v>4190</v>
      </c>
      <c r="N285" s="8"/>
      <c r="O285" s="1"/>
    </row>
    <row r="286" spans="1:15" ht="36.6" customHeight="1">
      <c r="A286" s="10">
        <v>1</v>
      </c>
      <c r="B286" s="33" t="s">
        <v>4469</v>
      </c>
      <c r="C286" s="94" t="s">
        <v>398</v>
      </c>
      <c r="D286" s="98" t="s">
        <v>4512</v>
      </c>
      <c r="E286" s="98" t="s">
        <v>1620</v>
      </c>
      <c r="F286" s="98" t="s">
        <v>4518</v>
      </c>
      <c r="G286" s="98" t="s">
        <v>41</v>
      </c>
      <c r="H286" s="96" t="s">
        <v>67</v>
      </c>
      <c r="I286" s="97"/>
      <c r="J286" s="70"/>
      <c r="K286" s="98" t="s">
        <v>3568</v>
      </c>
      <c r="L286" s="88" t="s">
        <v>4190</v>
      </c>
      <c r="M286" s="88" t="s">
        <v>4190</v>
      </c>
      <c r="N286" s="8"/>
      <c r="O286" s="1"/>
    </row>
    <row r="287" spans="1:15" ht="36.6" customHeight="1">
      <c r="A287" s="10">
        <v>1</v>
      </c>
      <c r="B287" s="33" t="s">
        <v>4469</v>
      </c>
      <c r="C287" s="94" t="s">
        <v>398</v>
      </c>
      <c r="D287" s="98" t="s">
        <v>4519</v>
      </c>
      <c r="E287" s="98" t="s">
        <v>260</v>
      </c>
      <c r="F287" s="98" t="s">
        <v>4462</v>
      </c>
      <c r="G287" s="98" t="s">
        <v>32</v>
      </c>
      <c r="H287" s="96" t="s">
        <v>33</v>
      </c>
      <c r="I287" s="97"/>
      <c r="J287" s="70"/>
      <c r="K287" s="98" t="s">
        <v>3568</v>
      </c>
      <c r="L287" s="88" t="s">
        <v>4190</v>
      </c>
      <c r="M287" s="88" t="s">
        <v>4190</v>
      </c>
      <c r="N287" s="8"/>
      <c r="O287" s="1"/>
    </row>
    <row r="288" spans="1:15" ht="36.6" customHeight="1">
      <c r="A288" s="10">
        <v>1</v>
      </c>
      <c r="B288" s="33" t="s">
        <v>4469</v>
      </c>
      <c r="C288" s="94" t="s">
        <v>398</v>
      </c>
      <c r="D288" s="98" t="s">
        <v>4271</v>
      </c>
      <c r="E288" s="98" t="s">
        <v>161</v>
      </c>
      <c r="F288" s="98" t="s">
        <v>4272</v>
      </c>
      <c r="G288" s="98" t="s">
        <v>66</v>
      </c>
      <c r="H288" s="96" t="s">
        <v>67</v>
      </c>
      <c r="I288" s="97"/>
      <c r="J288" s="70"/>
      <c r="K288" s="98" t="s">
        <v>3568</v>
      </c>
      <c r="L288" s="88" t="s">
        <v>4190</v>
      </c>
      <c r="M288" s="88" t="s">
        <v>4190</v>
      </c>
      <c r="N288" s="8"/>
      <c r="O288" s="1"/>
    </row>
    <row r="289" spans="1:15" ht="36.6" customHeight="1">
      <c r="A289" s="10">
        <v>1</v>
      </c>
      <c r="B289" s="33" t="s">
        <v>4469</v>
      </c>
      <c r="C289" s="94" t="s">
        <v>28</v>
      </c>
      <c r="D289" s="95" t="s">
        <v>4520</v>
      </c>
      <c r="E289" s="94" t="s">
        <v>39</v>
      </c>
      <c r="F289" s="94">
        <v>51993449223</v>
      </c>
      <c r="G289" s="94" t="s">
        <v>41</v>
      </c>
      <c r="H289" s="96" t="s">
        <v>33</v>
      </c>
      <c r="I289" s="97" t="s">
        <v>4471</v>
      </c>
      <c r="J289" s="70"/>
      <c r="K289" s="41" t="s">
        <v>55</v>
      </c>
      <c r="L289" s="41" t="s">
        <v>128</v>
      </c>
      <c r="M289" s="9" t="s">
        <v>4521</v>
      </c>
      <c r="N289" s="8"/>
      <c r="O289" s="1"/>
    </row>
    <row r="290" spans="1:15" ht="36.6" hidden="1" customHeight="1">
      <c r="A290" s="75">
        <v>1</v>
      </c>
      <c r="B290" s="33" t="s">
        <v>4469</v>
      </c>
      <c r="C290" s="41" t="s">
        <v>93</v>
      </c>
      <c r="D290" s="93" t="s">
        <v>4522</v>
      </c>
      <c r="E290" s="41" t="s">
        <v>85</v>
      </c>
      <c r="F290" s="41" t="s">
        <v>4523</v>
      </c>
      <c r="G290" s="41" t="s">
        <v>85</v>
      </c>
      <c r="H290" s="8" t="s">
        <v>33</v>
      </c>
      <c r="I290" s="70"/>
      <c r="J290" s="70"/>
      <c r="K290" s="41" t="s">
        <v>55</v>
      </c>
      <c r="L290" s="41"/>
      <c r="M290" s="9" t="s">
        <v>3534</v>
      </c>
      <c r="N290" s="8"/>
      <c r="O290" s="1"/>
    </row>
    <row r="291" spans="1:15" ht="36.6" customHeight="1">
      <c r="A291" s="75">
        <v>1</v>
      </c>
      <c r="B291" s="33" t="s">
        <v>4469</v>
      </c>
      <c r="C291" s="41" t="s">
        <v>28</v>
      </c>
      <c r="D291" s="41" t="s">
        <v>4524</v>
      </c>
      <c r="E291" s="41" t="s">
        <v>4525</v>
      </c>
      <c r="F291" s="41">
        <v>51989679946</v>
      </c>
      <c r="G291" s="41" t="s">
        <v>85</v>
      </c>
      <c r="H291" s="8" t="s">
        <v>33</v>
      </c>
      <c r="I291" s="70" t="s">
        <v>3841</v>
      </c>
      <c r="J291" s="70"/>
      <c r="K291" s="41" t="s">
        <v>55</v>
      </c>
      <c r="L291" s="41" t="s">
        <v>133</v>
      </c>
      <c r="M291" s="9" t="s">
        <v>4526</v>
      </c>
      <c r="N291" s="8"/>
      <c r="O291" s="1"/>
    </row>
    <row r="292" spans="1:15" ht="36.6" hidden="1" customHeight="1">
      <c r="A292" s="75">
        <v>1</v>
      </c>
      <c r="B292" s="33" t="s">
        <v>4469</v>
      </c>
      <c r="C292" s="41" t="s">
        <v>93</v>
      </c>
      <c r="D292" s="41" t="s">
        <v>4527</v>
      </c>
      <c r="E292" s="41" t="s">
        <v>270</v>
      </c>
      <c r="F292" s="41" t="s">
        <v>4528</v>
      </c>
      <c r="G292" s="41" t="s">
        <v>66</v>
      </c>
      <c r="H292" s="8" t="s">
        <v>67</v>
      </c>
      <c r="I292" s="70"/>
      <c r="J292" s="70"/>
      <c r="K292" s="41" t="s">
        <v>49</v>
      </c>
      <c r="L292" s="41"/>
      <c r="M292" s="9" t="s">
        <v>4529</v>
      </c>
      <c r="N292" s="8"/>
      <c r="O292" s="1"/>
    </row>
    <row r="293" spans="1:15" ht="36.6" hidden="1" customHeight="1">
      <c r="A293" s="75">
        <v>1</v>
      </c>
      <c r="B293" s="33" t="s">
        <v>4530</v>
      </c>
      <c r="C293" s="41" t="s">
        <v>93</v>
      </c>
      <c r="D293" s="41" t="s">
        <v>4531</v>
      </c>
      <c r="E293" s="41" t="s">
        <v>315</v>
      </c>
      <c r="F293" s="8">
        <v>51994955353</v>
      </c>
      <c r="G293" s="41" t="s">
        <v>66</v>
      </c>
      <c r="H293" s="8" t="s">
        <v>67</v>
      </c>
      <c r="I293" s="70"/>
      <c r="J293" s="70"/>
      <c r="K293" s="41" t="s">
        <v>55</v>
      </c>
      <c r="L293" s="41"/>
      <c r="M293" s="9" t="s">
        <v>735</v>
      </c>
      <c r="N293" s="8"/>
      <c r="O293" s="1"/>
    </row>
    <row r="294" spans="1:15" ht="36.6" hidden="1" customHeight="1">
      <c r="A294" s="75">
        <v>1</v>
      </c>
      <c r="B294" s="33" t="s">
        <v>4530</v>
      </c>
      <c r="C294" s="41" t="s">
        <v>93</v>
      </c>
      <c r="D294" s="41" t="s">
        <v>4532</v>
      </c>
      <c r="E294" s="41" t="s">
        <v>122</v>
      </c>
      <c r="F294" s="41">
        <v>51992103127</v>
      </c>
      <c r="G294" s="41" t="s">
        <v>4533</v>
      </c>
      <c r="H294" s="8" t="s">
        <v>33</v>
      </c>
      <c r="I294" s="70"/>
      <c r="J294" s="70"/>
      <c r="K294" s="41" t="s">
        <v>55</v>
      </c>
      <c r="L294" s="41"/>
      <c r="M294" s="9" t="s">
        <v>735</v>
      </c>
      <c r="N294" s="8"/>
      <c r="O294" s="1"/>
    </row>
    <row r="295" spans="1:15" ht="36.6" hidden="1" customHeight="1">
      <c r="A295" s="75">
        <v>1</v>
      </c>
      <c r="B295" s="33" t="s">
        <v>4530</v>
      </c>
      <c r="C295" s="41" t="s">
        <v>93</v>
      </c>
      <c r="D295" s="41" t="s">
        <v>4534</v>
      </c>
      <c r="E295" s="41" t="s">
        <v>39</v>
      </c>
      <c r="F295" s="41">
        <v>51992182098</v>
      </c>
      <c r="G295" s="41" t="s">
        <v>313</v>
      </c>
      <c r="H295" s="8" t="s">
        <v>33</v>
      </c>
      <c r="I295" s="70"/>
      <c r="J295" s="70"/>
      <c r="K295" s="41" t="s">
        <v>55</v>
      </c>
      <c r="L295" s="41"/>
      <c r="M295" s="9" t="s">
        <v>735</v>
      </c>
      <c r="N295" s="8"/>
      <c r="O295" s="1"/>
    </row>
    <row r="296" spans="1:15" ht="36.6" customHeight="1">
      <c r="A296" s="10">
        <v>1</v>
      </c>
      <c r="B296" s="33" t="s">
        <v>4530</v>
      </c>
      <c r="C296" s="41" t="s">
        <v>28</v>
      </c>
      <c r="D296" s="41" t="s">
        <v>4535</v>
      </c>
      <c r="E296" s="41" t="s">
        <v>39</v>
      </c>
      <c r="F296" s="41" t="s">
        <v>4536</v>
      </c>
      <c r="G296" s="41" t="s">
        <v>313</v>
      </c>
      <c r="H296" s="8" t="s">
        <v>33</v>
      </c>
      <c r="I296" s="70"/>
      <c r="J296" s="70"/>
      <c r="K296" s="41" t="s">
        <v>49</v>
      </c>
      <c r="L296" s="41" t="s">
        <v>61</v>
      </c>
      <c r="M296" s="9" t="s">
        <v>4537</v>
      </c>
      <c r="N296" s="8"/>
      <c r="O296" s="1"/>
    </row>
    <row r="297" spans="1:15" ht="36.6" customHeight="1">
      <c r="A297" s="75">
        <v>1</v>
      </c>
      <c r="B297" s="33" t="s">
        <v>4530</v>
      </c>
      <c r="C297" s="41" t="s">
        <v>28</v>
      </c>
      <c r="D297" s="41" t="s">
        <v>4538</v>
      </c>
      <c r="E297" s="41" t="s">
        <v>2613</v>
      </c>
      <c r="F297" s="41">
        <v>51998189852</v>
      </c>
      <c r="G297" s="41" t="s">
        <v>4539</v>
      </c>
      <c r="H297" s="8" t="s">
        <v>33</v>
      </c>
      <c r="I297" s="70" t="s">
        <v>2062</v>
      </c>
      <c r="J297" s="70"/>
      <c r="K297" s="41" t="s">
        <v>55</v>
      </c>
      <c r="L297" s="41" t="s">
        <v>56</v>
      </c>
      <c r="M297" s="9" t="s">
        <v>4540</v>
      </c>
      <c r="N297" s="8"/>
      <c r="O297" s="1"/>
    </row>
    <row r="298" spans="1:15" ht="36.6" customHeight="1">
      <c r="A298" s="75">
        <v>1</v>
      </c>
      <c r="B298" s="33" t="s">
        <v>4530</v>
      </c>
      <c r="C298" s="41" t="s">
        <v>28</v>
      </c>
      <c r="D298" s="41" t="s">
        <v>4541</v>
      </c>
      <c r="E298" s="41" t="s">
        <v>1182</v>
      </c>
      <c r="F298" s="41" t="s">
        <v>4542</v>
      </c>
      <c r="G298" s="41" t="s">
        <v>73</v>
      </c>
      <c r="H298" s="8" t="s">
        <v>33</v>
      </c>
      <c r="I298" s="70" t="s">
        <v>4176</v>
      </c>
      <c r="J298" s="70"/>
      <c r="K298" s="41" t="s">
        <v>49</v>
      </c>
      <c r="L298" s="41" t="s">
        <v>61</v>
      </c>
      <c r="M298" s="9" t="s">
        <v>4543</v>
      </c>
      <c r="N298" s="8"/>
      <c r="O298" s="1"/>
    </row>
    <row r="299" spans="1:15" ht="36.6" hidden="1" customHeight="1">
      <c r="A299" s="75">
        <v>1</v>
      </c>
      <c r="B299" s="33" t="s">
        <v>4530</v>
      </c>
      <c r="C299" s="41" t="s">
        <v>93</v>
      </c>
      <c r="D299" s="41" t="s">
        <v>4544</v>
      </c>
      <c r="E299" s="41" t="s">
        <v>4545</v>
      </c>
      <c r="F299" s="41" t="s">
        <v>4546</v>
      </c>
      <c r="G299" s="41" t="s">
        <v>85</v>
      </c>
      <c r="H299" s="8" t="s">
        <v>33</v>
      </c>
      <c r="I299" s="70"/>
      <c r="J299" s="70"/>
      <c r="K299" s="41" t="s">
        <v>49</v>
      </c>
      <c r="L299" s="41"/>
      <c r="M299" s="9" t="s">
        <v>4547</v>
      </c>
      <c r="N299" s="8"/>
      <c r="O299" s="1"/>
    </row>
    <row r="300" spans="1:15" ht="36.6" hidden="1" customHeight="1">
      <c r="A300" s="75">
        <v>1</v>
      </c>
      <c r="B300" s="33" t="s">
        <v>4530</v>
      </c>
      <c r="C300" s="41" t="s">
        <v>93</v>
      </c>
      <c r="D300" s="41" t="s">
        <v>4548</v>
      </c>
      <c r="E300" s="41" t="s">
        <v>39</v>
      </c>
      <c r="F300" s="41" t="s">
        <v>4549</v>
      </c>
      <c r="G300" s="41" t="s">
        <v>41</v>
      </c>
      <c r="H300" s="8" t="s">
        <v>33</v>
      </c>
      <c r="I300" s="70"/>
      <c r="J300" s="70"/>
      <c r="K300" s="41" t="s">
        <v>49</v>
      </c>
      <c r="L300" s="41"/>
      <c r="M300" s="9" t="s">
        <v>4550</v>
      </c>
      <c r="N300" s="8"/>
      <c r="O300" s="1"/>
    </row>
    <row r="301" spans="1:15" ht="36.6" hidden="1" customHeight="1">
      <c r="A301" s="10">
        <v>1</v>
      </c>
      <c r="B301" s="33" t="s">
        <v>4530</v>
      </c>
      <c r="C301" s="41" t="s">
        <v>93</v>
      </c>
      <c r="D301" s="41" t="s">
        <v>4551</v>
      </c>
      <c r="E301" s="41" t="s">
        <v>4552</v>
      </c>
      <c r="F301" s="41">
        <v>51992307277</v>
      </c>
      <c r="G301" s="41" t="s">
        <v>91</v>
      </c>
      <c r="H301" s="8" t="s">
        <v>67</v>
      </c>
      <c r="I301" s="70"/>
      <c r="J301" s="70"/>
      <c r="K301" s="41" t="s">
        <v>55</v>
      </c>
      <c r="L301" s="41"/>
      <c r="M301" s="9" t="s">
        <v>102</v>
      </c>
      <c r="N301" s="8"/>
      <c r="O301" s="1"/>
    </row>
    <row r="302" spans="1:15" ht="36.6" customHeight="1">
      <c r="A302" s="75">
        <v>1</v>
      </c>
      <c r="B302" s="33" t="s">
        <v>4530</v>
      </c>
      <c r="C302" s="41" t="s">
        <v>28</v>
      </c>
      <c r="D302" s="41" t="s">
        <v>4553</v>
      </c>
      <c r="E302" s="41" t="s">
        <v>4554</v>
      </c>
      <c r="F302" s="41" t="s">
        <v>4555</v>
      </c>
      <c r="G302" s="41" t="s">
        <v>73</v>
      </c>
      <c r="H302" s="8" t="s">
        <v>33</v>
      </c>
      <c r="I302" s="70"/>
      <c r="J302" s="70"/>
      <c r="K302" s="41" t="s">
        <v>49</v>
      </c>
      <c r="L302" s="41" t="s">
        <v>128</v>
      </c>
      <c r="M302" s="9" t="s">
        <v>4556</v>
      </c>
      <c r="N302" s="8"/>
      <c r="O302" s="1"/>
    </row>
    <row r="303" spans="1:15" ht="36.6" customHeight="1">
      <c r="A303" s="75">
        <v>1</v>
      </c>
      <c r="B303" s="33" t="s">
        <v>4530</v>
      </c>
      <c r="C303" s="41" t="s">
        <v>28</v>
      </c>
      <c r="D303" s="41" t="s">
        <v>4557</v>
      </c>
      <c r="E303" s="41" t="s">
        <v>122</v>
      </c>
      <c r="F303" s="41" t="s">
        <v>4558</v>
      </c>
      <c r="G303" s="41" t="s">
        <v>1236</v>
      </c>
      <c r="H303" s="8" t="s">
        <v>33</v>
      </c>
      <c r="I303" s="70" t="s">
        <v>4176</v>
      </c>
      <c r="J303" s="70"/>
      <c r="K303" s="41" t="s">
        <v>2050</v>
      </c>
      <c r="L303" s="41" t="s">
        <v>128</v>
      </c>
      <c r="M303" s="9" t="s">
        <v>4403</v>
      </c>
      <c r="N303" s="8"/>
      <c r="O303" s="1"/>
    </row>
    <row r="304" spans="1:15" ht="36.6" customHeight="1">
      <c r="A304" s="75">
        <v>1</v>
      </c>
      <c r="B304" s="33" t="s">
        <v>4530</v>
      </c>
      <c r="C304" s="41" t="s">
        <v>28</v>
      </c>
      <c r="D304" s="41" t="s">
        <v>4559</v>
      </c>
      <c r="E304" s="41" t="s">
        <v>52</v>
      </c>
      <c r="F304" s="41" t="s">
        <v>4560</v>
      </c>
      <c r="G304" s="41" t="s">
        <v>395</v>
      </c>
      <c r="H304" s="8" t="s">
        <v>33</v>
      </c>
      <c r="I304" s="70" t="s">
        <v>4176</v>
      </c>
      <c r="J304" s="70"/>
      <c r="K304" s="41" t="s">
        <v>2050</v>
      </c>
      <c r="L304" s="41" t="s">
        <v>35</v>
      </c>
      <c r="M304" s="9" t="s">
        <v>4561</v>
      </c>
      <c r="N304" s="8"/>
      <c r="O304" s="1"/>
    </row>
    <row r="305" spans="1:15" ht="36.6" hidden="1" customHeight="1">
      <c r="A305" s="75">
        <v>1</v>
      </c>
      <c r="B305" s="33" t="s">
        <v>4530</v>
      </c>
      <c r="C305" s="41" t="s">
        <v>93</v>
      </c>
      <c r="D305" s="41" t="s">
        <v>4562</v>
      </c>
      <c r="E305" s="41" t="s">
        <v>4563</v>
      </c>
      <c r="F305" s="41" t="s">
        <v>4564</v>
      </c>
      <c r="G305" s="41" t="s">
        <v>507</v>
      </c>
      <c r="H305" s="8" t="s">
        <v>67</v>
      </c>
      <c r="I305" s="70"/>
      <c r="J305" s="70"/>
      <c r="K305" s="41" t="s">
        <v>2050</v>
      </c>
      <c r="L305" s="41"/>
      <c r="M305" s="9" t="s">
        <v>4565</v>
      </c>
      <c r="N305" s="8"/>
      <c r="O305" s="1"/>
    </row>
    <row r="306" spans="1:15" ht="36.6" hidden="1" customHeight="1">
      <c r="A306" s="75">
        <v>1</v>
      </c>
      <c r="B306" s="33" t="s">
        <v>3968</v>
      </c>
      <c r="C306" s="41" t="s">
        <v>93</v>
      </c>
      <c r="D306" s="8" t="s">
        <v>4566</v>
      </c>
      <c r="E306" s="41" t="s">
        <v>2526</v>
      </c>
      <c r="F306" s="41" t="s">
        <v>4567</v>
      </c>
      <c r="G306" s="41" t="s">
        <v>507</v>
      </c>
      <c r="H306" s="8" t="s">
        <v>67</v>
      </c>
      <c r="I306" s="70"/>
      <c r="J306" s="70"/>
      <c r="K306" s="41" t="s">
        <v>2050</v>
      </c>
      <c r="L306" s="41"/>
      <c r="M306" s="9" t="s">
        <v>4568</v>
      </c>
      <c r="N306" s="8"/>
      <c r="O306" s="1"/>
    </row>
    <row r="307" spans="1:15" ht="36.6" customHeight="1">
      <c r="A307" s="10">
        <v>1</v>
      </c>
      <c r="B307" s="33" t="s">
        <v>3968</v>
      </c>
      <c r="C307" s="41" t="s">
        <v>28</v>
      </c>
      <c r="D307" s="8" t="s">
        <v>4569</v>
      </c>
      <c r="E307" s="41" t="s">
        <v>1559</v>
      </c>
      <c r="F307" s="41">
        <v>51996388412</v>
      </c>
      <c r="G307" s="41" t="s">
        <v>32</v>
      </c>
      <c r="H307" s="8" t="s">
        <v>33</v>
      </c>
      <c r="I307" s="70" t="s">
        <v>4441</v>
      </c>
      <c r="J307" s="70"/>
      <c r="K307" s="41" t="s">
        <v>55</v>
      </c>
      <c r="L307" s="41" t="s">
        <v>80</v>
      </c>
      <c r="M307" s="9" t="s">
        <v>4570</v>
      </c>
      <c r="N307" s="8"/>
      <c r="O307" s="1"/>
    </row>
    <row r="308" spans="1:15" ht="36.6" hidden="1" customHeight="1">
      <c r="A308" s="10">
        <v>1</v>
      </c>
      <c r="B308" s="33" t="s">
        <v>3968</v>
      </c>
      <c r="C308" s="41" t="s">
        <v>93</v>
      </c>
      <c r="D308" s="8" t="s">
        <v>4571</v>
      </c>
      <c r="E308" s="41" t="s">
        <v>39</v>
      </c>
      <c r="F308" s="41" t="s">
        <v>4572</v>
      </c>
      <c r="G308" s="41" t="s">
        <v>41</v>
      </c>
      <c r="H308" s="8" t="s">
        <v>33</v>
      </c>
      <c r="I308" s="70"/>
      <c r="J308" s="70"/>
      <c r="K308" s="41" t="s">
        <v>55</v>
      </c>
      <c r="L308" s="41"/>
      <c r="M308" s="9" t="s">
        <v>741</v>
      </c>
      <c r="N308" s="8"/>
      <c r="O308" s="1"/>
    </row>
    <row r="309" spans="1:15" ht="36.6" customHeight="1">
      <c r="A309" s="10">
        <v>1</v>
      </c>
      <c r="B309" s="33" t="s">
        <v>3968</v>
      </c>
      <c r="C309" s="41" t="s">
        <v>28</v>
      </c>
      <c r="D309" s="8" t="s">
        <v>4573</v>
      </c>
      <c r="E309" s="41" t="s">
        <v>39</v>
      </c>
      <c r="F309" s="41">
        <v>51983577237</v>
      </c>
      <c r="G309" s="41" t="s">
        <v>41</v>
      </c>
      <c r="H309" s="8" t="s">
        <v>33</v>
      </c>
      <c r="I309" s="70" t="s">
        <v>54</v>
      </c>
      <c r="J309" s="70"/>
      <c r="K309" s="41" t="s">
        <v>49</v>
      </c>
      <c r="L309" s="41" t="s">
        <v>80</v>
      </c>
      <c r="M309" s="9" t="s">
        <v>4574</v>
      </c>
      <c r="N309" s="8"/>
      <c r="O309" s="1"/>
    </row>
    <row r="310" spans="1:15" ht="36.6" customHeight="1">
      <c r="A310" s="10">
        <v>1</v>
      </c>
      <c r="B310" s="33" t="s">
        <v>3968</v>
      </c>
      <c r="C310" s="41" t="s">
        <v>28</v>
      </c>
      <c r="D310" s="8" t="s">
        <v>4575</v>
      </c>
      <c r="E310" s="41" t="s">
        <v>1250</v>
      </c>
      <c r="F310" s="41" t="s">
        <v>4576</v>
      </c>
      <c r="G310" s="41" t="s">
        <v>1091</v>
      </c>
      <c r="H310" s="8" t="s">
        <v>33</v>
      </c>
      <c r="I310" s="70" t="s">
        <v>2046</v>
      </c>
      <c r="J310" s="70"/>
      <c r="K310" s="41" t="s">
        <v>2050</v>
      </c>
      <c r="L310" s="41" t="s">
        <v>80</v>
      </c>
      <c r="M310" s="9" t="s">
        <v>4577</v>
      </c>
      <c r="N310" s="8"/>
      <c r="O310" s="1"/>
    </row>
    <row r="311" spans="1:15" ht="36.6" customHeight="1">
      <c r="A311" s="10">
        <v>1</v>
      </c>
      <c r="B311" s="33" t="s">
        <v>3968</v>
      </c>
      <c r="C311" s="41" t="s">
        <v>28</v>
      </c>
      <c r="D311" s="8" t="s">
        <v>4578</v>
      </c>
      <c r="E311" s="41" t="s">
        <v>557</v>
      </c>
      <c r="F311" s="41" t="s">
        <v>4579</v>
      </c>
      <c r="G311" s="41" t="s">
        <v>559</v>
      </c>
      <c r="H311" s="8" t="s">
        <v>33</v>
      </c>
      <c r="I311" s="70" t="s">
        <v>2079</v>
      </c>
      <c r="J311" s="70"/>
      <c r="K311" s="41" t="s">
        <v>2050</v>
      </c>
      <c r="L311" s="41" t="s">
        <v>128</v>
      </c>
      <c r="M311" s="9" t="s">
        <v>4580</v>
      </c>
      <c r="N311" s="8"/>
      <c r="O311" s="1"/>
    </row>
    <row r="312" spans="1:15" ht="36.6" customHeight="1">
      <c r="A312" s="10">
        <v>1</v>
      </c>
      <c r="B312" s="33" t="s">
        <v>3968</v>
      </c>
      <c r="C312" s="41" t="s">
        <v>28</v>
      </c>
      <c r="D312" s="8" t="s">
        <v>4581</v>
      </c>
      <c r="E312" s="41" t="s">
        <v>1542</v>
      </c>
      <c r="F312" s="41" t="s">
        <v>4582</v>
      </c>
      <c r="G312" s="41" t="s">
        <v>85</v>
      </c>
      <c r="H312" s="8" t="s">
        <v>33</v>
      </c>
      <c r="I312" s="70" t="s">
        <v>4176</v>
      </c>
      <c r="J312" s="70"/>
      <c r="K312" s="41" t="s">
        <v>49</v>
      </c>
      <c r="L312" s="41" t="s">
        <v>128</v>
      </c>
      <c r="M312" s="9" t="s">
        <v>4583</v>
      </c>
      <c r="N312" s="8"/>
      <c r="O312" s="1"/>
    </row>
    <row r="313" spans="1:15" ht="36.6" hidden="1" customHeight="1">
      <c r="A313" s="10">
        <v>1</v>
      </c>
      <c r="B313" s="33" t="s">
        <v>3968</v>
      </c>
      <c r="C313" s="41" t="s">
        <v>93</v>
      </c>
      <c r="D313" s="8" t="s">
        <v>4584</v>
      </c>
      <c r="E313" s="41" t="s">
        <v>1443</v>
      </c>
      <c r="F313" s="41" t="s">
        <v>4585</v>
      </c>
      <c r="G313" s="41" t="s">
        <v>32</v>
      </c>
      <c r="H313" s="8" t="s">
        <v>33</v>
      </c>
      <c r="I313" s="70"/>
      <c r="J313" s="70"/>
      <c r="K313" s="41" t="s">
        <v>49</v>
      </c>
      <c r="L313" s="41"/>
      <c r="M313" s="9" t="s">
        <v>4586</v>
      </c>
      <c r="N313" s="8"/>
      <c r="O313" s="1"/>
    </row>
    <row r="314" spans="1:15" ht="36.6" hidden="1" customHeight="1">
      <c r="A314" s="10">
        <v>1</v>
      </c>
      <c r="B314" s="33" t="s">
        <v>3968</v>
      </c>
      <c r="C314" s="41" t="s">
        <v>93</v>
      </c>
      <c r="D314" s="8" t="s">
        <v>4587</v>
      </c>
      <c r="E314" s="41" t="s">
        <v>145</v>
      </c>
      <c r="F314" s="41" t="s">
        <v>4588</v>
      </c>
      <c r="G314" s="41" t="s">
        <v>283</v>
      </c>
      <c r="H314" s="8" t="s">
        <v>47</v>
      </c>
      <c r="I314" s="70"/>
      <c r="J314" s="70"/>
      <c r="K314" s="41" t="s">
        <v>49</v>
      </c>
      <c r="L314" s="41"/>
      <c r="M314" s="9" t="s">
        <v>4589</v>
      </c>
      <c r="N314" s="8"/>
      <c r="O314" s="1"/>
    </row>
    <row r="315" spans="1:15" ht="36.6" customHeight="1">
      <c r="A315" s="10">
        <v>1</v>
      </c>
      <c r="B315" s="33" t="s">
        <v>3968</v>
      </c>
      <c r="C315" s="41" t="s">
        <v>28</v>
      </c>
      <c r="D315" s="8" t="s">
        <v>4590</v>
      </c>
      <c r="E315" s="41" t="s">
        <v>4591</v>
      </c>
      <c r="F315" s="41" t="s">
        <v>4592</v>
      </c>
      <c r="G315" s="41" t="s">
        <v>415</v>
      </c>
      <c r="H315" s="8" t="s">
        <v>33</v>
      </c>
      <c r="I315" s="70" t="s">
        <v>54</v>
      </c>
      <c r="J315" s="70"/>
      <c r="K315" s="41" t="s">
        <v>55</v>
      </c>
      <c r="L315" s="41" t="s">
        <v>61</v>
      </c>
      <c r="M315" s="9" t="s">
        <v>4593</v>
      </c>
      <c r="N315" s="8"/>
      <c r="O315" s="1"/>
    </row>
    <row r="316" spans="1:15" ht="36.6" customHeight="1">
      <c r="A316" s="10">
        <v>1</v>
      </c>
      <c r="B316" s="33" t="s">
        <v>3968</v>
      </c>
      <c r="C316" s="41" t="s">
        <v>28</v>
      </c>
      <c r="D316" s="8" t="s">
        <v>4594</v>
      </c>
      <c r="E316" s="41" t="s">
        <v>39</v>
      </c>
      <c r="F316" s="41" t="s">
        <v>4595</v>
      </c>
      <c r="G316" s="41" t="s">
        <v>1091</v>
      </c>
      <c r="H316" s="8" t="s">
        <v>33</v>
      </c>
      <c r="I316" s="70" t="s">
        <v>54</v>
      </c>
      <c r="J316" s="70"/>
      <c r="K316" s="41" t="s">
        <v>2050</v>
      </c>
      <c r="L316" s="41" t="s">
        <v>61</v>
      </c>
      <c r="M316" s="9" t="s">
        <v>2146</v>
      </c>
      <c r="N316" s="8"/>
      <c r="O316" s="1"/>
    </row>
    <row r="317" spans="1:15" ht="36.6" hidden="1" customHeight="1">
      <c r="A317" s="10">
        <v>1</v>
      </c>
      <c r="B317" s="33" t="s">
        <v>3968</v>
      </c>
      <c r="C317" s="41" t="s">
        <v>93</v>
      </c>
      <c r="D317" s="8" t="s">
        <v>4596</v>
      </c>
      <c r="E317" s="41" t="s">
        <v>231</v>
      </c>
      <c r="F317" s="41" t="s">
        <v>4597</v>
      </c>
      <c r="G317" s="41" t="s">
        <v>32</v>
      </c>
      <c r="H317" s="8" t="s">
        <v>33</v>
      </c>
      <c r="I317" s="70"/>
      <c r="J317" s="70"/>
      <c r="K317" s="41" t="s">
        <v>49</v>
      </c>
      <c r="L317" s="41"/>
      <c r="M317" s="9" t="s">
        <v>4598</v>
      </c>
      <c r="N317" s="8"/>
      <c r="O317" s="1"/>
    </row>
    <row r="318" spans="1:15" ht="36.6" hidden="1" customHeight="1">
      <c r="A318" s="10">
        <v>1</v>
      </c>
      <c r="B318" s="33" t="s">
        <v>3968</v>
      </c>
      <c r="C318" s="41" t="s">
        <v>93</v>
      </c>
      <c r="D318" s="8" t="s">
        <v>2681</v>
      </c>
      <c r="E318" s="41" t="s">
        <v>274</v>
      </c>
      <c r="F318" s="41" t="s">
        <v>2682</v>
      </c>
      <c r="G318" s="41" t="s">
        <v>73</v>
      </c>
      <c r="H318" s="8" t="s">
        <v>33</v>
      </c>
      <c r="I318" s="70"/>
      <c r="J318" s="70"/>
      <c r="K318" s="41" t="s">
        <v>49</v>
      </c>
      <c r="L318" s="41"/>
      <c r="M318" s="9" t="s">
        <v>4599</v>
      </c>
      <c r="N318" s="8"/>
      <c r="O318" s="1"/>
    </row>
    <row r="319" spans="1:15" ht="36.6" hidden="1" customHeight="1">
      <c r="A319" s="10">
        <v>1</v>
      </c>
      <c r="B319" s="33" t="s">
        <v>3968</v>
      </c>
      <c r="C319" s="41" t="s">
        <v>93</v>
      </c>
      <c r="D319" s="8" t="s">
        <v>4600</v>
      </c>
      <c r="E319" s="41" t="s">
        <v>1770</v>
      </c>
      <c r="F319" s="41" t="s">
        <v>4601</v>
      </c>
      <c r="G319" s="41" t="s">
        <v>66</v>
      </c>
      <c r="H319" s="8" t="s">
        <v>67</v>
      </c>
      <c r="I319" s="70"/>
      <c r="J319" s="70"/>
      <c r="K319" s="41" t="s">
        <v>49</v>
      </c>
      <c r="L319" s="41"/>
      <c r="M319" s="9" t="s">
        <v>4602</v>
      </c>
      <c r="N319" s="8"/>
      <c r="O319" s="1"/>
    </row>
    <row r="320" spans="1:15" ht="36.6" hidden="1" customHeight="1">
      <c r="A320" s="10">
        <v>1</v>
      </c>
      <c r="B320" s="33" t="s">
        <v>3968</v>
      </c>
      <c r="C320" s="41" t="s">
        <v>93</v>
      </c>
      <c r="D320" s="8" t="s">
        <v>2999</v>
      </c>
      <c r="E320" s="41" t="s">
        <v>39</v>
      </c>
      <c r="F320" s="41" t="s">
        <v>3000</v>
      </c>
      <c r="G320" s="41" t="s">
        <v>1091</v>
      </c>
      <c r="H320" s="8" t="s">
        <v>33</v>
      </c>
      <c r="I320" s="70"/>
      <c r="J320" s="70"/>
      <c r="K320" s="41" t="s">
        <v>2050</v>
      </c>
      <c r="L320" s="41"/>
      <c r="M320" s="9" t="s">
        <v>4603</v>
      </c>
      <c r="N320" s="8"/>
      <c r="O320" s="1"/>
    </row>
    <row r="321" spans="1:15" ht="36.6" customHeight="1">
      <c r="A321" s="10">
        <v>1</v>
      </c>
      <c r="B321" s="33" t="s">
        <v>3968</v>
      </c>
      <c r="C321" s="41" t="s">
        <v>28</v>
      </c>
      <c r="D321" s="8" t="s">
        <v>4604</v>
      </c>
      <c r="E321" s="41" t="s">
        <v>1916</v>
      </c>
      <c r="F321" s="41" t="s">
        <v>4605</v>
      </c>
      <c r="G321" s="41" t="s">
        <v>91</v>
      </c>
      <c r="H321" s="8" t="s">
        <v>67</v>
      </c>
      <c r="I321" s="70"/>
      <c r="J321" s="70"/>
      <c r="K321" s="41" t="s">
        <v>49</v>
      </c>
      <c r="L321" s="41" t="s">
        <v>128</v>
      </c>
      <c r="M321" s="9" t="s">
        <v>4606</v>
      </c>
      <c r="N321" s="8"/>
      <c r="O321" s="1"/>
    </row>
    <row r="322" spans="1:15" ht="36.6" hidden="1" customHeight="1">
      <c r="A322" s="10">
        <v>1</v>
      </c>
      <c r="B322" s="33" t="s">
        <v>3968</v>
      </c>
      <c r="C322" s="41" t="s">
        <v>93</v>
      </c>
      <c r="D322" s="8" t="s">
        <v>4607</v>
      </c>
      <c r="E322" s="41" t="s">
        <v>260</v>
      </c>
      <c r="F322" s="41" t="s">
        <v>4608</v>
      </c>
      <c r="G322" s="41" t="s">
        <v>32</v>
      </c>
      <c r="H322" s="8" t="s">
        <v>33</v>
      </c>
      <c r="I322" s="70"/>
      <c r="J322" s="70"/>
      <c r="K322" s="41" t="s">
        <v>49</v>
      </c>
      <c r="L322" s="41"/>
      <c r="M322" s="9" t="s">
        <v>4609</v>
      </c>
      <c r="N322" s="8"/>
      <c r="O322" s="1"/>
    </row>
    <row r="323" spans="1:15" ht="36.6" customHeight="1">
      <c r="A323" s="10">
        <v>1</v>
      </c>
      <c r="B323" s="33" t="s">
        <v>3968</v>
      </c>
      <c r="C323" s="41" t="s">
        <v>28</v>
      </c>
      <c r="D323" s="8" t="s">
        <v>4610</v>
      </c>
      <c r="E323" s="41" t="s">
        <v>4611</v>
      </c>
      <c r="F323" s="41" t="s">
        <v>4612</v>
      </c>
      <c r="G323" s="41" t="s">
        <v>507</v>
      </c>
      <c r="H323" s="8" t="s">
        <v>67</v>
      </c>
      <c r="I323" s="70" t="s">
        <v>2227</v>
      </c>
      <c r="J323" s="70"/>
      <c r="K323" s="41" t="s">
        <v>2050</v>
      </c>
      <c r="L323" s="41" t="s">
        <v>128</v>
      </c>
      <c r="M323" s="9" t="s">
        <v>4613</v>
      </c>
      <c r="N323" s="8"/>
      <c r="O323" s="1"/>
    </row>
    <row r="324" spans="1:15" ht="36.6" customHeight="1">
      <c r="A324" s="10">
        <v>1</v>
      </c>
      <c r="B324" s="33" t="s">
        <v>3968</v>
      </c>
      <c r="C324" s="41" t="s">
        <v>28</v>
      </c>
      <c r="D324" s="8" t="s">
        <v>4614</v>
      </c>
      <c r="E324" s="41" t="s">
        <v>39</v>
      </c>
      <c r="F324" s="41">
        <v>51996259680</v>
      </c>
      <c r="G324" s="41" t="s">
        <v>41</v>
      </c>
      <c r="H324" s="8" t="s">
        <v>33</v>
      </c>
      <c r="I324" s="70" t="s">
        <v>2062</v>
      </c>
      <c r="J324" s="70"/>
      <c r="K324" s="41" t="s">
        <v>55</v>
      </c>
      <c r="L324" s="41" t="s">
        <v>61</v>
      </c>
      <c r="M324" s="9" t="s">
        <v>4615</v>
      </c>
      <c r="N324" s="8"/>
      <c r="O324" s="1"/>
    </row>
    <row r="325" spans="1:15" ht="36.6" customHeight="1">
      <c r="A325" s="10">
        <v>1</v>
      </c>
      <c r="B325" s="33" t="s">
        <v>3968</v>
      </c>
      <c r="C325" s="41" t="s">
        <v>398</v>
      </c>
      <c r="D325" s="8" t="s">
        <v>4616</v>
      </c>
      <c r="E325" s="41" t="s">
        <v>705</v>
      </c>
      <c r="F325" s="41" t="s">
        <v>4617</v>
      </c>
      <c r="G325" s="41" t="s">
        <v>53</v>
      </c>
      <c r="H325" s="8" t="s">
        <v>33</v>
      </c>
      <c r="I325" s="70" t="s">
        <v>2134</v>
      </c>
      <c r="J325" s="70"/>
      <c r="K325" s="41" t="s">
        <v>49</v>
      </c>
      <c r="L325" s="88" t="s">
        <v>4190</v>
      </c>
      <c r="M325" s="9" t="s">
        <v>4618</v>
      </c>
      <c r="N325" s="8"/>
      <c r="O325" s="1"/>
    </row>
    <row r="326" spans="1:15" ht="36.6" customHeight="1">
      <c r="A326" s="10">
        <v>1</v>
      </c>
      <c r="B326" s="33" t="s">
        <v>3968</v>
      </c>
      <c r="C326" s="41" t="s">
        <v>28</v>
      </c>
      <c r="D326" s="41" t="s">
        <v>4619</v>
      </c>
      <c r="E326" s="41" t="s">
        <v>292</v>
      </c>
      <c r="F326" s="41">
        <v>51985727299</v>
      </c>
      <c r="G326" s="41" t="s">
        <v>41</v>
      </c>
      <c r="H326" s="8" t="s">
        <v>33</v>
      </c>
      <c r="I326" s="70" t="s">
        <v>2046</v>
      </c>
      <c r="J326" s="70"/>
      <c r="K326" s="41" t="s">
        <v>55</v>
      </c>
      <c r="L326" s="41" t="s">
        <v>61</v>
      </c>
      <c r="M326" s="9" t="s">
        <v>4620</v>
      </c>
      <c r="N326" s="8"/>
      <c r="O326" s="1"/>
    </row>
    <row r="327" spans="1:15" ht="36.6" customHeight="1">
      <c r="A327" s="10">
        <v>1</v>
      </c>
      <c r="B327" s="33" t="s">
        <v>3968</v>
      </c>
      <c r="C327" s="41" t="s">
        <v>28</v>
      </c>
      <c r="D327" s="41" t="s">
        <v>4621</v>
      </c>
      <c r="E327" s="41" t="s">
        <v>1134</v>
      </c>
      <c r="F327" s="41" t="s">
        <v>4622</v>
      </c>
      <c r="G327" s="41" t="s">
        <v>1091</v>
      </c>
      <c r="H327" s="8" t="s">
        <v>33</v>
      </c>
      <c r="I327" s="70" t="s">
        <v>2046</v>
      </c>
      <c r="J327" s="70"/>
      <c r="K327" s="41" t="s">
        <v>2050</v>
      </c>
      <c r="L327" s="41" t="s">
        <v>128</v>
      </c>
      <c r="M327" s="9" t="s">
        <v>4580</v>
      </c>
      <c r="N327" s="8"/>
      <c r="O327" s="1"/>
    </row>
    <row r="328" spans="1:15" ht="36.6" customHeight="1">
      <c r="A328" s="10">
        <v>1</v>
      </c>
      <c r="B328" s="33" t="s">
        <v>3968</v>
      </c>
      <c r="C328" s="41" t="s">
        <v>28</v>
      </c>
      <c r="D328" s="41" t="s">
        <v>4623</v>
      </c>
      <c r="E328" s="41" t="s">
        <v>1770</v>
      </c>
      <c r="F328" s="41" t="s">
        <v>4624</v>
      </c>
      <c r="G328" s="41" t="s">
        <v>507</v>
      </c>
      <c r="H328" s="8" t="s">
        <v>67</v>
      </c>
      <c r="I328" s="70" t="s">
        <v>2227</v>
      </c>
      <c r="J328" s="70"/>
      <c r="K328" s="41" t="s">
        <v>2050</v>
      </c>
      <c r="L328" s="41" t="s">
        <v>111</v>
      </c>
      <c r="M328" s="9" t="s">
        <v>4625</v>
      </c>
      <c r="N328" s="8"/>
      <c r="O328" s="1"/>
    </row>
    <row r="329" spans="1:15" ht="36.6" customHeight="1">
      <c r="A329" s="10">
        <v>1</v>
      </c>
      <c r="B329" s="33" t="s">
        <v>3968</v>
      </c>
      <c r="C329" s="41" t="s">
        <v>28</v>
      </c>
      <c r="D329" s="41" t="s">
        <v>4626</v>
      </c>
      <c r="E329" s="41" t="s">
        <v>2742</v>
      </c>
      <c r="F329" s="41" t="s">
        <v>4627</v>
      </c>
      <c r="G329" s="41" t="s">
        <v>73</v>
      </c>
      <c r="H329" s="8" t="s">
        <v>33</v>
      </c>
      <c r="I329" s="70" t="s">
        <v>2227</v>
      </c>
      <c r="J329" s="70"/>
      <c r="K329" s="41" t="s">
        <v>49</v>
      </c>
      <c r="L329" s="41" t="s">
        <v>128</v>
      </c>
      <c r="M329" s="41" t="s">
        <v>4628</v>
      </c>
      <c r="N329" s="8"/>
      <c r="O329" s="1"/>
    </row>
    <row r="330" spans="1:15" ht="36.6" hidden="1" customHeight="1">
      <c r="A330" s="10">
        <v>1</v>
      </c>
      <c r="B330" s="33" t="s">
        <v>3968</v>
      </c>
      <c r="C330" s="41" t="s">
        <v>93</v>
      </c>
      <c r="D330" s="41" t="s">
        <v>4629</v>
      </c>
      <c r="E330" s="41" t="s">
        <v>39</v>
      </c>
      <c r="F330" s="41" t="s">
        <v>4630</v>
      </c>
      <c r="G330" s="41" t="s">
        <v>41</v>
      </c>
      <c r="H330" s="8" t="s">
        <v>33</v>
      </c>
      <c r="I330" s="70"/>
      <c r="J330" s="70"/>
      <c r="K330" s="41" t="s">
        <v>49</v>
      </c>
      <c r="L330" s="41"/>
      <c r="M330" s="10"/>
      <c r="N330" s="8"/>
      <c r="O330" s="1"/>
    </row>
    <row r="331" spans="1:15" ht="36.6" customHeight="1">
      <c r="A331" s="10">
        <v>1</v>
      </c>
      <c r="B331" s="33" t="s">
        <v>3968</v>
      </c>
      <c r="C331" s="41" t="s">
        <v>28</v>
      </c>
      <c r="D331" s="41" t="s">
        <v>4631</v>
      </c>
      <c r="E331" s="41" t="s">
        <v>39</v>
      </c>
      <c r="F331" s="41" t="s">
        <v>4632</v>
      </c>
      <c r="G331" s="41" t="s">
        <v>41</v>
      </c>
      <c r="H331" s="8" t="s">
        <v>33</v>
      </c>
      <c r="I331" s="70" t="s">
        <v>2046</v>
      </c>
      <c r="J331" s="70"/>
      <c r="K331" s="41" t="s">
        <v>49</v>
      </c>
      <c r="L331" s="41" t="s">
        <v>61</v>
      </c>
      <c r="M331" s="10"/>
      <c r="N331" s="8"/>
      <c r="O331" s="1"/>
    </row>
    <row r="332" spans="1:15" ht="36.6" hidden="1" customHeight="1">
      <c r="A332" s="10">
        <v>1</v>
      </c>
      <c r="B332" s="33" t="s">
        <v>3968</v>
      </c>
      <c r="C332" s="41" t="s">
        <v>93</v>
      </c>
      <c r="D332" s="41" t="s">
        <v>4633</v>
      </c>
      <c r="E332" s="41" t="s">
        <v>363</v>
      </c>
      <c r="F332" s="41">
        <v>51985363276</v>
      </c>
      <c r="G332" s="41" t="s">
        <v>66</v>
      </c>
      <c r="H332" s="8" t="s">
        <v>67</v>
      </c>
      <c r="I332" s="70"/>
      <c r="J332" s="70"/>
      <c r="K332" s="41" t="s">
        <v>55</v>
      </c>
      <c r="L332" s="41"/>
      <c r="M332" s="10"/>
      <c r="N332" s="8"/>
      <c r="O332" s="1"/>
    </row>
    <row r="333" spans="1:15" ht="36.6" customHeight="1">
      <c r="A333" s="10">
        <v>1</v>
      </c>
      <c r="B333" s="33" t="s">
        <v>4207</v>
      </c>
      <c r="C333" s="41" t="s">
        <v>28</v>
      </c>
      <c r="D333" s="41" t="s">
        <v>4634</v>
      </c>
      <c r="E333" s="41" t="s">
        <v>525</v>
      </c>
      <c r="F333" s="41" t="s">
        <v>4635</v>
      </c>
      <c r="G333" s="41" t="s">
        <v>559</v>
      </c>
      <c r="H333" s="8" t="s">
        <v>33</v>
      </c>
      <c r="I333" s="70" t="s">
        <v>54</v>
      </c>
      <c r="J333" s="70"/>
      <c r="K333" s="41" t="s">
        <v>2050</v>
      </c>
      <c r="L333" s="41" t="s">
        <v>128</v>
      </c>
      <c r="M333" s="10"/>
      <c r="N333" s="8"/>
      <c r="O333" s="1"/>
    </row>
    <row r="334" spans="1:15" ht="36.6" customHeight="1">
      <c r="A334" s="10">
        <v>1</v>
      </c>
      <c r="B334" s="33" t="s">
        <v>4207</v>
      </c>
      <c r="C334" s="41" t="s">
        <v>28</v>
      </c>
      <c r="D334" s="41" t="s">
        <v>4636</v>
      </c>
      <c r="E334" s="41" t="s">
        <v>41</v>
      </c>
      <c r="F334" s="41">
        <v>51998766386</v>
      </c>
      <c r="G334" s="41" t="s">
        <v>817</v>
      </c>
      <c r="H334" s="8" t="s">
        <v>33</v>
      </c>
      <c r="I334" s="70" t="s">
        <v>4637</v>
      </c>
      <c r="J334" s="70"/>
      <c r="K334" s="41" t="s">
        <v>55</v>
      </c>
      <c r="L334" s="41" t="s">
        <v>61</v>
      </c>
      <c r="M334" s="10"/>
      <c r="N334" s="8"/>
      <c r="O334" s="1"/>
    </row>
    <row r="335" spans="1:15" ht="36.6" customHeight="1">
      <c r="A335" s="10">
        <v>1</v>
      </c>
      <c r="B335" s="33" t="s">
        <v>4207</v>
      </c>
      <c r="C335" s="41" t="s">
        <v>28</v>
      </c>
      <c r="D335" s="41" t="s">
        <v>4638</v>
      </c>
      <c r="E335" s="41" t="s">
        <v>39</v>
      </c>
      <c r="F335" s="41" t="s">
        <v>4639</v>
      </c>
      <c r="G335" s="41" t="s">
        <v>1091</v>
      </c>
      <c r="H335" s="8" t="s">
        <v>33</v>
      </c>
      <c r="I335" s="70" t="s">
        <v>2046</v>
      </c>
      <c r="J335" s="70"/>
      <c r="K335" s="41" t="s">
        <v>2050</v>
      </c>
      <c r="L335" s="41" t="s">
        <v>61</v>
      </c>
      <c r="M335" s="10"/>
      <c r="N335" s="8"/>
      <c r="O335" s="1"/>
    </row>
    <row r="336" spans="1:15" ht="36.6" hidden="1" customHeight="1">
      <c r="A336" s="10">
        <v>1</v>
      </c>
      <c r="B336" s="33" t="s">
        <v>4207</v>
      </c>
      <c r="C336" s="41" t="s">
        <v>93</v>
      </c>
      <c r="D336" s="41" t="s">
        <v>4640</v>
      </c>
      <c r="E336" s="41" t="s">
        <v>4641</v>
      </c>
      <c r="F336" s="41" t="s">
        <v>4642</v>
      </c>
      <c r="G336" s="41" t="s">
        <v>66</v>
      </c>
      <c r="H336" s="8" t="s">
        <v>67</v>
      </c>
      <c r="I336" s="70"/>
      <c r="J336" s="70"/>
      <c r="K336" s="41" t="s">
        <v>55</v>
      </c>
      <c r="L336" s="41"/>
      <c r="M336" s="10" t="s">
        <v>4358</v>
      </c>
      <c r="N336" s="8"/>
      <c r="O336" s="1"/>
    </row>
    <row r="337" spans="1:15" ht="36.6" customHeight="1">
      <c r="A337" s="10">
        <v>1</v>
      </c>
      <c r="B337" s="33" t="s">
        <v>4207</v>
      </c>
      <c r="C337" s="41" t="s">
        <v>28</v>
      </c>
      <c r="D337" s="41" t="s">
        <v>4643</v>
      </c>
      <c r="E337" s="41" t="s">
        <v>1542</v>
      </c>
      <c r="F337" s="41">
        <v>51999406053</v>
      </c>
      <c r="G337" s="41" t="s">
        <v>85</v>
      </c>
      <c r="H337" s="8" t="s">
        <v>33</v>
      </c>
      <c r="I337" s="70" t="s">
        <v>54</v>
      </c>
      <c r="J337" s="70"/>
      <c r="K337" s="41" t="s">
        <v>55</v>
      </c>
      <c r="L337" s="41" t="s">
        <v>61</v>
      </c>
      <c r="M337" s="10"/>
      <c r="N337" s="8"/>
      <c r="O337" s="1"/>
    </row>
    <row r="338" spans="1:15" ht="36.6" customHeight="1">
      <c r="A338" s="10">
        <v>1</v>
      </c>
      <c r="B338" s="33" t="s">
        <v>4207</v>
      </c>
      <c r="C338" s="41" t="s">
        <v>28</v>
      </c>
      <c r="D338" s="41" t="s">
        <v>4644</v>
      </c>
      <c r="E338" s="41" t="s">
        <v>315</v>
      </c>
      <c r="F338" s="41">
        <v>51985189260</v>
      </c>
      <c r="G338" s="41" t="s">
        <v>66</v>
      </c>
      <c r="H338" s="8" t="s">
        <v>67</v>
      </c>
      <c r="I338" s="70" t="s">
        <v>2079</v>
      </c>
      <c r="J338" s="70"/>
      <c r="K338" s="41" t="s">
        <v>55</v>
      </c>
      <c r="L338" s="41" t="s">
        <v>56</v>
      </c>
      <c r="M338" s="10"/>
      <c r="N338" s="8"/>
      <c r="O338" s="1"/>
    </row>
    <row r="339" spans="1:15" ht="36.6" customHeight="1">
      <c r="A339" s="10">
        <v>1</v>
      </c>
      <c r="B339" s="33" t="s">
        <v>4207</v>
      </c>
      <c r="C339" s="41" t="s">
        <v>28</v>
      </c>
      <c r="D339" s="41" t="s">
        <v>4645</v>
      </c>
      <c r="E339" s="41" t="s">
        <v>145</v>
      </c>
      <c r="F339" s="41">
        <v>51999944136</v>
      </c>
      <c r="G339" s="41" t="s">
        <v>85</v>
      </c>
      <c r="H339" s="8" t="s">
        <v>33</v>
      </c>
      <c r="I339" s="70" t="s">
        <v>2186</v>
      </c>
      <c r="J339" s="70"/>
      <c r="K339" s="41" t="s">
        <v>55</v>
      </c>
      <c r="L339" s="41" t="s">
        <v>128</v>
      </c>
      <c r="M339" s="10"/>
      <c r="N339" s="8"/>
      <c r="O339" s="1"/>
    </row>
    <row r="340" spans="1:15" ht="36.6" customHeight="1">
      <c r="A340" s="10">
        <v>1</v>
      </c>
      <c r="B340" s="33" t="s">
        <v>4207</v>
      </c>
      <c r="C340" s="41" t="s">
        <v>28</v>
      </c>
      <c r="D340" s="41" t="s">
        <v>4646</v>
      </c>
      <c r="E340" s="41" t="s">
        <v>1306</v>
      </c>
      <c r="F340" s="41">
        <v>51996551782</v>
      </c>
      <c r="G340" s="41" t="s">
        <v>53</v>
      </c>
      <c r="H340" s="8" t="s">
        <v>33</v>
      </c>
      <c r="I340" s="70" t="s">
        <v>4176</v>
      </c>
      <c r="J340" s="70"/>
      <c r="K340" s="41" t="s">
        <v>55</v>
      </c>
      <c r="L340" s="41" t="s">
        <v>80</v>
      </c>
      <c r="M340" s="10" t="s">
        <v>4647</v>
      </c>
      <c r="N340" s="8"/>
      <c r="O340" s="1"/>
    </row>
    <row r="341" spans="1:15" ht="36.6" hidden="1" customHeight="1">
      <c r="A341" s="10">
        <v>1</v>
      </c>
      <c r="B341" s="33" t="s">
        <v>4207</v>
      </c>
      <c r="C341" s="41" t="s">
        <v>93</v>
      </c>
      <c r="D341" s="41" t="s">
        <v>4648</v>
      </c>
      <c r="E341" s="41" t="s">
        <v>552</v>
      </c>
      <c r="F341" s="41" t="s">
        <v>4649</v>
      </c>
      <c r="G341" s="41" t="s">
        <v>91</v>
      </c>
      <c r="H341" s="8" t="s">
        <v>67</v>
      </c>
      <c r="I341" s="70"/>
      <c r="J341" s="70"/>
      <c r="K341" s="41" t="s">
        <v>55</v>
      </c>
      <c r="L341" s="41"/>
      <c r="M341" s="10" t="s">
        <v>4650</v>
      </c>
      <c r="N341" s="8"/>
      <c r="O341" s="1"/>
    </row>
    <row r="342" spans="1:15" ht="36.6" customHeight="1">
      <c r="A342" s="10">
        <v>1</v>
      </c>
      <c r="B342" s="33" t="s">
        <v>4207</v>
      </c>
      <c r="C342" s="41" t="s">
        <v>28</v>
      </c>
      <c r="D342" s="41" t="s">
        <v>4651</v>
      </c>
      <c r="E342" s="41" t="s">
        <v>1083</v>
      </c>
      <c r="F342" s="41" t="s">
        <v>4652</v>
      </c>
      <c r="G342" s="41" t="s">
        <v>4653</v>
      </c>
      <c r="H342" s="8" t="s">
        <v>33</v>
      </c>
      <c r="I342" s="70"/>
      <c r="J342" s="70"/>
      <c r="K342" s="41" t="s">
        <v>2050</v>
      </c>
      <c r="L342" s="41" t="s">
        <v>61</v>
      </c>
      <c r="M342" s="10" t="s">
        <v>4654</v>
      </c>
      <c r="N342" s="8"/>
      <c r="O342" s="1"/>
    </row>
    <row r="343" spans="1:15" ht="36.6" customHeight="1">
      <c r="A343" s="10">
        <v>1</v>
      </c>
      <c r="B343" s="33" t="s">
        <v>4207</v>
      </c>
      <c r="C343" s="41" t="s">
        <v>28</v>
      </c>
      <c r="D343" s="41" t="s">
        <v>4655</v>
      </c>
      <c r="E343" s="41" t="s">
        <v>4656</v>
      </c>
      <c r="F343" s="41" t="s">
        <v>4657</v>
      </c>
      <c r="G343" s="41" t="s">
        <v>4658</v>
      </c>
      <c r="H343" s="8" t="s">
        <v>33</v>
      </c>
      <c r="I343" s="70" t="s">
        <v>4471</v>
      </c>
      <c r="J343" s="70"/>
      <c r="K343" s="41" t="s">
        <v>55</v>
      </c>
      <c r="L343" s="41" t="s">
        <v>128</v>
      </c>
      <c r="M343" s="10" t="s">
        <v>4659</v>
      </c>
      <c r="N343" s="8"/>
      <c r="O343" s="1"/>
    </row>
    <row r="344" spans="1:15" ht="36.6" hidden="1" customHeight="1">
      <c r="A344" s="10">
        <v>1</v>
      </c>
      <c r="B344" s="33" t="s">
        <v>4207</v>
      </c>
      <c r="C344" s="41" t="s">
        <v>93</v>
      </c>
      <c r="D344" s="41" t="s">
        <v>4660</v>
      </c>
      <c r="E344" s="41" t="s">
        <v>1083</v>
      </c>
      <c r="F344" s="41" t="s">
        <v>4661</v>
      </c>
      <c r="G344" s="41" t="s">
        <v>559</v>
      </c>
      <c r="H344" s="8" t="s">
        <v>33</v>
      </c>
      <c r="I344" s="70"/>
      <c r="J344" s="70"/>
      <c r="K344" s="41" t="s">
        <v>2050</v>
      </c>
      <c r="L344" s="41"/>
      <c r="M344" s="10" t="s">
        <v>4662</v>
      </c>
      <c r="N344" s="8"/>
      <c r="O344" s="1"/>
    </row>
    <row r="345" spans="1:15" ht="36.6" customHeight="1">
      <c r="A345" s="10">
        <v>1</v>
      </c>
      <c r="B345" s="33" t="s">
        <v>4207</v>
      </c>
      <c r="C345" s="41" t="s">
        <v>28</v>
      </c>
      <c r="D345" s="41" t="s">
        <v>4663</v>
      </c>
      <c r="E345" s="41" t="s">
        <v>186</v>
      </c>
      <c r="F345" s="41" t="s">
        <v>4664</v>
      </c>
      <c r="G345" s="41" t="s">
        <v>66</v>
      </c>
      <c r="H345" s="8" t="s">
        <v>67</v>
      </c>
      <c r="I345" s="70" t="s">
        <v>2227</v>
      </c>
      <c r="J345" s="70"/>
      <c r="K345" s="41" t="s">
        <v>49</v>
      </c>
      <c r="L345" s="41" t="s">
        <v>61</v>
      </c>
      <c r="M345" s="10" t="s">
        <v>4665</v>
      </c>
      <c r="N345" s="8"/>
      <c r="O345" s="1"/>
    </row>
    <row r="346" spans="1:15" ht="36.6" customHeight="1">
      <c r="A346" s="10">
        <v>1</v>
      </c>
      <c r="B346" s="33" t="s">
        <v>4207</v>
      </c>
      <c r="C346" s="41" t="s">
        <v>28</v>
      </c>
      <c r="D346" s="41" t="s">
        <v>4666</v>
      </c>
      <c r="E346" s="41" t="s">
        <v>315</v>
      </c>
      <c r="F346" s="41" t="s">
        <v>4667</v>
      </c>
      <c r="G346" s="41" t="s">
        <v>66</v>
      </c>
      <c r="H346" s="8" t="s">
        <v>67</v>
      </c>
      <c r="I346" s="70" t="s">
        <v>2227</v>
      </c>
      <c r="J346" s="70"/>
      <c r="K346" s="41" t="s">
        <v>49</v>
      </c>
      <c r="L346" s="41" t="s">
        <v>111</v>
      </c>
      <c r="M346" s="10" t="s">
        <v>4668</v>
      </c>
      <c r="N346" s="8"/>
      <c r="O346" s="1"/>
    </row>
    <row r="347" spans="1:15" ht="36.6" hidden="1" customHeight="1">
      <c r="A347" s="10">
        <v>1</v>
      </c>
      <c r="B347" s="33" t="s">
        <v>4207</v>
      </c>
      <c r="C347" s="41" t="s">
        <v>93</v>
      </c>
      <c r="D347" s="41" t="s">
        <v>3147</v>
      </c>
      <c r="E347" s="41" t="s">
        <v>39</v>
      </c>
      <c r="F347" s="41" t="s">
        <v>4669</v>
      </c>
      <c r="G347" s="41" t="s">
        <v>1091</v>
      </c>
      <c r="H347" s="8" t="s">
        <v>33</v>
      </c>
      <c r="I347" s="70"/>
      <c r="J347" s="70"/>
      <c r="K347" s="41" t="s">
        <v>2050</v>
      </c>
      <c r="L347" s="41"/>
      <c r="M347" s="10" t="s">
        <v>4670</v>
      </c>
      <c r="N347" s="8"/>
      <c r="O347" s="1"/>
    </row>
    <row r="348" spans="1:15" ht="36.6" customHeight="1">
      <c r="A348" s="10">
        <v>1</v>
      </c>
      <c r="B348" s="33" t="s">
        <v>4207</v>
      </c>
      <c r="C348" s="41" t="s">
        <v>28</v>
      </c>
      <c r="D348" s="41" t="s">
        <v>4671</v>
      </c>
      <c r="E348" s="41" t="s">
        <v>39</v>
      </c>
      <c r="F348" s="41" t="s">
        <v>4672</v>
      </c>
      <c r="G348" s="41" t="s">
        <v>1091</v>
      </c>
      <c r="H348" s="8" t="s">
        <v>33</v>
      </c>
      <c r="I348" s="70" t="s">
        <v>2046</v>
      </c>
      <c r="J348" s="70"/>
      <c r="K348" s="41" t="s">
        <v>49</v>
      </c>
      <c r="L348" s="41" t="s">
        <v>35</v>
      </c>
      <c r="M348" s="10" t="s">
        <v>4673</v>
      </c>
      <c r="N348" s="8"/>
      <c r="O348" s="1"/>
    </row>
    <row r="349" spans="1:15" ht="36.6" hidden="1" customHeight="1">
      <c r="A349" s="10">
        <v>1</v>
      </c>
      <c r="B349" s="33" t="s">
        <v>4207</v>
      </c>
      <c r="C349" s="41" t="s">
        <v>93</v>
      </c>
      <c r="D349" s="41" t="s">
        <v>4674</v>
      </c>
      <c r="E349" s="41" t="s">
        <v>182</v>
      </c>
      <c r="F349" s="41">
        <v>51999954010</v>
      </c>
      <c r="G349" s="41" t="s">
        <v>85</v>
      </c>
      <c r="H349" s="8" t="s">
        <v>33</v>
      </c>
      <c r="I349" s="70"/>
      <c r="J349" s="70"/>
      <c r="K349" s="41" t="s">
        <v>55</v>
      </c>
      <c r="L349" s="41"/>
      <c r="M349" s="10" t="s">
        <v>4675</v>
      </c>
      <c r="N349" s="8"/>
      <c r="O349" s="1"/>
    </row>
    <row r="350" spans="1:15" ht="36.6" hidden="1" customHeight="1">
      <c r="A350" s="10">
        <v>1</v>
      </c>
      <c r="B350" s="33" t="s">
        <v>4207</v>
      </c>
      <c r="C350" s="41" t="s">
        <v>93</v>
      </c>
      <c r="D350" s="41" t="s">
        <v>2612</v>
      </c>
      <c r="E350" s="41" t="s">
        <v>39</v>
      </c>
      <c r="F350" s="41" t="s">
        <v>2614</v>
      </c>
      <c r="G350" s="41" t="s">
        <v>1091</v>
      </c>
      <c r="H350" s="8" t="s">
        <v>33</v>
      </c>
      <c r="I350" s="70"/>
      <c r="J350" s="70"/>
      <c r="K350" s="41" t="s">
        <v>2050</v>
      </c>
      <c r="L350" s="41"/>
      <c r="M350" s="10" t="s">
        <v>4676</v>
      </c>
      <c r="N350" s="8"/>
      <c r="O350" s="1"/>
    </row>
    <row r="351" spans="1:15" ht="36.6" customHeight="1">
      <c r="A351" s="10">
        <v>1</v>
      </c>
      <c r="B351" s="33" t="s">
        <v>4207</v>
      </c>
      <c r="C351" s="41" t="s">
        <v>28</v>
      </c>
      <c r="D351" s="41" t="s">
        <v>4677</v>
      </c>
      <c r="E351" s="41" t="s">
        <v>967</v>
      </c>
      <c r="F351" s="41" t="s">
        <v>4678</v>
      </c>
      <c r="G351" s="41" t="s">
        <v>53</v>
      </c>
      <c r="H351" s="8" t="s">
        <v>33</v>
      </c>
      <c r="I351" s="70"/>
      <c r="J351" s="70"/>
      <c r="K351" s="41" t="s">
        <v>49</v>
      </c>
      <c r="L351" s="41" t="s">
        <v>61</v>
      </c>
      <c r="M351" s="10" t="s">
        <v>4679</v>
      </c>
      <c r="N351" s="8"/>
      <c r="O351" s="1"/>
    </row>
    <row r="352" spans="1:15" ht="36.6" hidden="1" customHeight="1">
      <c r="A352" s="10">
        <v>1</v>
      </c>
      <c r="B352" s="33" t="s">
        <v>4207</v>
      </c>
      <c r="C352" s="41" t="s">
        <v>93</v>
      </c>
      <c r="D352" s="41" t="s">
        <v>4680</v>
      </c>
      <c r="E352" s="41" t="s">
        <v>39</v>
      </c>
      <c r="F352" s="41" t="s">
        <v>4681</v>
      </c>
      <c r="G352" s="41" t="s">
        <v>41</v>
      </c>
      <c r="H352" s="8" t="s">
        <v>33</v>
      </c>
      <c r="I352" s="70"/>
      <c r="J352" s="70"/>
      <c r="K352" s="41" t="s">
        <v>49</v>
      </c>
      <c r="L352" s="41"/>
      <c r="M352" s="10" t="s">
        <v>4682</v>
      </c>
      <c r="N352" s="8"/>
      <c r="O352" s="1"/>
    </row>
    <row r="353" spans="1:15" ht="36.6" customHeight="1">
      <c r="A353" s="10">
        <v>1</v>
      </c>
      <c r="B353" s="33" t="s">
        <v>4207</v>
      </c>
      <c r="C353" s="41" t="s">
        <v>28</v>
      </c>
      <c r="D353" s="41" t="s">
        <v>4683</v>
      </c>
      <c r="E353" s="41" t="s">
        <v>39</v>
      </c>
      <c r="F353" s="41" t="s">
        <v>4684</v>
      </c>
      <c r="G353" s="41" t="s">
        <v>1091</v>
      </c>
      <c r="H353" s="8" t="s">
        <v>33</v>
      </c>
      <c r="I353" s="70"/>
      <c r="J353" s="70"/>
      <c r="K353" s="41" t="s">
        <v>2050</v>
      </c>
      <c r="L353" s="41" t="s">
        <v>35</v>
      </c>
      <c r="M353" s="10" t="s">
        <v>4685</v>
      </c>
      <c r="N353" s="8"/>
      <c r="O353" s="1"/>
    </row>
    <row r="354" spans="1:15" ht="36.6" hidden="1" customHeight="1">
      <c r="A354" s="10">
        <v>1</v>
      </c>
      <c r="B354" s="33" t="s">
        <v>4207</v>
      </c>
      <c r="C354" s="41" t="s">
        <v>93</v>
      </c>
      <c r="D354" s="41" t="s">
        <v>4686</v>
      </c>
      <c r="E354" s="41" t="s">
        <v>619</v>
      </c>
      <c r="F354" s="41" t="s">
        <v>4687</v>
      </c>
      <c r="G354" s="41" t="s">
        <v>66</v>
      </c>
      <c r="H354" s="8" t="s">
        <v>67</v>
      </c>
      <c r="I354" s="70"/>
      <c r="J354" s="70"/>
      <c r="K354" s="41" t="s">
        <v>49</v>
      </c>
      <c r="L354" s="41"/>
      <c r="M354" s="10" t="s">
        <v>4688</v>
      </c>
      <c r="N354" s="8"/>
      <c r="O354" s="1"/>
    </row>
    <row r="355" spans="1:15" ht="36.6" customHeight="1">
      <c r="A355" s="10">
        <v>1</v>
      </c>
      <c r="B355" s="33" t="s">
        <v>4207</v>
      </c>
      <c r="C355" s="41" t="s">
        <v>398</v>
      </c>
      <c r="D355" s="41" t="s">
        <v>4689</v>
      </c>
      <c r="E355" s="41" t="s">
        <v>732</v>
      </c>
      <c r="F355" s="41">
        <v>51997614508</v>
      </c>
      <c r="G355" s="41" t="s">
        <v>85</v>
      </c>
      <c r="H355" s="8" t="s">
        <v>33</v>
      </c>
      <c r="I355" s="70" t="s">
        <v>54</v>
      </c>
      <c r="J355" s="70"/>
      <c r="K355" s="41" t="s">
        <v>55</v>
      </c>
      <c r="L355" s="88" t="s">
        <v>4190</v>
      </c>
      <c r="M355" s="10" t="s">
        <v>2661</v>
      </c>
      <c r="N355" s="8"/>
      <c r="O355" s="1"/>
    </row>
    <row r="356" spans="1:15" ht="36.6" customHeight="1">
      <c r="A356" s="10">
        <v>1</v>
      </c>
      <c r="B356" s="33" t="s">
        <v>4207</v>
      </c>
      <c r="C356" s="41" t="s">
        <v>28</v>
      </c>
      <c r="D356" s="41" t="s">
        <v>4690</v>
      </c>
      <c r="E356" s="41" t="s">
        <v>1542</v>
      </c>
      <c r="F356" s="41">
        <v>51994973149</v>
      </c>
      <c r="G356" s="41" t="s">
        <v>313</v>
      </c>
      <c r="H356" s="8" t="s">
        <v>215</v>
      </c>
      <c r="I356" s="70" t="s">
        <v>54</v>
      </c>
      <c r="J356" s="70"/>
      <c r="K356" s="41" t="s">
        <v>55</v>
      </c>
      <c r="L356" s="41" t="s">
        <v>35</v>
      </c>
      <c r="M356" s="10" t="s">
        <v>4691</v>
      </c>
      <c r="N356" s="8"/>
      <c r="O356" s="1"/>
    </row>
    <row r="357" spans="1:15" ht="36.6" customHeight="1">
      <c r="A357" s="10">
        <v>1</v>
      </c>
      <c r="B357" s="33" t="s">
        <v>4207</v>
      </c>
      <c r="C357" s="41" t="s">
        <v>28</v>
      </c>
      <c r="D357" s="41" t="s">
        <v>4692</v>
      </c>
      <c r="E357" s="41" t="s">
        <v>39</v>
      </c>
      <c r="F357" s="41" t="s">
        <v>4693</v>
      </c>
      <c r="G357" s="41" t="s">
        <v>1091</v>
      </c>
      <c r="H357" s="8" t="s">
        <v>33</v>
      </c>
      <c r="I357" s="70" t="s">
        <v>54</v>
      </c>
      <c r="J357" s="70"/>
      <c r="K357" s="41" t="s">
        <v>2050</v>
      </c>
      <c r="L357" s="41" t="s">
        <v>35</v>
      </c>
      <c r="M357" s="10" t="s">
        <v>4694</v>
      </c>
      <c r="N357" s="8"/>
      <c r="O357" s="1"/>
    </row>
    <row r="358" spans="1:15" ht="36.6" customHeight="1">
      <c r="A358" s="10">
        <v>1</v>
      </c>
      <c r="B358" s="33" t="s">
        <v>4207</v>
      </c>
      <c r="C358" s="41" t="s">
        <v>28</v>
      </c>
      <c r="D358" s="41" t="s">
        <v>4695</v>
      </c>
      <c r="E358" s="41" t="s">
        <v>39</v>
      </c>
      <c r="F358" s="41">
        <v>51997087934</v>
      </c>
      <c r="G358" s="41" t="s">
        <v>41</v>
      </c>
      <c r="H358" s="8" t="s">
        <v>33</v>
      </c>
      <c r="I358" s="70" t="s">
        <v>54</v>
      </c>
      <c r="J358" s="70"/>
      <c r="K358" s="41" t="s">
        <v>55</v>
      </c>
      <c r="L358" s="41" t="s">
        <v>61</v>
      </c>
      <c r="M358" s="10" t="s">
        <v>4696</v>
      </c>
      <c r="N358" s="8"/>
      <c r="O358" s="1"/>
    </row>
    <row r="359" spans="1:15" ht="36.6" customHeight="1">
      <c r="A359" s="10">
        <v>1</v>
      </c>
      <c r="B359" s="33" t="s">
        <v>2760</v>
      </c>
      <c r="C359" s="41" t="s">
        <v>28</v>
      </c>
      <c r="D359" s="41" t="s">
        <v>4697</v>
      </c>
      <c r="E359" s="41" t="s">
        <v>71</v>
      </c>
      <c r="F359" s="41">
        <v>51996173470</v>
      </c>
      <c r="G359" s="41" t="s">
        <v>147</v>
      </c>
      <c r="H359" s="8" t="s">
        <v>33</v>
      </c>
      <c r="I359" s="70" t="s">
        <v>54</v>
      </c>
      <c r="J359" s="70"/>
      <c r="K359" s="41" t="s">
        <v>55</v>
      </c>
      <c r="L359" s="41" t="s">
        <v>128</v>
      </c>
      <c r="M359" s="10" t="s">
        <v>4698</v>
      </c>
      <c r="N359" s="8"/>
      <c r="O359" s="1"/>
    </row>
    <row r="360" spans="1:15" ht="36.6" hidden="1" customHeight="1">
      <c r="A360" s="10">
        <v>1</v>
      </c>
      <c r="B360" s="33" t="s">
        <v>2760</v>
      </c>
      <c r="C360" s="41" t="s">
        <v>93</v>
      </c>
      <c r="D360" s="41" t="s">
        <v>4699</v>
      </c>
      <c r="E360" s="41" t="s">
        <v>39</v>
      </c>
      <c r="F360" s="99">
        <v>51997524671</v>
      </c>
      <c r="G360" s="41" t="s">
        <v>41</v>
      </c>
      <c r="H360" s="8" t="s">
        <v>33</v>
      </c>
      <c r="I360" s="70"/>
      <c r="J360" s="70"/>
      <c r="K360" s="41" t="s">
        <v>55</v>
      </c>
      <c r="L360" s="41"/>
      <c r="M360" s="10" t="s">
        <v>4700</v>
      </c>
      <c r="N360" s="8"/>
      <c r="O360" s="1"/>
    </row>
    <row r="361" spans="1:15" ht="36.6" customHeight="1">
      <c r="A361" s="10">
        <v>1</v>
      </c>
      <c r="B361" s="33" t="s">
        <v>2760</v>
      </c>
      <c r="C361" s="41" t="s">
        <v>28</v>
      </c>
      <c r="D361" s="41" t="s">
        <v>4701</v>
      </c>
      <c r="E361" s="41" t="s">
        <v>1770</v>
      </c>
      <c r="F361" s="41" t="s">
        <v>4702</v>
      </c>
      <c r="G361" s="41" t="s">
        <v>507</v>
      </c>
      <c r="H361" s="8" t="s">
        <v>67</v>
      </c>
      <c r="I361" s="70" t="s">
        <v>2227</v>
      </c>
      <c r="J361" s="70"/>
      <c r="K361" s="41" t="s">
        <v>2050</v>
      </c>
      <c r="L361" s="41" t="s">
        <v>35</v>
      </c>
      <c r="M361" s="10" t="s">
        <v>4703</v>
      </c>
      <c r="N361" s="8"/>
      <c r="O361" s="1"/>
    </row>
    <row r="362" spans="1:15" ht="36.6" customHeight="1">
      <c r="A362" s="10">
        <v>1</v>
      </c>
      <c r="B362" s="33" t="s">
        <v>2760</v>
      </c>
      <c r="C362" s="41" t="s">
        <v>28</v>
      </c>
      <c r="D362" s="41" t="s">
        <v>4704</v>
      </c>
      <c r="E362" s="41" t="s">
        <v>39</v>
      </c>
      <c r="F362" s="41" t="s">
        <v>4705</v>
      </c>
      <c r="G362" s="41" t="s">
        <v>1091</v>
      </c>
      <c r="H362" s="8" t="s">
        <v>33</v>
      </c>
      <c r="I362" s="70" t="s">
        <v>54</v>
      </c>
      <c r="J362" s="70"/>
      <c r="K362" s="41" t="s">
        <v>2050</v>
      </c>
      <c r="L362" s="41" t="s">
        <v>61</v>
      </c>
      <c r="M362" s="10" t="s">
        <v>2146</v>
      </c>
      <c r="N362" s="8"/>
      <c r="O362" s="1"/>
    </row>
    <row r="363" spans="1:15" ht="36.6" hidden="1" customHeight="1">
      <c r="A363" s="10">
        <v>1</v>
      </c>
      <c r="B363" s="33" t="s">
        <v>2760</v>
      </c>
      <c r="C363" s="41" t="s">
        <v>93</v>
      </c>
      <c r="D363" s="41" t="s">
        <v>4706</v>
      </c>
      <c r="E363" s="41" t="s">
        <v>122</v>
      </c>
      <c r="F363" s="41" t="s">
        <v>4707</v>
      </c>
      <c r="G363" s="41" t="s">
        <v>1236</v>
      </c>
      <c r="H363" s="8" t="s">
        <v>33</v>
      </c>
      <c r="I363" s="70"/>
      <c r="J363" s="70"/>
      <c r="K363" s="41" t="s">
        <v>2050</v>
      </c>
      <c r="L363" s="41"/>
      <c r="M363" s="10" t="s">
        <v>4708</v>
      </c>
      <c r="N363" s="8"/>
      <c r="O363" s="1"/>
    </row>
    <row r="364" spans="1:15" ht="36.6" customHeight="1">
      <c r="A364" s="10">
        <v>1</v>
      </c>
      <c r="B364" s="33" t="s">
        <v>2760</v>
      </c>
      <c r="C364" s="41" t="s">
        <v>28</v>
      </c>
      <c r="D364" s="41" t="s">
        <v>4709</v>
      </c>
      <c r="E364" s="41" t="s">
        <v>52</v>
      </c>
      <c r="F364" s="41" t="s">
        <v>4710</v>
      </c>
      <c r="G364" s="41" t="s">
        <v>395</v>
      </c>
      <c r="H364" s="8" t="s">
        <v>33</v>
      </c>
      <c r="I364" s="70" t="s">
        <v>4176</v>
      </c>
      <c r="J364" s="70"/>
      <c r="K364" s="41" t="s">
        <v>2050</v>
      </c>
      <c r="L364" s="41" t="s">
        <v>61</v>
      </c>
      <c r="M364" s="10" t="s">
        <v>4711</v>
      </c>
      <c r="N364" s="8"/>
      <c r="O364" s="1"/>
    </row>
    <row r="365" spans="1:15" ht="36.6" customHeight="1">
      <c r="A365" s="10">
        <v>1</v>
      </c>
      <c r="B365" s="33" t="s">
        <v>2760</v>
      </c>
      <c r="C365" s="41" t="s">
        <v>28</v>
      </c>
      <c r="D365" s="41" t="s">
        <v>4712</v>
      </c>
      <c r="E365" s="41" t="s">
        <v>100</v>
      </c>
      <c r="F365" s="41">
        <v>51991906320</v>
      </c>
      <c r="G365" s="41" t="s">
        <v>41</v>
      </c>
      <c r="H365" s="8" t="s">
        <v>33</v>
      </c>
      <c r="I365" s="70" t="s">
        <v>54</v>
      </c>
      <c r="J365" s="70"/>
      <c r="K365" s="41" t="s">
        <v>55</v>
      </c>
      <c r="L365" s="41" t="s">
        <v>56</v>
      </c>
      <c r="M365" s="10" t="s">
        <v>4713</v>
      </c>
      <c r="N365" s="8"/>
      <c r="O365" s="1"/>
    </row>
    <row r="366" spans="1:15" ht="36.6" hidden="1" customHeight="1">
      <c r="A366" s="10">
        <v>1</v>
      </c>
      <c r="B366" s="33" t="s">
        <v>2760</v>
      </c>
      <c r="C366" s="41" t="s">
        <v>93</v>
      </c>
      <c r="D366" s="41" t="s">
        <v>4714</v>
      </c>
      <c r="E366" s="41" t="s">
        <v>686</v>
      </c>
      <c r="F366" s="41" t="s">
        <v>4715</v>
      </c>
      <c r="G366" s="41" t="s">
        <v>91</v>
      </c>
      <c r="H366" s="8" t="s">
        <v>67</v>
      </c>
      <c r="I366" s="70"/>
      <c r="J366" s="70"/>
      <c r="K366" s="41" t="s">
        <v>49</v>
      </c>
      <c r="L366" s="41"/>
      <c r="M366" s="10" t="s">
        <v>4716</v>
      </c>
      <c r="N366" s="8"/>
      <c r="O366" s="1"/>
    </row>
    <row r="367" spans="1:15" ht="36.6" customHeight="1">
      <c r="A367" s="10">
        <v>1</v>
      </c>
      <c r="B367" s="33" t="s">
        <v>2760</v>
      </c>
      <c r="C367" s="41" t="s">
        <v>28</v>
      </c>
      <c r="D367" s="41" t="s">
        <v>4717</v>
      </c>
      <c r="E367" s="41" t="s">
        <v>39</v>
      </c>
      <c r="F367" s="41" t="s">
        <v>4718</v>
      </c>
      <c r="G367" s="41" t="s">
        <v>41</v>
      </c>
      <c r="H367" s="8" t="s">
        <v>33</v>
      </c>
      <c r="I367" s="70" t="s">
        <v>2046</v>
      </c>
      <c r="J367" s="70"/>
      <c r="K367" s="41" t="s">
        <v>49</v>
      </c>
      <c r="L367" s="41" t="s">
        <v>61</v>
      </c>
      <c r="M367" s="10" t="s">
        <v>4719</v>
      </c>
      <c r="N367" s="8"/>
      <c r="O367" s="1"/>
    </row>
    <row r="368" spans="1:15" ht="36.6" hidden="1" customHeight="1">
      <c r="A368" s="10">
        <v>1</v>
      </c>
      <c r="B368" s="33" t="s">
        <v>2760</v>
      </c>
      <c r="C368" s="41" t="s">
        <v>93</v>
      </c>
      <c r="D368" s="41" t="s">
        <v>855</v>
      </c>
      <c r="E368" s="41" t="s">
        <v>39</v>
      </c>
      <c r="F368" s="41" t="s">
        <v>856</v>
      </c>
      <c r="G368" s="41" t="s">
        <v>41</v>
      </c>
      <c r="H368" s="8" t="s">
        <v>33</v>
      </c>
      <c r="I368" s="70"/>
      <c r="J368" s="70"/>
      <c r="K368" s="41" t="s">
        <v>49</v>
      </c>
      <c r="L368" s="41"/>
      <c r="M368" s="10" t="s">
        <v>4720</v>
      </c>
      <c r="N368" s="8"/>
      <c r="O368" s="1"/>
    </row>
    <row r="369" spans="1:15" ht="36.6" customHeight="1">
      <c r="A369" s="10">
        <v>1</v>
      </c>
      <c r="B369" s="33" t="s">
        <v>2760</v>
      </c>
      <c r="C369" s="41" t="s">
        <v>28</v>
      </c>
      <c r="D369" s="41" t="s">
        <v>4721</v>
      </c>
      <c r="E369" s="41" t="s">
        <v>732</v>
      </c>
      <c r="F369" s="41" t="s">
        <v>4722</v>
      </c>
      <c r="G369" s="41" t="s">
        <v>559</v>
      </c>
      <c r="H369" s="8" t="s">
        <v>33</v>
      </c>
      <c r="I369" s="70" t="s">
        <v>54</v>
      </c>
      <c r="J369" s="70"/>
      <c r="K369" s="41" t="s">
        <v>2050</v>
      </c>
      <c r="L369" s="41" t="s">
        <v>35</v>
      </c>
      <c r="M369" s="10" t="s">
        <v>4723</v>
      </c>
      <c r="N369" s="8"/>
      <c r="O369" s="1"/>
    </row>
    <row r="370" spans="1:15" ht="36.6" customHeight="1">
      <c r="A370" s="10">
        <v>1</v>
      </c>
      <c r="B370" s="33" t="s">
        <v>2760</v>
      </c>
      <c r="C370" s="41" t="s">
        <v>28</v>
      </c>
      <c r="D370" s="41" t="s">
        <v>4724</v>
      </c>
      <c r="E370" s="41" t="s">
        <v>270</v>
      </c>
      <c r="F370" s="41" t="s">
        <v>4725</v>
      </c>
      <c r="G370" s="41" t="s">
        <v>507</v>
      </c>
      <c r="H370" s="8" t="s">
        <v>67</v>
      </c>
      <c r="I370" s="70" t="s">
        <v>4726</v>
      </c>
      <c r="J370" s="70"/>
      <c r="K370" s="41" t="s">
        <v>2050</v>
      </c>
      <c r="L370" s="41" t="s">
        <v>128</v>
      </c>
      <c r="M370" s="10" t="s">
        <v>4727</v>
      </c>
      <c r="N370" s="8"/>
      <c r="O370" s="1"/>
    </row>
    <row r="371" spans="1:15" ht="36.6" hidden="1" customHeight="1">
      <c r="A371" s="10">
        <v>1</v>
      </c>
      <c r="B371" s="33" t="s">
        <v>2760</v>
      </c>
      <c r="C371" s="41" t="s">
        <v>93</v>
      </c>
      <c r="D371" s="41" t="s">
        <v>4728</v>
      </c>
      <c r="E371" s="41" t="s">
        <v>978</v>
      </c>
      <c r="F371" s="41" t="s">
        <v>3873</v>
      </c>
      <c r="G371" s="41" t="s">
        <v>91</v>
      </c>
      <c r="H371" s="8" t="s">
        <v>67</v>
      </c>
      <c r="I371" s="70"/>
      <c r="J371" s="70"/>
      <c r="K371" s="41" t="s">
        <v>49</v>
      </c>
      <c r="L371" s="41"/>
      <c r="M371" s="10" t="s">
        <v>4729</v>
      </c>
      <c r="N371" s="8"/>
      <c r="O371" s="1"/>
    </row>
    <row r="372" spans="1:15" ht="36.6" customHeight="1">
      <c r="A372" s="10">
        <v>1</v>
      </c>
      <c r="B372" s="33" t="s">
        <v>2760</v>
      </c>
      <c r="C372" s="41" t="s">
        <v>28</v>
      </c>
      <c r="D372" s="41" t="s">
        <v>4730</v>
      </c>
      <c r="E372" s="41" t="s">
        <v>52</v>
      </c>
      <c r="F372" s="41" t="s">
        <v>4731</v>
      </c>
      <c r="G372" s="41" t="s">
        <v>395</v>
      </c>
      <c r="H372" s="8" t="s">
        <v>33</v>
      </c>
      <c r="I372" s="70" t="s">
        <v>54</v>
      </c>
      <c r="J372" s="70"/>
      <c r="K372" s="41" t="s">
        <v>2050</v>
      </c>
      <c r="L372" s="41" t="s">
        <v>35</v>
      </c>
      <c r="M372" s="10" t="s">
        <v>4732</v>
      </c>
      <c r="N372" s="8"/>
      <c r="O372" s="1"/>
    </row>
    <row r="373" spans="1:15" ht="36.6" hidden="1" customHeight="1">
      <c r="A373" s="10">
        <v>1</v>
      </c>
      <c r="B373" s="33" t="s">
        <v>2760</v>
      </c>
      <c r="C373" s="41" t="s">
        <v>93</v>
      </c>
      <c r="D373" s="41" t="s">
        <v>4733</v>
      </c>
      <c r="E373" s="41" t="s">
        <v>182</v>
      </c>
      <c r="F373" s="41">
        <v>51989281983</v>
      </c>
      <c r="G373" s="41" t="s">
        <v>4734</v>
      </c>
      <c r="H373" s="8" t="s">
        <v>67</v>
      </c>
      <c r="I373" s="70"/>
      <c r="J373" s="70"/>
      <c r="K373" s="41" t="s">
        <v>55</v>
      </c>
      <c r="L373" s="41"/>
      <c r="M373" s="10" t="s">
        <v>4735</v>
      </c>
      <c r="N373" s="8"/>
      <c r="O373" s="1"/>
    </row>
    <row r="374" spans="1:15" ht="36.6" hidden="1" customHeight="1">
      <c r="A374" s="10">
        <v>1</v>
      </c>
      <c r="B374" s="33" t="s">
        <v>2760</v>
      </c>
      <c r="C374" s="41" t="s">
        <v>93</v>
      </c>
      <c r="D374" s="41" t="s">
        <v>4736</v>
      </c>
      <c r="E374" s="41" t="s">
        <v>363</v>
      </c>
      <c r="F374" s="41" t="s">
        <v>4737</v>
      </c>
      <c r="G374" s="41" t="s">
        <v>66</v>
      </c>
      <c r="H374" s="8" t="s">
        <v>67</v>
      </c>
      <c r="I374" s="70"/>
      <c r="J374" s="70"/>
      <c r="K374" s="41" t="s">
        <v>49</v>
      </c>
      <c r="L374" s="41"/>
      <c r="M374" s="10" t="s">
        <v>4738</v>
      </c>
      <c r="N374" s="8"/>
      <c r="O374" s="1"/>
    </row>
    <row r="375" spans="1:15" ht="36.6" customHeight="1">
      <c r="A375" s="10">
        <v>1</v>
      </c>
      <c r="B375" s="33" t="s">
        <v>2760</v>
      </c>
      <c r="C375" s="41" t="s">
        <v>28</v>
      </c>
      <c r="D375" s="41" t="s">
        <v>4739</v>
      </c>
      <c r="E375" s="41" t="s">
        <v>270</v>
      </c>
      <c r="F375" s="41" t="s">
        <v>4740</v>
      </c>
      <c r="G375" s="41" t="s">
        <v>66</v>
      </c>
      <c r="H375" s="8" t="s">
        <v>67</v>
      </c>
      <c r="I375" s="70" t="s">
        <v>2227</v>
      </c>
      <c r="J375" s="70"/>
      <c r="K375" s="41" t="s">
        <v>49</v>
      </c>
      <c r="L375" s="41" t="s">
        <v>128</v>
      </c>
      <c r="M375" s="10" t="s">
        <v>4741</v>
      </c>
      <c r="N375" s="8"/>
      <c r="O375" s="1"/>
    </row>
    <row r="376" spans="1:15" ht="36.6" customHeight="1">
      <c r="A376" s="10">
        <v>1</v>
      </c>
      <c r="B376" s="33" t="s">
        <v>2760</v>
      </c>
      <c r="C376" s="41" t="s">
        <v>398</v>
      </c>
      <c r="D376" s="41" t="s">
        <v>4742</v>
      </c>
      <c r="E376" s="41" t="s">
        <v>1563</v>
      </c>
      <c r="F376" s="41" t="s">
        <v>4743</v>
      </c>
      <c r="G376" s="41" t="s">
        <v>66</v>
      </c>
      <c r="H376" s="8" t="s">
        <v>67</v>
      </c>
      <c r="I376" s="70"/>
      <c r="J376" s="70"/>
      <c r="K376" s="41" t="s">
        <v>49</v>
      </c>
      <c r="L376" s="88" t="s">
        <v>4190</v>
      </c>
      <c r="M376" s="10" t="s">
        <v>4744</v>
      </c>
      <c r="N376" s="8"/>
      <c r="O376" s="1"/>
    </row>
    <row r="377" spans="1:15" ht="36.6" hidden="1" customHeight="1">
      <c r="A377" s="10">
        <v>1</v>
      </c>
      <c r="B377" s="33" t="s">
        <v>2760</v>
      </c>
      <c r="C377" s="41" t="s">
        <v>93</v>
      </c>
      <c r="D377" s="41" t="s">
        <v>4745</v>
      </c>
      <c r="E377" s="8" t="s">
        <v>4746</v>
      </c>
      <c r="F377" s="41" t="s">
        <v>4747</v>
      </c>
      <c r="G377" s="41" t="s">
        <v>66</v>
      </c>
      <c r="H377" s="8" t="s">
        <v>67</v>
      </c>
      <c r="I377" s="70"/>
      <c r="J377" s="70"/>
      <c r="K377" s="41" t="s">
        <v>49</v>
      </c>
      <c r="L377" s="41"/>
      <c r="M377" s="10" t="s">
        <v>4748</v>
      </c>
      <c r="N377" s="8"/>
      <c r="O377" s="1"/>
    </row>
    <row r="378" spans="1:15" ht="36.6" customHeight="1">
      <c r="A378" s="10">
        <v>1</v>
      </c>
      <c r="B378" s="33" t="s">
        <v>2760</v>
      </c>
      <c r="C378" s="41" t="s">
        <v>28</v>
      </c>
      <c r="D378" s="41" t="s">
        <v>4749</v>
      </c>
      <c r="E378" s="8" t="s">
        <v>4750</v>
      </c>
      <c r="F378" s="41" t="s">
        <v>4751</v>
      </c>
      <c r="G378" s="41" t="s">
        <v>1236</v>
      </c>
      <c r="H378" s="8" t="s">
        <v>33</v>
      </c>
      <c r="I378" s="70" t="s">
        <v>2134</v>
      </c>
      <c r="J378" s="70"/>
      <c r="K378" s="41" t="s">
        <v>2050</v>
      </c>
      <c r="L378" s="41" t="s">
        <v>128</v>
      </c>
      <c r="M378" s="10" t="s">
        <v>4741</v>
      </c>
      <c r="N378" s="8"/>
      <c r="O378" s="1"/>
    </row>
    <row r="379" spans="1:15" ht="36.6" customHeight="1">
      <c r="A379" s="10">
        <v>1</v>
      </c>
      <c r="B379" s="33" t="s">
        <v>2760</v>
      </c>
      <c r="C379" s="41" t="s">
        <v>398</v>
      </c>
      <c r="D379" s="41" t="s">
        <v>4752</v>
      </c>
      <c r="E379" s="8" t="s">
        <v>4753</v>
      </c>
      <c r="F379" s="41">
        <v>55999585986</v>
      </c>
      <c r="G379" s="41" t="s">
        <v>66</v>
      </c>
      <c r="H379" s="8" t="s">
        <v>67</v>
      </c>
      <c r="I379" s="70" t="s">
        <v>2760</v>
      </c>
      <c r="J379" s="70"/>
      <c r="K379" s="41" t="s">
        <v>55</v>
      </c>
      <c r="L379" s="88" t="s">
        <v>4190</v>
      </c>
      <c r="M379" s="10" t="s">
        <v>4754</v>
      </c>
      <c r="N379" s="8"/>
      <c r="O379" s="1"/>
    </row>
    <row r="380" spans="1:15" ht="36.6" customHeight="1">
      <c r="A380" s="10">
        <v>1</v>
      </c>
      <c r="B380" s="33" t="s">
        <v>2760</v>
      </c>
      <c r="C380" s="41" t="s">
        <v>28</v>
      </c>
      <c r="D380" s="41" t="s">
        <v>4755</v>
      </c>
      <c r="E380" s="8" t="s">
        <v>2626</v>
      </c>
      <c r="F380" s="41">
        <v>51999560234</v>
      </c>
      <c r="G380" s="41" t="s">
        <v>4100</v>
      </c>
      <c r="H380" s="8" t="s">
        <v>33</v>
      </c>
      <c r="I380" s="70" t="s">
        <v>54</v>
      </c>
      <c r="J380" s="70"/>
      <c r="K380" s="41" t="s">
        <v>55</v>
      </c>
      <c r="L380" s="41" t="s">
        <v>56</v>
      </c>
      <c r="M380" s="10" t="s">
        <v>4756</v>
      </c>
      <c r="N380" s="8"/>
      <c r="O380" s="1"/>
    </row>
    <row r="381" spans="1:15" ht="36.6" customHeight="1">
      <c r="A381" s="10">
        <v>1</v>
      </c>
      <c r="B381" s="33" t="s">
        <v>2760</v>
      </c>
      <c r="C381" s="41" t="s">
        <v>28</v>
      </c>
      <c r="D381" s="41" t="s">
        <v>4757</v>
      </c>
      <c r="E381" s="8" t="s">
        <v>1134</v>
      </c>
      <c r="F381" s="41" t="s">
        <v>4758</v>
      </c>
      <c r="G381" s="41" t="s">
        <v>1091</v>
      </c>
      <c r="H381" s="8" t="s">
        <v>33</v>
      </c>
      <c r="I381" s="70"/>
      <c r="J381" s="70"/>
      <c r="K381" s="41" t="s">
        <v>2050</v>
      </c>
      <c r="L381" s="41" t="s">
        <v>35</v>
      </c>
      <c r="M381" s="10" t="s">
        <v>4759</v>
      </c>
      <c r="N381" s="8"/>
      <c r="O381" s="1"/>
    </row>
    <row r="382" spans="1:15" ht="36.6" hidden="1" customHeight="1">
      <c r="A382" s="10">
        <v>1</v>
      </c>
      <c r="B382" s="33" t="s">
        <v>2760</v>
      </c>
      <c r="C382" s="41" t="s">
        <v>93</v>
      </c>
      <c r="D382" s="41" t="s">
        <v>4760</v>
      </c>
      <c r="E382" s="41" t="s">
        <v>39</v>
      </c>
      <c r="F382" s="41" t="s">
        <v>4203</v>
      </c>
      <c r="G382" s="41" t="s">
        <v>1091</v>
      </c>
      <c r="H382" s="8" t="s">
        <v>33</v>
      </c>
      <c r="I382" s="70"/>
      <c r="J382" s="70"/>
      <c r="K382" s="41" t="s">
        <v>49</v>
      </c>
      <c r="L382" s="41"/>
      <c r="M382" s="10" t="s">
        <v>4761</v>
      </c>
      <c r="N382" s="8"/>
      <c r="O382" s="1"/>
    </row>
    <row r="383" spans="1:15" ht="36.6" customHeight="1">
      <c r="A383" s="10">
        <v>1</v>
      </c>
      <c r="B383" s="33" t="s">
        <v>2760</v>
      </c>
      <c r="C383" s="41" t="s">
        <v>28</v>
      </c>
      <c r="D383" s="41" t="s">
        <v>4762</v>
      </c>
      <c r="E383" s="41" t="s">
        <v>893</v>
      </c>
      <c r="F383" s="41" t="s">
        <v>4763</v>
      </c>
      <c r="G383" s="41" t="s">
        <v>4764</v>
      </c>
      <c r="H383" s="8" t="s">
        <v>33</v>
      </c>
      <c r="I383" s="70"/>
      <c r="J383" s="70"/>
      <c r="K383" s="41" t="s">
        <v>49</v>
      </c>
      <c r="L383" s="41" t="s">
        <v>35</v>
      </c>
      <c r="M383" s="10" t="s">
        <v>4765</v>
      </c>
      <c r="N383" s="8"/>
      <c r="O383" s="1"/>
    </row>
    <row r="384" spans="1:15" ht="36.6" hidden="1" customHeight="1">
      <c r="A384" s="10">
        <v>1</v>
      </c>
      <c r="B384" s="33" t="s">
        <v>2760</v>
      </c>
      <c r="C384" s="41" t="s">
        <v>93</v>
      </c>
      <c r="D384" s="41" t="s">
        <v>3385</v>
      </c>
      <c r="E384" s="41" t="s">
        <v>1438</v>
      </c>
      <c r="F384" s="41" t="s">
        <v>3386</v>
      </c>
      <c r="G384" s="41" t="s">
        <v>66</v>
      </c>
      <c r="H384" s="8" t="s">
        <v>67</v>
      </c>
      <c r="I384" s="70"/>
      <c r="J384" s="70"/>
      <c r="K384" s="41" t="s">
        <v>49</v>
      </c>
      <c r="L384" s="41"/>
      <c r="M384" s="10" t="s">
        <v>4766</v>
      </c>
      <c r="N384" s="8"/>
      <c r="O384" s="1"/>
    </row>
    <row r="385" spans="1:15" ht="36.6" hidden="1" customHeight="1">
      <c r="A385" s="10">
        <v>1</v>
      </c>
      <c r="B385" s="33" t="s">
        <v>2760</v>
      </c>
      <c r="C385" s="41" t="s">
        <v>93</v>
      </c>
      <c r="D385" s="41" t="s">
        <v>4767</v>
      </c>
      <c r="E385" s="41" t="s">
        <v>3672</v>
      </c>
      <c r="F385" s="41" t="s">
        <v>4768</v>
      </c>
      <c r="G385" s="41" t="s">
        <v>85</v>
      </c>
      <c r="H385" s="8" t="s">
        <v>33</v>
      </c>
      <c r="I385" s="70"/>
      <c r="J385" s="70"/>
      <c r="K385" s="41" t="s">
        <v>55</v>
      </c>
      <c r="L385" s="41"/>
      <c r="M385" s="10" t="s">
        <v>4769</v>
      </c>
      <c r="N385" s="8"/>
      <c r="O385" s="1"/>
    </row>
    <row r="386" spans="1:15" ht="36.6" hidden="1" customHeight="1">
      <c r="A386" s="10">
        <v>1</v>
      </c>
      <c r="B386" s="33" t="s">
        <v>2760</v>
      </c>
      <c r="C386" s="41" t="s">
        <v>93</v>
      </c>
      <c r="D386" s="41" t="s">
        <v>4770</v>
      </c>
      <c r="E386" s="41" t="s">
        <v>334</v>
      </c>
      <c r="F386" s="41" t="s">
        <v>4771</v>
      </c>
      <c r="G386" s="41" t="s">
        <v>507</v>
      </c>
      <c r="H386" s="8" t="s">
        <v>67</v>
      </c>
      <c r="I386" s="70"/>
      <c r="J386" s="70"/>
      <c r="K386" s="41" t="s">
        <v>2050</v>
      </c>
      <c r="L386" s="41"/>
      <c r="M386" s="10" t="s">
        <v>4772</v>
      </c>
      <c r="N386" s="8"/>
      <c r="O386" s="1"/>
    </row>
    <row r="387" spans="1:15" ht="36.6" customHeight="1">
      <c r="A387" s="10">
        <v>1</v>
      </c>
      <c r="B387" s="33" t="s">
        <v>2760</v>
      </c>
      <c r="C387" s="41" t="s">
        <v>28</v>
      </c>
      <c r="D387" s="41" t="s">
        <v>4773</v>
      </c>
      <c r="E387" s="41" t="s">
        <v>39</v>
      </c>
      <c r="F387" s="41" t="s">
        <v>4774</v>
      </c>
      <c r="G387" s="41" t="s">
        <v>2061</v>
      </c>
      <c r="H387" s="8" t="s">
        <v>33</v>
      </c>
      <c r="I387" s="70" t="s">
        <v>2046</v>
      </c>
      <c r="J387" s="70"/>
      <c r="K387" s="41" t="s">
        <v>49</v>
      </c>
      <c r="L387" s="41" t="s">
        <v>61</v>
      </c>
      <c r="M387" s="10" t="s">
        <v>4775</v>
      </c>
      <c r="N387" s="8"/>
      <c r="O387" s="1"/>
    </row>
    <row r="388" spans="1:15" ht="36.6" hidden="1" customHeight="1">
      <c r="A388" s="10">
        <v>1</v>
      </c>
      <c r="B388" s="33" t="s">
        <v>2760</v>
      </c>
      <c r="C388" s="41" t="s">
        <v>93</v>
      </c>
      <c r="D388" s="41" t="s">
        <v>4776</v>
      </c>
      <c r="E388" s="41" t="s">
        <v>438</v>
      </c>
      <c r="F388" s="41" t="s">
        <v>4777</v>
      </c>
      <c r="G388" s="41" t="s">
        <v>91</v>
      </c>
      <c r="H388" s="8" t="s">
        <v>67</v>
      </c>
      <c r="I388" s="70"/>
      <c r="J388" s="70"/>
      <c r="K388" s="41" t="s">
        <v>49</v>
      </c>
      <c r="L388" s="41"/>
      <c r="M388" s="10" t="s">
        <v>4778</v>
      </c>
      <c r="N388" s="8"/>
      <c r="O388" s="1"/>
    </row>
    <row r="389" spans="1:15" ht="36.6" customHeight="1">
      <c r="A389" s="10">
        <v>1</v>
      </c>
      <c r="B389" s="33" t="s">
        <v>4441</v>
      </c>
      <c r="C389" s="41" t="s">
        <v>28</v>
      </c>
      <c r="D389" s="41" t="s">
        <v>4779</v>
      </c>
      <c r="E389" s="41" t="s">
        <v>270</v>
      </c>
      <c r="F389" s="41" t="s">
        <v>4354</v>
      </c>
      <c r="G389" s="41" t="s">
        <v>507</v>
      </c>
      <c r="H389" s="8" t="s">
        <v>67</v>
      </c>
      <c r="I389" s="70" t="s">
        <v>2227</v>
      </c>
      <c r="J389" s="70"/>
      <c r="K389" s="41" t="s">
        <v>2050</v>
      </c>
      <c r="L389" s="41" t="s">
        <v>61</v>
      </c>
      <c r="M389" s="10" t="s">
        <v>4780</v>
      </c>
      <c r="N389" s="8"/>
      <c r="O389" s="1"/>
    </row>
    <row r="390" spans="1:15" ht="36.6" customHeight="1">
      <c r="A390" s="10">
        <v>1</v>
      </c>
      <c r="B390" s="33" t="s">
        <v>4441</v>
      </c>
      <c r="C390" s="41" t="s">
        <v>28</v>
      </c>
      <c r="D390" s="41" t="s">
        <v>4781</v>
      </c>
      <c r="E390" s="41" t="s">
        <v>4782</v>
      </c>
      <c r="F390" s="41">
        <v>51992749987</v>
      </c>
      <c r="G390" s="41" t="s">
        <v>41</v>
      </c>
      <c r="H390" s="8" t="s">
        <v>33</v>
      </c>
      <c r="I390" s="70" t="s">
        <v>54</v>
      </c>
      <c r="J390" s="70"/>
      <c r="K390" s="41" t="s">
        <v>55</v>
      </c>
      <c r="L390" s="41" t="s">
        <v>56</v>
      </c>
      <c r="M390" s="10" t="s">
        <v>4783</v>
      </c>
      <c r="N390" s="8"/>
      <c r="O390" s="1"/>
    </row>
    <row r="391" spans="1:15" ht="36.6" customHeight="1">
      <c r="A391" s="10">
        <v>1</v>
      </c>
      <c r="B391" s="33" t="s">
        <v>4441</v>
      </c>
      <c r="C391" s="41" t="s">
        <v>28</v>
      </c>
      <c r="D391" s="41" t="s">
        <v>4784</v>
      </c>
      <c r="E391" s="41" t="s">
        <v>39</v>
      </c>
      <c r="F391" s="41" t="s">
        <v>4785</v>
      </c>
      <c r="G391" s="41" t="s">
        <v>1091</v>
      </c>
      <c r="H391" s="8" t="s">
        <v>33</v>
      </c>
      <c r="I391" s="70" t="s">
        <v>2783</v>
      </c>
      <c r="J391" s="70"/>
      <c r="K391" s="41" t="s">
        <v>2050</v>
      </c>
      <c r="L391" s="41" t="s">
        <v>61</v>
      </c>
      <c r="M391" s="10" t="s">
        <v>4786</v>
      </c>
      <c r="N391" s="8"/>
      <c r="O391" s="1"/>
    </row>
    <row r="392" spans="1:15" ht="36.6" hidden="1" customHeight="1">
      <c r="A392" s="10">
        <v>1</v>
      </c>
      <c r="B392" s="33" t="s">
        <v>4441</v>
      </c>
      <c r="C392" s="41" t="s">
        <v>93</v>
      </c>
      <c r="D392" s="41" t="s">
        <v>4787</v>
      </c>
      <c r="E392" s="41" t="s">
        <v>2563</v>
      </c>
      <c r="F392" s="41">
        <v>51991707710</v>
      </c>
      <c r="G392" s="41" t="s">
        <v>147</v>
      </c>
      <c r="H392" s="8" t="s">
        <v>33</v>
      </c>
      <c r="I392" s="70"/>
      <c r="J392" s="70"/>
      <c r="K392" s="41" t="s">
        <v>55</v>
      </c>
      <c r="L392" s="41"/>
      <c r="M392" s="10" t="s">
        <v>4788</v>
      </c>
      <c r="N392" s="8"/>
      <c r="O392" s="1"/>
    </row>
    <row r="393" spans="1:15" ht="36.6" customHeight="1">
      <c r="A393" s="10">
        <v>1</v>
      </c>
      <c r="B393" s="33" t="s">
        <v>4441</v>
      </c>
      <c r="C393" s="41" t="s">
        <v>28</v>
      </c>
      <c r="D393" s="41" t="s">
        <v>4789</v>
      </c>
      <c r="E393" s="41" t="s">
        <v>108</v>
      </c>
      <c r="F393" s="41">
        <v>1989645992</v>
      </c>
      <c r="G393" s="41" t="s">
        <v>66</v>
      </c>
      <c r="H393" s="8" t="s">
        <v>67</v>
      </c>
      <c r="I393" s="70"/>
      <c r="J393" s="70"/>
      <c r="K393" s="41" t="s">
        <v>55</v>
      </c>
      <c r="L393" s="41" t="s">
        <v>35</v>
      </c>
      <c r="M393" s="10" t="s">
        <v>4790</v>
      </c>
      <c r="N393" s="8"/>
      <c r="O393" s="1"/>
    </row>
    <row r="394" spans="1:15" ht="36.6" hidden="1" customHeight="1">
      <c r="A394" s="10">
        <v>1</v>
      </c>
      <c r="B394" s="33" t="s">
        <v>4441</v>
      </c>
      <c r="C394" s="41" t="s">
        <v>93</v>
      </c>
      <c r="D394" s="41" t="s">
        <v>3041</v>
      </c>
      <c r="E394" s="41" t="s">
        <v>3042</v>
      </c>
      <c r="F394" s="41" t="s">
        <v>3043</v>
      </c>
      <c r="G394" s="41" t="s">
        <v>4791</v>
      </c>
      <c r="H394" s="8" t="s">
        <v>47</v>
      </c>
      <c r="I394" s="70"/>
      <c r="J394" s="70"/>
      <c r="K394" s="41" t="s">
        <v>2050</v>
      </c>
      <c r="L394" s="41"/>
      <c r="M394" s="10" t="s">
        <v>4792</v>
      </c>
      <c r="N394" s="8"/>
      <c r="O394" s="1"/>
    </row>
    <row r="395" spans="1:15" ht="36.6" hidden="1" customHeight="1">
      <c r="A395" s="10">
        <v>1</v>
      </c>
      <c r="B395" s="33" t="s">
        <v>4441</v>
      </c>
      <c r="C395" s="41" t="s">
        <v>93</v>
      </c>
      <c r="D395" s="41" t="s">
        <v>4793</v>
      </c>
      <c r="E395" s="41" t="s">
        <v>165</v>
      </c>
      <c r="F395">
        <v>51993162902</v>
      </c>
      <c r="G395" s="41" t="s">
        <v>66</v>
      </c>
      <c r="H395" s="8" t="s">
        <v>67</v>
      </c>
      <c r="I395" s="70"/>
      <c r="J395" s="70"/>
      <c r="K395" s="41" t="s">
        <v>55</v>
      </c>
      <c r="L395" s="41"/>
      <c r="M395" s="10" t="s">
        <v>4794</v>
      </c>
      <c r="N395" s="8"/>
      <c r="O395" s="1"/>
    </row>
    <row r="396" spans="1:15" ht="36.6" customHeight="1">
      <c r="A396" s="10">
        <v>1</v>
      </c>
      <c r="B396" s="33" t="s">
        <v>4441</v>
      </c>
      <c r="C396" s="41" t="s">
        <v>28</v>
      </c>
      <c r="D396" s="41" t="s">
        <v>4795</v>
      </c>
      <c r="E396" s="41" t="s">
        <v>39</v>
      </c>
      <c r="F396" s="41">
        <v>51997788665</v>
      </c>
      <c r="G396" s="41" t="s">
        <v>1091</v>
      </c>
      <c r="H396" s="8" t="s">
        <v>33</v>
      </c>
      <c r="I396" s="70" t="s">
        <v>54</v>
      </c>
      <c r="J396" s="70"/>
      <c r="K396" s="41" t="s">
        <v>55</v>
      </c>
      <c r="L396" s="41" t="s">
        <v>61</v>
      </c>
      <c r="M396" s="10" t="s">
        <v>4796</v>
      </c>
      <c r="N396" s="8"/>
      <c r="O396" s="1"/>
    </row>
    <row r="397" spans="1:15" ht="36.6" customHeight="1">
      <c r="A397" s="10">
        <v>1</v>
      </c>
      <c r="B397" s="33" t="s">
        <v>4441</v>
      </c>
      <c r="C397" s="41" t="s">
        <v>28</v>
      </c>
      <c r="D397" s="41" t="s">
        <v>4797</v>
      </c>
      <c r="E397" s="41" t="s">
        <v>334</v>
      </c>
      <c r="F397" s="41" t="s">
        <v>4798</v>
      </c>
      <c r="G397" s="41" t="s">
        <v>507</v>
      </c>
      <c r="H397" s="8" t="s">
        <v>67</v>
      </c>
      <c r="I397" s="70" t="s">
        <v>4799</v>
      </c>
      <c r="J397" s="70" t="s">
        <v>4441</v>
      </c>
      <c r="K397" s="41" t="s">
        <v>2050</v>
      </c>
      <c r="L397" s="41" t="s">
        <v>128</v>
      </c>
      <c r="M397" s="10" t="s">
        <v>4800</v>
      </c>
      <c r="N397" s="8"/>
      <c r="O397" s="1"/>
    </row>
    <row r="398" spans="1:15" ht="36.6" customHeight="1">
      <c r="A398" s="10">
        <v>1</v>
      </c>
      <c r="B398" s="33" t="s">
        <v>4441</v>
      </c>
      <c r="C398" s="41" t="s">
        <v>28</v>
      </c>
      <c r="D398" s="41" t="s">
        <v>4801</v>
      </c>
      <c r="E398" s="41" t="s">
        <v>1617</v>
      </c>
      <c r="F398" s="41" t="s">
        <v>4802</v>
      </c>
      <c r="G398" s="41" t="s">
        <v>507</v>
      </c>
      <c r="H398" s="8" t="s">
        <v>67</v>
      </c>
      <c r="I398" s="70" t="s">
        <v>2079</v>
      </c>
      <c r="J398" s="70"/>
      <c r="K398" s="41" t="s">
        <v>49</v>
      </c>
      <c r="L398" s="41" t="s">
        <v>128</v>
      </c>
      <c r="M398" s="10" t="s">
        <v>4803</v>
      </c>
      <c r="N398" s="8"/>
      <c r="O398" s="1"/>
    </row>
    <row r="399" spans="1:15" ht="36.6" customHeight="1">
      <c r="A399" s="10">
        <v>1</v>
      </c>
      <c r="B399" s="33" t="s">
        <v>4441</v>
      </c>
      <c r="C399" s="41" t="s">
        <v>28</v>
      </c>
      <c r="D399" s="41" t="s">
        <v>4804</v>
      </c>
      <c r="E399" s="41" t="s">
        <v>3161</v>
      </c>
      <c r="F399" s="41" t="s">
        <v>4805</v>
      </c>
      <c r="G399" s="41" t="s">
        <v>73</v>
      </c>
      <c r="H399" s="8" t="s">
        <v>33</v>
      </c>
      <c r="I399" s="70"/>
      <c r="J399" s="70"/>
      <c r="K399" s="41" t="s">
        <v>49</v>
      </c>
      <c r="L399" s="41" t="s">
        <v>61</v>
      </c>
      <c r="M399" s="10" t="s">
        <v>4806</v>
      </c>
      <c r="N399" s="8"/>
      <c r="O399" s="1"/>
    </row>
    <row r="400" spans="1:15" ht="36.6" customHeight="1">
      <c r="A400" s="10">
        <v>1</v>
      </c>
      <c r="B400" s="33" t="s">
        <v>4441</v>
      </c>
      <c r="C400" s="41" t="s">
        <v>28</v>
      </c>
      <c r="D400" s="41" t="s">
        <v>4807</v>
      </c>
      <c r="E400" s="41" t="s">
        <v>525</v>
      </c>
      <c r="F400" s="41" t="s">
        <v>4808</v>
      </c>
      <c r="G400" s="41" t="s">
        <v>85</v>
      </c>
      <c r="H400" s="8" t="s">
        <v>33</v>
      </c>
      <c r="I400" s="70"/>
      <c r="J400" s="70"/>
      <c r="K400" s="41" t="s">
        <v>49</v>
      </c>
      <c r="L400" s="41" t="s">
        <v>35</v>
      </c>
      <c r="M400" s="10" t="s">
        <v>4809</v>
      </c>
      <c r="N400" s="8"/>
      <c r="O400" s="1"/>
    </row>
    <row r="401" spans="1:15" ht="36.6" customHeight="1">
      <c r="A401" s="10">
        <v>1</v>
      </c>
      <c r="B401" s="33" t="s">
        <v>4441</v>
      </c>
      <c r="C401" s="41" t="s">
        <v>28</v>
      </c>
      <c r="D401" s="41" t="s">
        <v>4810</v>
      </c>
      <c r="E401" s="41" t="s">
        <v>39</v>
      </c>
      <c r="F401" s="41" t="s">
        <v>4811</v>
      </c>
      <c r="G401" s="41" t="s">
        <v>1091</v>
      </c>
      <c r="H401" s="8" t="s">
        <v>33</v>
      </c>
      <c r="I401" s="70" t="s">
        <v>54</v>
      </c>
      <c r="J401" s="70"/>
      <c r="K401" s="41" t="s">
        <v>2050</v>
      </c>
      <c r="L401" s="41" t="s">
        <v>35</v>
      </c>
      <c r="M401" s="10" t="s">
        <v>4812</v>
      </c>
      <c r="N401" s="8"/>
      <c r="O401" s="1"/>
    </row>
    <row r="402" spans="1:15" ht="36.6" customHeight="1">
      <c r="A402" s="10">
        <v>1</v>
      </c>
      <c r="B402" s="33" t="s">
        <v>4441</v>
      </c>
      <c r="C402" s="41" t="s">
        <v>28</v>
      </c>
      <c r="D402" s="41" t="s">
        <v>4813</v>
      </c>
      <c r="E402" s="41" t="s">
        <v>2541</v>
      </c>
      <c r="F402" s="41">
        <v>51993731480</v>
      </c>
      <c r="G402" s="41" t="s">
        <v>66</v>
      </c>
      <c r="H402" s="8" t="s">
        <v>67</v>
      </c>
      <c r="I402" s="70" t="s">
        <v>2227</v>
      </c>
      <c r="J402" s="70"/>
      <c r="K402" s="41" t="s">
        <v>55</v>
      </c>
      <c r="L402" s="41" t="s">
        <v>128</v>
      </c>
      <c r="M402" s="10" t="s">
        <v>4197</v>
      </c>
      <c r="N402" s="8"/>
      <c r="O402" s="1"/>
    </row>
    <row r="403" spans="1:15" ht="36.6" customHeight="1">
      <c r="A403" s="10">
        <v>1</v>
      </c>
      <c r="B403" s="33" t="s">
        <v>4441</v>
      </c>
      <c r="C403" s="41" t="s">
        <v>28</v>
      </c>
      <c r="D403" s="41" t="s">
        <v>4814</v>
      </c>
      <c r="E403" s="41" t="s">
        <v>39</v>
      </c>
      <c r="F403" s="41" t="s">
        <v>4815</v>
      </c>
      <c r="G403" s="41" t="s">
        <v>1091</v>
      </c>
      <c r="H403" s="8" t="s">
        <v>33</v>
      </c>
      <c r="I403" s="70"/>
      <c r="J403" s="70"/>
      <c r="K403" s="41" t="s">
        <v>49</v>
      </c>
      <c r="L403" s="41" t="s">
        <v>128</v>
      </c>
      <c r="M403" s="10" t="s">
        <v>4816</v>
      </c>
      <c r="N403" s="8"/>
      <c r="O403" s="1"/>
    </row>
    <row r="404" spans="1:15" ht="36.6" hidden="1" customHeight="1">
      <c r="A404" s="10">
        <v>1</v>
      </c>
      <c r="B404" s="33" t="s">
        <v>4441</v>
      </c>
      <c r="C404" s="41" t="s">
        <v>93</v>
      </c>
      <c r="D404" s="41" t="s">
        <v>4817</v>
      </c>
      <c r="E404" s="41" t="s">
        <v>323</v>
      </c>
      <c r="F404" s="41">
        <v>51989190354</v>
      </c>
      <c r="G404" s="41" t="s">
        <v>310</v>
      </c>
      <c r="H404" s="8" t="s">
        <v>47</v>
      </c>
      <c r="I404" s="70"/>
      <c r="J404" s="70"/>
      <c r="K404" s="41" t="s">
        <v>55</v>
      </c>
      <c r="L404" s="41"/>
      <c r="M404" s="10" t="s">
        <v>4818</v>
      </c>
      <c r="N404" s="8"/>
      <c r="O404" s="1"/>
    </row>
    <row r="405" spans="1:15" ht="36.6" customHeight="1">
      <c r="A405" s="10">
        <v>1</v>
      </c>
      <c r="B405" s="33" t="s">
        <v>4441</v>
      </c>
      <c r="C405" s="41" t="s">
        <v>28</v>
      </c>
      <c r="D405" s="41" t="s">
        <v>4819</v>
      </c>
      <c r="E405" s="41" t="s">
        <v>298</v>
      </c>
      <c r="F405" s="41">
        <v>51999935128</v>
      </c>
      <c r="G405" s="41" t="s">
        <v>4820</v>
      </c>
      <c r="H405" s="8" t="s">
        <v>67</v>
      </c>
      <c r="I405" s="70" t="s">
        <v>2227</v>
      </c>
      <c r="J405" s="70"/>
      <c r="K405" s="41" t="s">
        <v>55</v>
      </c>
      <c r="L405" s="41" t="s">
        <v>61</v>
      </c>
      <c r="M405" s="10" t="s">
        <v>4821</v>
      </c>
      <c r="N405" s="8"/>
      <c r="O405" s="1"/>
    </row>
    <row r="406" spans="1:15" ht="36.6" customHeight="1">
      <c r="A406" s="10">
        <v>1</v>
      </c>
      <c r="B406" s="33" t="s">
        <v>4441</v>
      </c>
      <c r="C406" s="41" t="s">
        <v>28</v>
      </c>
      <c r="D406" s="41" t="s">
        <v>4822</v>
      </c>
      <c r="E406" s="41" t="s">
        <v>400</v>
      </c>
      <c r="F406" s="41" t="s">
        <v>4823</v>
      </c>
      <c r="G406" s="41" t="s">
        <v>750</v>
      </c>
      <c r="H406" s="8" t="s">
        <v>47</v>
      </c>
      <c r="I406" s="70" t="s">
        <v>2062</v>
      </c>
      <c r="J406" s="70"/>
      <c r="K406" s="41" t="s">
        <v>2050</v>
      </c>
      <c r="L406" s="41" t="s">
        <v>56</v>
      </c>
      <c r="M406" s="10" t="s">
        <v>4824</v>
      </c>
      <c r="N406" s="8"/>
      <c r="O406" s="1"/>
    </row>
    <row r="407" spans="1:15" ht="36.6" customHeight="1">
      <c r="A407" s="10">
        <v>1</v>
      </c>
      <c r="B407" s="33" t="s">
        <v>4441</v>
      </c>
      <c r="C407" s="41" t="s">
        <v>28</v>
      </c>
      <c r="D407" s="41" t="s">
        <v>4825</v>
      </c>
      <c r="E407" s="41" t="s">
        <v>4826</v>
      </c>
      <c r="F407" s="41" t="s">
        <v>4827</v>
      </c>
      <c r="G407" s="41" t="s">
        <v>507</v>
      </c>
      <c r="H407" s="8" t="s">
        <v>67</v>
      </c>
      <c r="I407" s="70" t="s">
        <v>2186</v>
      </c>
      <c r="J407" s="70"/>
      <c r="K407" s="41" t="s">
        <v>2050</v>
      </c>
      <c r="L407" s="41" t="s">
        <v>128</v>
      </c>
      <c r="M407" s="10" t="s">
        <v>4828</v>
      </c>
      <c r="N407" s="8"/>
      <c r="O407" s="1"/>
    </row>
    <row r="408" spans="1:15" ht="36.6" customHeight="1">
      <c r="A408" s="10">
        <v>1</v>
      </c>
      <c r="B408" s="33" t="s">
        <v>4441</v>
      </c>
      <c r="C408" s="41" t="s">
        <v>28</v>
      </c>
      <c r="D408" s="41" t="s">
        <v>4817</v>
      </c>
      <c r="E408" s="41" t="s">
        <v>4829</v>
      </c>
      <c r="F408" s="41">
        <v>51989190354</v>
      </c>
      <c r="G408" s="41" t="s">
        <v>4830</v>
      </c>
      <c r="H408" s="8" t="s">
        <v>33</v>
      </c>
      <c r="I408" s="70" t="s">
        <v>4176</v>
      </c>
      <c r="J408" s="70"/>
      <c r="K408" s="41" t="s">
        <v>55</v>
      </c>
      <c r="L408" s="41" t="s">
        <v>61</v>
      </c>
      <c r="M408" s="10" t="s">
        <v>4831</v>
      </c>
      <c r="N408" s="8"/>
      <c r="O408" s="1"/>
    </row>
    <row r="409" spans="1:15" ht="36.6" customHeight="1">
      <c r="A409" s="10">
        <v>1</v>
      </c>
      <c r="B409" s="33" t="s">
        <v>4441</v>
      </c>
      <c r="C409" s="41" t="s">
        <v>28</v>
      </c>
      <c r="D409" s="41" t="s">
        <v>4832</v>
      </c>
      <c r="E409" s="41" t="s">
        <v>4833</v>
      </c>
      <c r="F409" s="41" t="s">
        <v>4834</v>
      </c>
      <c r="G409" s="41" t="s">
        <v>91</v>
      </c>
      <c r="H409" s="8" t="s">
        <v>33</v>
      </c>
      <c r="I409" s="70"/>
      <c r="J409" s="70"/>
      <c r="K409" s="41" t="s">
        <v>49</v>
      </c>
      <c r="L409" s="41" t="s">
        <v>61</v>
      </c>
      <c r="M409" s="10" t="s">
        <v>4835</v>
      </c>
      <c r="N409" s="8"/>
      <c r="O409" s="1"/>
    </row>
    <row r="410" spans="1:15" ht="36.6" hidden="1" customHeight="1">
      <c r="A410" s="10">
        <v>1</v>
      </c>
      <c r="B410" s="33" t="s">
        <v>4441</v>
      </c>
      <c r="C410" s="41" t="s">
        <v>93</v>
      </c>
      <c r="D410" s="41" t="s">
        <v>4836</v>
      </c>
      <c r="E410" s="41" t="s">
        <v>4837</v>
      </c>
      <c r="F410" s="41" t="s">
        <v>4838</v>
      </c>
      <c r="G410" s="41" t="s">
        <v>91</v>
      </c>
      <c r="H410" s="8" t="s">
        <v>67</v>
      </c>
      <c r="I410" s="70"/>
      <c r="J410" s="70"/>
      <c r="K410" s="41" t="s">
        <v>49</v>
      </c>
      <c r="L410" s="41"/>
      <c r="M410" s="10" t="s">
        <v>4839</v>
      </c>
      <c r="N410" s="8"/>
      <c r="O410" s="1"/>
    </row>
    <row r="411" spans="1:15" ht="36.6" hidden="1" customHeight="1">
      <c r="A411" s="10">
        <v>1</v>
      </c>
      <c r="B411" s="33" t="s">
        <v>4441</v>
      </c>
      <c r="C411" s="41" t="s">
        <v>93</v>
      </c>
      <c r="D411" s="41" t="s">
        <v>4840</v>
      </c>
      <c r="E411" s="41" t="s">
        <v>136</v>
      </c>
      <c r="F411" s="41" t="s">
        <v>4841</v>
      </c>
      <c r="G411" s="41" t="s">
        <v>66</v>
      </c>
      <c r="H411" s="8" t="s">
        <v>67</v>
      </c>
      <c r="I411" s="70"/>
      <c r="J411" s="70"/>
      <c r="K411" s="41" t="s">
        <v>49</v>
      </c>
      <c r="L411" s="41"/>
      <c r="M411" s="10" t="s">
        <v>4842</v>
      </c>
      <c r="N411" s="8"/>
      <c r="O411" s="1"/>
    </row>
    <row r="412" spans="1:15" ht="36.6" customHeight="1">
      <c r="A412" s="10">
        <v>1</v>
      </c>
      <c r="B412" s="33" t="s">
        <v>4637</v>
      </c>
      <c r="C412" s="41" t="s">
        <v>28</v>
      </c>
      <c r="D412" s="41" t="s">
        <v>4843</v>
      </c>
      <c r="E412" s="41" t="s">
        <v>1134</v>
      </c>
      <c r="F412" s="41" t="s">
        <v>4844</v>
      </c>
      <c r="G412" s="41" t="s">
        <v>1091</v>
      </c>
      <c r="H412" s="8" t="s">
        <v>33</v>
      </c>
      <c r="I412" s="70" t="s">
        <v>2046</v>
      </c>
      <c r="J412" s="70"/>
      <c r="K412" s="41" t="s">
        <v>2050</v>
      </c>
      <c r="L412" s="41" t="s">
        <v>128</v>
      </c>
      <c r="M412" s="10" t="s">
        <v>4845</v>
      </c>
      <c r="N412" s="8"/>
      <c r="O412" s="1"/>
    </row>
    <row r="413" spans="1:15" ht="36.6" hidden="1" customHeight="1">
      <c r="A413" s="10">
        <v>1</v>
      </c>
      <c r="B413" s="33" t="s">
        <v>4637</v>
      </c>
      <c r="C413" s="41" t="s">
        <v>93</v>
      </c>
      <c r="D413" s="41" t="s">
        <v>4846</v>
      </c>
      <c r="E413" s="41" t="s">
        <v>334</v>
      </c>
      <c r="F413" s="41" t="s">
        <v>4847</v>
      </c>
      <c r="G413" s="41" t="s">
        <v>507</v>
      </c>
      <c r="H413" s="8" t="s">
        <v>67</v>
      </c>
      <c r="I413" s="70"/>
      <c r="J413" s="70"/>
      <c r="K413" s="41" t="s">
        <v>2050</v>
      </c>
      <c r="L413" s="41"/>
      <c r="M413" s="10" t="s">
        <v>4848</v>
      </c>
      <c r="N413" s="8"/>
      <c r="O413" s="1"/>
    </row>
    <row r="414" spans="1:15" ht="36.6" hidden="1" customHeight="1">
      <c r="A414" s="10">
        <v>1</v>
      </c>
      <c r="B414" s="33" t="s">
        <v>4637</v>
      </c>
      <c r="C414" s="41" t="s">
        <v>93</v>
      </c>
      <c r="D414" s="41" t="s">
        <v>4849</v>
      </c>
      <c r="E414" s="41" t="s">
        <v>182</v>
      </c>
      <c r="F414" s="41" t="s">
        <v>4850</v>
      </c>
      <c r="G414" s="41" t="s">
        <v>66</v>
      </c>
      <c r="H414" s="8" t="s">
        <v>67</v>
      </c>
      <c r="I414" s="70"/>
      <c r="J414" s="70"/>
      <c r="K414" s="41" t="s">
        <v>55</v>
      </c>
      <c r="L414" s="41"/>
      <c r="M414" s="10" t="s">
        <v>4851</v>
      </c>
      <c r="N414" s="8"/>
      <c r="O414" s="1"/>
    </row>
    <row r="415" spans="1:15" ht="36.6" hidden="1" customHeight="1">
      <c r="A415" s="10">
        <v>1</v>
      </c>
      <c r="B415" s="33" t="s">
        <v>4637</v>
      </c>
      <c r="C415" s="41" t="s">
        <v>93</v>
      </c>
      <c r="D415" s="41" t="s">
        <v>4852</v>
      </c>
      <c r="E415" s="41" t="s">
        <v>4853</v>
      </c>
      <c r="F415" s="41" t="s">
        <v>4854</v>
      </c>
      <c r="G415" s="41" t="s">
        <v>53</v>
      </c>
      <c r="H415" s="8" t="s">
        <v>33</v>
      </c>
      <c r="I415" s="70"/>
      <c r="J415" s="70"/>
      <c r="K415" s="41" t="s">
        <v>55</v>
      </c>
      <c r="L415" s="41"/>
      <c r="M415" s="10" t="s">
        <v>4855</v>
      </c>
      <c r="N415" s="8"/>
      <c r="O415" s="1"/>
    </row>
    <row r="416" spans="1:15" ht="36.6" customHeight="1">
      <c r="A416" s="10">
        <v>1</v>
      </c>
      <c r="B416" s="33" t="s">
        <v>4637</v>
      </c>
      <c r="C416" s="41" t="s">
        <v>28</v>
      </c>
      <c r="D416" s="41" t="s">
        <v>4856</v>
      </c>
      <c r="E416" s="41" t="s">
        <v>619</v>
      </c>
      <c r="F416" s="41">
        <v>51986529982</v>
      </c>
      <c r="G416" s="41" t="s">
        <v>66</v>
      </c>
      <c r="H416" s="8" t="s">
        <v>67</v>
      </c>
      <c r="I416" s="70" t="s">
        <v>4857</v>
      </c>
      <c r="J416" s="70"/>
      <c r="K416" s="41" t="s">
        <v>55</v>
      </c>
      <c r="L416" s="41" t="s">
        <v>128</v>
      </c>
      <c r="M416" s="10" t="s">
        <v>4858</v>
      </c>
      <c r="N416" s="8"/>
      <c r="O416" s="1"/>
    </row>
    <row r="417" spans="1:15" ht="36.6" customHeight="1">
      <c r="A417" s="10">
        <v>1</v>
      </c>
      <c r="B417" s="33" t="s">
        <v>4637</v>
      </c>
      <c r="C417" s="41" t="s">
        <v>28</v>
      </c>
      <c r="D417" s="41" t="s">
        <v>4859</v>
      </c>
      <c r="E417" s="41" t="s">
        <v>705</v>
      </c>
      <c r="F417" s="41" t="s">
        <v>4860</v>
      </c>
      <c r="G417" s="41" t="s">
        <v>395</v>
      </c>
      <c r="H417" s="8" t="s">
        <v>33</v>
      </c>
      <c r="I417" s="70" t="s">
        <v>2134</v>
      </c>
      <c r="J417" s="70"/>
      <c r="K417" s="41" t="s">
        <v>2050</v>
      </c>
      <c r="L417" s="41" t="s">
        <v>80</v>
      </c>
      <c r="M417" s="10" t="s">
        <v>4861</v>
      </c>
      <c r="N417" s="8"/>
      <c r="O417" s="1"/>
    </row>
    <row r="418" spans="1:15" ht="36.6" hidden="1" customHeight="1">
      <c r="A418" s="10">
        <v>1</v>
      </c>
      <c r="B418" s="33" t="s">
        <v>4637</v>
      </c>
      <c r="C418" s="41" t="s">
        <v>93</v>
      </c>
      <c r="D418" s="41" t="s">
        <v>4862</v>
      </c>
      <c r="E418" s="41" t="s">
        <v>446</v>
      </c>
      <c r="F418" s="41" t="s">
        <v>4863</v>
      </c>
      <c r="G418" s="41" t="s">
        <v>66</v>
      </c>
      <c r="H418" s="8" t="s">
        <v>67</v>
      </c>
      <c r="I418" s="70"/>
      <c r="J418" s="70"/>
      <c r="K418" s="41" t="s">
        <v>49</v>
      </c>
      <c r="L418" s="41"/>
      <c r="M418" s="10" t="s">
        <v>4864</v>
      </c>
      <c r="N418" s="8"/>
      <c r="O418" s="1"/>
    </row>
    <row r="419" spans="1:15" ht="36.6" customHeight="1">
      <c r="A419" s="10">
        <v>1</v>
      </c>
      <c r="B419" s="33" t="s">
        <v>4637</v>
      </c>
      <c r="C419" s="41" t="s">
        <v>28</v>
      </c>
      <c r="D419" s="41" t="s">
        <v>4865</v>
      </c>
      <c r="E419" s="41" t="s">
        <v>71</v>
      </c>
      <c r="F419" s="41" t="s">
        <v>4866</v>
      </c>
      <c r="G419" s="41" t="s">
        <v>73</v>
      </c>
      <c r="H419" s="8" t="s">
        <v>33</v>
      </c>
      <c r="I419" s="70"/>
      <c r="J419" s="70"/>
      <c r="K419" s="41" t="s">
        <v>49</v>
      </c>
      <c r="L419" s="41" t="s">
        <v>111</v>
      </c>
      <c r="M419" s="10" t="s">
        <v>4867</v>
      </c>
      <c r="N419" s="8"/>
      <c r="O419" s="1"/>
    </row>
    <row r="420" spans="1:15" ht="36.6" hidden="1" customHeight="1">
      <c r="A420" s="10">
        <v>1</v>
      </c>
      <c r="B420" s="33" t="s">
        <v>4637</v>
      </c>
      <c r="C420" s="41" t="s">
        <v>93</v>
      </c>
      <c r="D420" s="41" t="s">
        <v>4868</v>
      </c>
      <c r="E420" s="41" t="s">
        <v>619</v>
      </c>
      <c r="F420" s="41" t="s">
        <v>4869</v>
      </c>
      <c r="G420" s="41" t="s">
        <v>66</v>
      </c>
      <c r="H420" s="8" t="s">
        <v>67</v>
      </c>
      <c r="I420" s="70"/>
      <c r="J420" s="70"/>
      <c r="K420" s="41" t="s">
        <v>49</v>
      </c>
      <c r="L420" s="41"/>
      <c r="M420" s="10" t="s">
        <v>4870</v>
      </c>
      <c r="N420" s="8"/>
      <c r="O420" s="1"/>
    </row>
    <row r="421" spans="1:15" ht="36.6" hidden="1" customHeight="1">
      <c r="A421" s="10">
        <v>1</v>
      </c>
      <c r="B421" s="33" t="s">
        <v>4637</v>
      </c>
      <c r="C421" s="41" t="s">
        <v>93</v>
      </c>
      <c r="D421" s="41" t="s">
        <v>2733</v>
      </c>
      <c r="E421" s="41" t="s">
        <v>1648</v>
      </c>
      <c r="F421" s="41" t="s">
        <v>4871</v>
      </c>
      <c r="G421" s="41" t="s">
        <v>91</v>
      </c>
      <c r="H421" s="8" t="s">
        <v>67</v>
      </c>
      <c r="I421" s="70"/>
      <c r="J421" s="70"/>
      <c r="K421" s="41" t="s">
        <v>55</v>
      </c>
      <c r="L421" s="41"/>
      <c r="M421" s="10" t="s">
        <v>4872</v>
      </c>
      <c r="N421" s="8"/>
      <c r="O421" s="1"/>
    </row>
    <row r="422" spans="1:15" ht="36.6" hidden="1" customHeight="1">
      <c r="A422" s="10">
        <v>1</v>
      </c>
      <c r="B422" s="33" t="s">
        <v>4637</v>
      </c>
      <c r="C422" s="41" t="s">
        <v>93</v>
      </c>
      <c r="D422" s="41" t="s">
        <v>4463</v>
      </c>
      <c r="E422" s="41" t="s">
        <v>290</v>
      </c>
      <c r="F422" s="41" t="s">
        <v>4464</v>
      </c>
      <c r="G422" s="41" t="s">
        <v>91</v>
      </c>
      <c r="H422" s="8" t="s">
        <v>67</v>
      </c>
      <c r="I422" s="70"/>
      <c r="J422" s="70"/>
      <c r="K422" s="41" t="s">
        <v>55</v>
      </c>
      <c r="L422" s="41"/>
      <c r="M422" s="10" t="s">
        <v>4873</v>
      </c>
      <c r="N422" s="8"/>
      <c r="O422" s="1"/>
    </row>
    <row r="423" spans="1:15" ht="36.6" customHeight="1">
      <c r="A423" s="10">
        <v>1</v>
      </c>
      <c r="B423" s="33" t="s">
        <v>4637</v>
      </c>
      <c r="C423" s="41" t="s">
        <v>28</v>
      </c>
      <c r="D423" s="8" t="s">
        <v>4874</v>
      </c>
      <c r="E423" s="41" t="s">
        <v>525</v>
      </c>
      <c r="F423" s="41" t="s">
        <v>4875</v>
      </c>
      <c r="G423" s="41" t="s">
        <v>559</v>
      </c>
      <c r="H423" s="8" t="s">
        <v>33</v>
      </c>
      <c r="I423" s="70" t="s">
        <v>4799</v>
      </c>
      <c r="J423" s="70"/>
      <c r="K423" s="41" t="s">
        <v>2050</v>
      </c>
      <c r="L423" s="41" t="s">
        <v>128</v>
      </c>
      <c r="M423" s="10" t="s">
        <v>4876</v>
      </c>
      <c r="N423" s="8"/>
      <c r="O423" s="1"/>
    </row>
    <row r="424" spans="1:15" ht="36.6" customHeight="1">
      <c r="A424" s="10">
        <v>1</v>
      </c>
      <c r="B424" s="33" t="s">
        <v>4637</v>
      </c>
      <c r="C424" s="41" t="s">
        <v>28</v>
      </c>
      <c r="D424" s="41" t="s">
        <v>4496</v>
      </c>
      <c r="E424" s="41" t="s">
        <v>1083</v>
      </c>
      <c r="F424" s="41" t="s">
        <v>4877</v>
      </c>
      <c r="G424" s="41" t="s">
        <v>559</v>
      </c>
      <c r="H424" s="8" t="s">
        <v>33</v>
      </c>
      <c r="I424" s="70" t="s">
        <v>2079</v>
      </c>
      <c r="J424" s="70"/>
      <c r="K424" s="41" t="s">
        <v>2050</v>
      </c>
      <c r="L424" s="41" t="s">
        <v>111</v>
      </c>
      <c r="M424" s="10" t="s">
        <v>4878</v>
      </c>
      <c r="N424" s="8"/>
      <c r="O424" s="1"/>
    </row>
    <row r="425" spans="1:15" ht="36.6" customHeight="1">
      <c r="A425" s="10">
        <v>1</v>
      </c>
      <c r="B425" s="33" t="s">
        <v>4637</v>
      </c>
      <c r="C425" s="41" t="s">
        <v>28</v>
      </c>
      <c r="D425" s="41" t="s">
        <v>4879</v>
      </c>
      <c r="E425" s="41" t="s">
        <v>1250</v>
      </c>
      <c r="F425" s="41" t="s">
        <v>4880</v>
      </c>
      <c r="G425" s="41" t="s">
        <v>4881</v>
      </c>
      <c r="H425" s="8" t="s">
        <v>33</v>
      </c>
      <c r="I425" s="70" t="s">
        <v>2088</v>
      </c>
      <c r="J425" s="70"/>
      <c r="K425" s="41" t="s">
        <v>2050</v>
      </c>
      <c r="L425" s="41" t="s">
        <v>128</v>
      </c>
      <c r="M425" s="10" t="s">
        <v>4882</v>
      </c>
      <c r="N425" s="8"/>
      <c r="O425" s="1"/>
    </row>
    <row r="426" spans="1:15" ht="36.6" customHeight="1">
      <c r="A426" s="10">
        <v>1</v>
      </c>
      <c r="B426" s="33" t="s">
        <v>4637</v>
      </c>
      <c r="C426" s="41" t="s">
        <v>28</v>
      </c>
      <c r="D426" s="41" t="s">
        <v>4883</v>
      </c>
      <c r="E426" s="41" t="s">
        <v>4884</v>
      </c>
      <c r="F426" s="41" t="s">
        <v>4885</v>
      </c>
      <c r="G426" s="41" t="s">
        <v>53</v>
      </c>
      <c r="H426" s="8" t="s">
        <v>33</v>
      </c>
      <c r="I426" s="70"/>
      <c r="J426" s="70"/>
      <c r="K426" s="41" t="s">
        <v>49</v>
      </c>
      <c r="L426" s="41" t="s">
        <v>128</v>
      </c>
      <c r="M426" s="10" t="s">
        <v>4886</v>
      </c>
      <c r="N426" s="8"/>
      <c r="O426" s="1"/>
    </row>
    <row r="427" spans="1:15" ht="36.6" customHeight="1">
      <c r="A427" s="10">
        <v>1</v>
      </c>
      <c r="B427" s="33" t="s">
        <v>4637</v>
      </c>
      <c r="C427" s="41" t="s">
        <v>28</v>
      </c>
      <c r="D427" s="41" t="s">
        <v>4887</v>
      </c>
      <c r="E427" s="41" t="s">
        <v>235</v>
      </c>
      <c r="F427" s="41" t="s">
        <v>4888</v>
      </c>
      <c r="G427" s="41" t="s">
        <v>1400</v>
      </c>
      <c r="H427" s="8" t="s">
        <v>47</v>
      </c>
      <c r="I427" s="70" t="s">
        <v>3806</v>
      </c>
      <c r="J427" s="70"/>
      <c r="K427" s="41" t="s">
        <v>2050</v>
      </c>
      <c r="L427" s="41" t="s">
        <v>128</v>
      </c>
      <c r="M427" s="10" t="s">
        <v>4889</v>
      </c>
      <c r="N427" s="8"/>
      <c r="O427" s="1"/>
    </row>
    <row r="428" spans="1:15" ht="36.6" hidden="1" customHeight="1">
      <c r="A428" s="10">
        <v>1</v>
      </c>
      <c r="B428" s="33" t="s">
        <v>4637</v>
      </c>
      <c r="C428" s="41" t="s">
        <v>93</v>
      </c>
      <c r="D428" s="41" t="s">
        <v>4890</v>
      </c>
      <c r="E428" s="8" t="s">
        <v>1916</v>
      </c>
      <c r="F428" s="41" t="s">
        <v>4891</v>
      </c>
      <c r="G428" s="41" t="s">
        <v>91</v>
      </c>
      <c r="H428" s="8" t="s">
        <v>67</v>
      </c>
      <c r="I428" s="70"/>
      <c r="J428" s="70"/>
      <c r="K428" s="41" t="s">
        <v>49</v>
      </c>
      <c r="L428" s="41"/>
      <c r="M428" s="10" t="s">
        <v>4892</v>
      </c>
      <c r="N428" s="8"/>
      <c r="O428" s="1"/>
    </row>
    <row r="429" spans="1:15" ht="36.6" customHeight="1">
      <c r="A429" s="10">
        <v>1</v>
      </c>
      <c r="B429" s="33" t="s">
        <v>4637</v>
      </c>
      <c r="C429" s="41" t="s">
        <v>28</v>
      </c>
      <c r="D429" s="41" t="s">
        <v>4893</v>
      </c>
      <c r="E429" s="41" t="s">
        <v>1438</v>
      </c>
      <c r="F429" s="41">
        <v>51991814434</v>
      </c>
      <c r="G429" s="41" t="s">
        <v>66</v>
      </c>
      <c r="H429" s="8" t="s">
        <v>67</v>
      </c>
      <c r="I429" s="70" t="s">
        <v>4471</v>
      </c>
      <c r="J429" s="70"/>
      <c r="K429" s="41" t="s">
        <v>55</v>
      </c>
      <c r="L429" s="41" t="s">
        <v>128</v>
      </c>
      <c r="M429" s="10" t="s">
        <v>4894</v>
      </c>
      <c r="N429" s="8"/>
      <c r="O429" s="1"/>
    </row>
    <row r="430" spans="1:15" ht="36.6" customHeight="1">
      <c r="A430" s="10">
        <v>1</v>
      </c>
      <c r="B430" s="33" t="s">
        <v>4637</v>
      </c>
      <c r="C430" s="41" t="s">
        <v>28</v>
      </c>
      <c r="D430" s="41" t="s">
        <v>4895</v>
      </c>
      <c r="E430" s="41" t="s">
        <v>4896</v>
      </c>
      <c r="F430" s="41" t="s">
        <v>4897</v>
      </c>
      <c r="G430" s="41" t="s">
        <v>53</v>
      </c>
      <c r="H430" s="8" t="s">
        <v>33</v>
      </c>
      <c r="I430" s="70"/>
      <c r="J430" s="70"/>
      <c r="K430" s="41" t="s">
        <v>49</v>
      </c>
      <c r="L430" s="41" t="s">
        <v>128</v>
      </c>
      <c r="M430" s="10" t="s">
        <v>4898</v>
      </c>
      <c r="N430" s="8"/>
      <c r="O430" s="1"/>
    </row>
    <row r="431" spans="1:15" ht="36.6" hidden="1" customHeight="1">
      <c r="A431" s="10">
        <v>1</v>
      </c>
      <c r="B431" s="33" t="s">
        <v>4637</v>
      </c>
      <c r="C431" s="41" t="s">
        <v>93</v>
      </c>
      <c r="D431" s="41" t="s">
        <v>4899</v>
      </c>
      <c r="E431" s="41" t="s">
        <v>552</v>
      </c>
      <c r="F431" s="41">
        <v>51995632177</v>
      </c>
      <c r="G431" s="41" t="s">
        <v>91</v>
      </c>
      <c r="H431" s="8" t="s">
        <v>67</v>
      </c>
      <c r="I431" s="70"/>
      <c r="J431" s="70"/>
      <c r="K431" s="41" t="s">
        <v>55</v>
      </c>
      <c r="L431" s="41"/>
      <c r="M431" s="10" t="s">
        <v>4900</v>
      </c>
      <c r="N431" s="8"/>
      <c r="O431" s="1"/>
    </row>
    <row r="432" spans="1:15" ht="36.6" hidden="1" customHeight="1">
      <c r="A432" s="10">
        <v>1</v>
      </c>
      <c r="B432" s="33" t="s">
        <v>4637</v>
      </c>
      <c r="C432" s="41" t="s">
        <v>93</v>
      </c>
      <c r="D432" s="41" t="s">
        <v>4901</v>
      </c>
      <c r="E432" s="41" t="s">
        <v>2526</v>
      </c>
      <c r="F432" s="41">
        <v>51998466649</v>
      </c>
      <c r="G432" s="41" t="s">
        <v>91</v>
      </c>
      <c r="H432" s="8" t="s">
        <v>67</v>
      </c>
      <c r="I432" s="70"/>
      <c r="J432" s="70"/>
      <c r="K432" s="41" t="s">
        <v>55</v>
      </c>
      <c r="L432" s="41"/>
      <c r="M432" s="10" t="s">
        <v>4902</v>
      </c>
      <c r="N432" s="8"/>
      <c r="O432" s="1"/>
    </row>
    <row r="433" spans="1:15" ht="36.6" customHeight="1">
      <c r="A433" s="10">
        <v>1</v>
      </c>
      <c r="B433" s="33" t="s">
        <v>4637</v>
      </c>
      <c r="C433" s="41" t="s">
        <v>28</v>
      </c>
      <c r="D433" s="41" t="s">
        <v>4903</v>
      </c>
      <c r="E433" s="41" t="s">
        <v>315</v>
      </c>
      <c r="F433" s="41" t="s">
        <v>4904</v>
      </c>
      <c r="G433" s="41" t="s">
        <v>66</v>
      </c>
      <c r="H433" s="8" t="s">
        <v>67</v>
      </c>
      <c r="I433" s="70"/>
      <c r="J433" s="70"/>
      <c r="K433" s="41" t="s">
        <v>49</v>
      </c>
      <c r="L433" s="41" t="s">
        <v>111</v>
      </c>
      <c r="M433" s="10" t="s">
        <v>4905</v>
      </c>
      <c r="N433" s="8"/>
      <c r="O433" s="1"/>
    </row>
    <row r="434" spans="1:15" ht="36.6" hidden="1" customHeight="1">
      <c r="A434" s="10">
        <v>1</v>
      </c>
      <c r="B434" s="33" t="s">
        <v>4637</v>
      </c>
      <c r="C434" s="41" t="s">
        <v>93</v>
      </c>
      <c r="D434" s="41" t="s">
        <v>4906</v>
      </c>
      <c r="E434" s="41" t="s">
        <v>1542</v>
      </c>
      <c r="F434" s="41">
        <v>95984254988</v>
      </c>
      <c r="G434" s="41" t="s">
        <v>559</v>
      </c>
      <c r="H434" s="8" t="s">
        <v>33</v>
      </c>
      <c r="I434" s="70"/>
      <c r="J434" s="70"/>
      <c r="K434" s="41" t="s">
        <v>55</v>
      </c>
      <c r="L434" s="41"/>
      <c r="M434" s="10" t="s">
        <v>4907</v>
      </c>
      <c r="N434" s="8"/>
      <c r="O434" s="1"/>
    </row>
    <row r="435" spans="1:15" ht="36.6" customHeight="1">
      <c r="A435" s="10">
        <v>1</v>
      </c>
      <c r="B435" s="33" t="s">
        <v>4637</v>
      </c>
      <c r="C435" s="41" t="s">
        <v>28</v>
      </c>
      <c r="D435" s="41" t="s">
        <v>4908</v>
      </c>
      <c r="E435" s="41" t="s">
        <v>39</v>
      </c>
      <c r="F435" s="41" t="s">
        <v>4909</v>
      </c>
      <c r="G435" s="41" t="s">
        <v>41</v>
      </c>
      <c r="H435" s="8" t="s">
        <v>33</v>
      </c>
      <c r="I435" s="70"/>
      <c r="J435" s="70"/>
      <c r="K435" s="41" t="s">
        <v>49</v>
      </c>
      <c r="L435" s="41" t="s">
        <v>128</v>
      </c>
      <c r="M435" s="10" t="s">
        <v>4910</v>
      </c>
      <c r="N435" s="8"/>
      <c r="O435" s="1"/>
    </row>
    <row r="436" spans="1:15" ht="36.6" hidden="1" customHeight="1">
      <c r="A436" s="10">
        <v>1</v>
      </c>
      <c r="B436" s="33" t="s">
        <v>4637</v>
      </c>
      <c r="C436" s="41" t="s">
        <v>93</v>
      </c>
      <c r="D436" s="41" t="s">
        <v>4911</v>
      </c>
      <c r="E436" s="41" t="s">
        <v>615</v>
      </c>
      <c r="F436" s="41" t="s">
        <v>4912</v>
      </c>
      <c r="G436" s="41" t="s">
        <v>66</v>
      </c>
      <c r="H436" s="8" t="s">
        <v>67</v>
      </c>
      <c r="I436" s="70"/>
      <c r="J436" s="70"/>
      <c r="K436" s="41" t="s">
        <v>49</v>
      </c>
      <c r="L436" s="41"/>
      <c r="M436" s="10" t="s">
        <v>4913</v>
      </c>
      <c r="N436" s="8"/>
      <c r="O436" s="1"/>
    </row>
    <row r="437" spans="1:15" ht="36.6" hidden="1" customHeight="1">
      <c r="A437" s="10">
        <v>1</v>
      </c>
      <c r="B437" s="33" t="s">
        <v>4637</v>
      </c>
      <c r="C437" s="41" t="s">
        <v>93</v>
      </c>
      <c r="D437" s="41" t="s">
        <v>4914</v>
      </c>
      <c r="E437" s="41" t="s">
        <v>145</v>
      </c>
      <c r="F437" s="41" t="s">
        <v>4915</v>
      </c>
      <c r="G437" s="41" t="s">
        <v>283</v>
      </c>
      <c r="H437" s="8" t="s">
        <v>47</v>
      </c>
      <c r="I437" s="70"/>
      <c r="J437" s="70"/>
      <c r="K437" s="41" t="s">
        <v>49</v>
      </c>
      <c r="L437" s="41"/>
      <c r="M437" s="10" t="s">
        <v>4916</v>
      </c>
      <c r="N437" s="8"/>
      <c r="O437" s="1"/>
    </row>
    <row r="438" spans="1:15" ht="36.6" customHeight="1">
      <c r="A438" s="10">
        <v>1</v>
      </c>
      <c r="B438" s="33" t="s">
        <v>4917</v>
      </c>
      <c r="C438" s="41" t="s">
        <v>28</v>
      </c>
      <c r="D438" s="41" t="s">
        <v>4918</v>
      </c>
      <c r="E438" s="41" t="s">
        <v>430</v>
      </c>
      <c r="F438" s="41">
        <v>51995516641</v>
      </c>
      <c r="G438" s="41" t="s">
        <v>66</v>
      </c>
      <c r="H438" s="8" t="s">
        <v>67</v>
      </c>
      <c r="I438" s="70"/>
      <c r="J438" s="70"/>
      <c r="K438" s="41" t="s">
        <v>55</v>
      </c>
      <c r="L438" s="41" t="s">
        <v>128</v>
      </c>
      <c r="M438" s="10" t="s">
        <v>4919</v>
      </c>
      <c r="N438" s="8"/>
      <c r="O438" s="1"/>
    </row>
    <row r="439" spans="1:15" ht="36.6" customHeight="1">
      <c r="A439" s="10">
        <v>1</v>
      </c>
      <c r="B439" s="33" t="s">
        <v>4917</v>
      </c>
      <c r="C439" s="41" t="s">
        <v>28</v>
      </c>
      <c r="D439" s="41" t="s">
        <v>4836</v>
      </c>
      <c r="E439" s="41" t="s">
        <v>2100</v>
      </c>
      <c r="F439" s="41">
        <v>51996500769</v>
      </c>
      <c r="G439" s="41" t="s">
        <v>91</v>
      </c>
      <c r="H439" s="8" t="s">
        <v>67</v>
      </c>
      <c r="I439" s="70"/>
      <c r="J439" s="70"/>
      <c r="K439" s="41" t="s">
        <v>55</v>
      </c>
      <c r="L439" s="41" t="s">
        <v>61</v>
      </c>
      <c r="M439" s="10" t="s">
        <v>689</v>
      </c>
      <c r="N439" s="8"/>
      <c r="O439" s="1"/>
    </row>
    <row r="440" spans="1:15" ht="36.6" customHeight="1">
      <c r="A440" s="10">
        <v>1</v>
      </c>
      <c r="B440" s="33" t="s">
        <v>4917</v>
      </c>
      <c r="C440" s="41" t="s">
        <v>28</v>
      </c>
      <c r="D440" s="41" t="s">
        <v>4920</v>
      </c>
      <c r="E440" s="41" t="s">
        <v>39</v>
      </c>
      <c r="F440" s="41" t="s">
        <v>4921</v>
      </c>
      <c r="G440" s="41" t="s">
        <v>41</v>
      </c>
      <c r="H440" s="8" t="s">
        <v>33</v>
      </c>
      <c r="I440" s="70"/>
      <c r="J440" s="70"/>
      <c r="K440" s="41" t="s">
        <v>55</v>
      </c>
      <c r="L440" s="41" t="s">
        <v>56</v>
      </c>
      <c r="M440" s="10" t="s">
        <v>4922</v>
      </c>
      <c r="N440" s="8"/>
      <c r="O440" s="1"/>
    </row>
    <row r="441" spans="1:15" ht="36.6" customHeight="1">
      <c r="A441" s="10">
        <v>1</v>
      </c>
      <c r="B441" s="33" t="s">
        <v>4917</v>
      </c>
      <c r="C441" s="41" t="s">
        <v>28</v>
      </c>
      <c r="D441" s="41" t="s">
        <v>4923</v>
      </c>
      <c r="E441" s="41" t="s">
        <v>478</v>
      </c>
      <c r="F441" s="41" t="s">
        <v>4924</v>
      </c>
      <c r="G441" s="41" t="s">
        <v>66</v>
      </c>
      <c r="H441" s="8" t="s">
        <v>67</v>
      </c>
      <c r="I441" s="70"/>
      <c r="J441" s="70"/>
      <c r="K441" s="41" t="s">
        <v>49</v>
      </c>
      <c r="L441" s="41" t="s">
        <v>128</v>
      </c>
      <c r="M441" s="10" t="s">
        <v>4925</v>
      </c>
      <c r="N441" s="8"/>
      <c r="O441" s="1"/>
    </row>
    <row r="442" spans="1:15" ht="36.6" hidden="1" customHeight="1">
      <c r="A442" s="10">
        <v>1</v>
      </c>
      <c r="B442" s="33" t="s">
        <v>4917</v>
      </c>
      <c r="C442" s="41" t="s">
        <v>93</v>
      </c>
      <c r="D442" s="41" t="s">
        <v>4899</v>
      </c>
      <c r="E442" s="41" t="s">
        <v>438</v>
      </c>
      <c r="F442" s="41" t="s">
        <v>4926</v>
      </c>
      <c r="G442" s="41" t="s">
        <v>91</v>
      </c>
      <c r="H442" s="8" t="s">
        <v>67</v>
      </c>
      <c r="I442" s="70"/>
      <c r="J442" s="70"/>
      <c r="K442" s="41" t="s">
        <v>49</v>
      </c>
      <c r="L442" s="41"/>
      <c r="M442" s="10" t="s">
        <v>4927</v>
      </c>
      <c r="N442" s="8"/>
      <c r="O442" s="1"/>
    </row>
    <row r="443" spans="1:15" ht="36.6" hidden="1" customHeight="1">
      <c r="A443" s="10">
        <v>1</v>
      </c>
      <c r="B443" s="33" t="s">
        <v>4917</v>
      </c>
      <c r="C443" s="41" t="s">
        <v>93</v>
      </c>
      <c r="D443" s="41" t="s">
        <v>4928</v>
      </c>
      <c r="E443" s="41" t="s">
        <v>79</v>
      </c>
      <c r="F443" s="41" t="s">
        <v>4929</v>
      </c>
      <c r="G443" s="41" t="s">
        <v>79</v>
      </c>
      <c r="H443" s="8" t="s">
        <v>47</v>
      </c>
      <c r="I443" s="70"/>
      <c r="J443" s="70"/>
      <c r="K443" s="41" t="s">
        <v>49</v>
      </c>
      <c r="L443" s="41"/>
      <c r="M443" s="10" t="s">
        <v>4930</v>
      </c>
      <c r="N443" s="8"/>
      <c r="O443" s="1"/>
    </row>
    <row r="444" spans="1:15" ht="36.6" customHeight="1">
      <c r="A444" s="10">
        <v>1</v>
      </c>
      <c r="B444" s="33" t="s">
        <v>4917</v>
      </c>
      <c r="C444" s="41" t="s">
        <v>28</v>
      </c>
      <c r="D444" s="41" t="s">
        <v>4931</v>
      </c>
      <c r="E444" s="41" t="s">
        <v>182</v>
      </c>
      <c r="F444" s="41">
        <v>51999657074</v>
      </c>
      <c r="G444" s="41" t="s">
        <v>66</v>
      </c>
      <c r="H444" s="8" t="s">
        <v>67</v>
      </c>
      <c r="I444" s="70"/>
      <c r="J444" s="70"/>
      <c r="K444" s="41" t="s">
        <v>55</v>
      </c>
      <c r="L444" s="41" t="s">
        <v>128</v>
      </c>
      <c r="M444" s="10" t="s">
        <v>4932</v>
      </c>
      <c r="N444" s="8"/>
      <c r="O444" s="1"/>
    </row>
    <row r="445" spans="1:15" ht="36.6" customHeight="1">
      <c r="A445" s="10">
        <v>1</v>
      </c>
      <c r="B445" s="33" t="s">
        <v>4917</v>
      </c>
      <c r="C445" s="41" t="s">
        <v>28</v>
      </c>
      <c r="D445" s="41" t="s">
        <v>4933</v>
      </c>
      <c r="E445" s="41" t="s">
        <v>226</v>
      </c>
      <c r="F445" s="41" t="s">
        <v>4934</v>
      </c>
      <c r="G445" s="41" t="s">
        <v>91</v>
      </c>
      <c r="H445" s="8" t="s">
        <v>67</v>
      </c>
      <c r="I445" s="70"/>
      <c r="J445" s="70"/>
      <c r="K445" s="41" t="s">
        <v>49</v>
      </c>
      <c r="L445" s="41" t="s">
        <v>35</v>
      </c>
      <c r="M445" s="10" t="s">
        <v>4935</v>
      </c>
      <c r="N445" s="8"/>
      <c r="O445" s="1"/>
    </row>
    <row r="446" spans="1:15" ht="36.6" hidden="1" customHeight="1">
      <c r="A446" s="10">
        <v>1</v>
      </c>
      <c r="B446" s="33" t="s">
        <v>4917</v>
      </c>
      <c r="C446" s="41" t="s">
        <v>93</v>
      </c>
      <c r="D446" s="41" t="s">
        <v>4936</v>
      </c>
      <c r="E446" s="41" t="s">
        <v>407</v>
      </c>
      <c r="F446" s="41" t="s">
        <v>4937</v>
      </c>
      <c r="G446" s="41" t="s">
        <v>66</v>
      </c>
      <c r="H446" s="8" t="s">
        <v>67</v>
      </c>
      <c r="I446" s="70"/>
      <c r="J446" s="70"/>
      <c r="K446" s="41" t="s">
        <v>49</v>
      </c>
      <c r="L446" s="41"/>
      <c r="M446" s="10" t="s">
        <v>4938</v>
      </c>
      <c r="N446" s="8"/>
      <c r="O446" s="1"/>
    </row>
    <row r="447" spans="1:15" ht="36.6" customHeight="1">
      <c r="A447" s="10">
        <v>1</v>
      </c>
      <c r="B447" s="33" t="s">
        <v>4917</v>
      </c>
      <c r="C447" s="41" t="s">
        <v>28</v>
      </c>
      <c r="D447" s="41" t="s">
        <v>4939</v>
      </c>
      <c r="E447" s="41" t="s">
        <v>512</v>
      </c>
      <c r="F447" s="41" t="s">
        <v>4940</v>
      </c>
      <c r="G447" s="41" t="s">
        <v>91</v>
      </c>
      <c r="H447" s="8" t="s">
        <v>67</v>
      </c>
      <c r="I447" s="70"/>
      <c r="J447" s="70"/>
      <c r="K447" s="41" t="s">
        <v>49</v>
      </c>
      <c r="L447" s="41" t="s">
        <v>56</v>
      </c>
      <c r="M447" s="10" t="s">
        <v>4941</v>
      </c>
      <c r="N447" s="8"/>
      <c r="O447" s="1"/>
    </row>
    <row r="448" spans="1:15" ht="36.6" customHeight="1">
      <c r="A448" s="10">
        <v>1</v>
      </c>
      <c r="B448" s="33" t="s">
        <v>4917</v>
      </c>
      <c r="C448" s="41" t="s">
        <v>28</v>
      </c>
      <c r="D448" s="41" t="s">
        <v>4942</v>
      </c>
      <c r="E448" s="41" t="s">
        <v>4943</v>
      </c>
      <c r="F448" s="41" t="s">
        <v>4944</v>
      </c>
      <c r="G448" s="41" t="s">
        <v>91</v>
      </c>
      <c r="H448" s="8" t="s">
        <v>67</v>
      </c>
      <c r="I448" s="70"/>
      <c r="J448" s="70"/>
      <c r="K448" s="41" t="s">
        <v>49</v>
      </c>
      <c r="L448" s="41" t="s">
        <v>35</v>
      </c>
      <c r="M448" s="10" t="s">
        <v>4945</v>
      </c>
      <c r="N448" s="8"/>
      <c r="O448" s="1"/>
    </row>
    <row r="449" spans="1:15" ht="36.6" customHeight="1">
      <c r="A449" s="10">
        <v>1</v>
      </c>
      <c r="B449" s="33" t="s">
        <v>4917</v>
      </c>
      <c r="C449" s="41" t="s">
        <v>28</v>
      </c>
      <c r="D449" s="41" t="s">
        <v>4640</v>
      </c>
      <c r="E449" s="41" t="s">
        <v>334</v>
      </c>
      <c r="F449" s="41" t="s">
        <v>4946</v>
      </c>
      <c r="G449" s="41" t="s">
        <v>66</v>
      </c>
      <c r="H449" s="8" t="s">
        <v>67</v>
      </c>
      <c r="I449" s="70"/>
      <c r="J449" s="70"/>
      <c r="K449" s="41" t="s">
        <v>49</v>
      </c>
      <c r="L449" s="41" t="s">
        <v>128</v>
      </c>
      <c r="M449" s="10" t="s">
        <v>4947</v>
      </c>
      <c r="N449" s="8"/>
      <c r="O449" s="1"/>
    </row>
    <row r="450" spans="1:15" ht="36.6" hidden="1" customHeight="1">
      <c r="A450" s="10">
        <v>1</v>
      </c>
      <c r="B450" s="33" t="s">
        <v>4917</v>
      </c>
      <c r="C450" s="41" t="s">
        <v>93</v>
      </c>
      <c r="D450" s="41" t="s">
        <v>4948</v>
      </c>
      <c r="E450" s="41" t="s">
        <v>186</v>
      </c>
      <c r="F450" s="41" t="s">
        <v>4949</v>
      </c>
      <c r="G450" s="41" t="s">
        <v>66</v>
      </c>
      <c r="H450" s="8" t="s">
        <v>67</v>
      </c>
      <c r="I450" s="70"/>
      <c r="J450" s="70"/>
      <c r="K450" s="41" t="s">
        <v>49</v>
      </c>
      <c r="L450" s="41"/>
      <c r="M450" s="10" t="s">
        <v>4950</v>
      </c>
      <c r="N450" s="8"/>
      <c r="O450" s="1"/>
    </row>
    <row r="451" spans="1:15" ht="36.6" hidden="1" customHeight="1">
      <c r="A451" s="10">
        <v>1</v>
      </c>
      <c r="B451" s="33" t="s">
        <v>4917</v>
      </c>
      <c r="C451" s="41" t="s">
        <v>93</v>
      </c>
      <c r="D451" s="41" t="s">
        <v>4951</v>
      </c>
      <c r="E451" s="41" t="s">
        <v>407</v>
      </c>
      <c r="F451" s="41" t="s">
        <v>4952</v>
      </c>
      <c r="G451" s="41" t="s">
        <v>66</v>
      </c>
      <c r="H451" s="8" t="s">
        <v>67</v>
      </c>
      <c r="I451" s="70"/>
      <c r="J451" s="70"/>
      <c r="K451" s="41" t="s">
        <v>49</v>
      </c>
      <c r="L451" s="41"/>
      <c r="M451" s="10" t="s">
        <v>4953</v>
      </c>
      <c r="N451" s="8"/>
      <c r="O451" s="1"/>
    </row>
    <row r="452" spans="1:15" ht="36.6" customHeight="1">
      <c r="A452" s="10">
        <v>1</v>
      </c>
      <c r="B452" s="33" t="s">
        <v>4917</v>
      </c>
      <c r="C452" s="41" t="s">
        <v>28</v>
      </c>
      <c r="D452" s="41" t="s">
        <v>4954</v>
      </c>
      <c r="E452" s="41" t="s">
        <v>238</v>
      </c>
      <c r="F452" s="41" t="s">
        <v>4955</v>
      </c>
      <c r="G452" s="41" t="s">
        <v>238</v>
      </c>
      <c r="H452" s="8" t="s">
        <v>47</v>
      </c>
      <c r="I452" s="70"/>
      <c r="J452" s="70"/>
      <c r="K452" s="41" t="s">
        <v>49</v>
      </c>
      <c r="L452" s="41" t="s">
        <v>56</v>
      </c>
      <c r="M452" s="10" t="s">
        <v>4956</v>
      </c>
      <c r="N452" s="8"/>
      <c r="O452" s="1"/>
    </row>
    <row r="453" spans="1:15" ht="36.6" customHeight="1">
      <c r="A453" s="10">
        <v>1</v>
      </c>
      <c r="B453" s="33" t="s">
        <v>4917</v>
      </c>
      <c r="C453" s="41" t="s">
        <v>28</v>
      </c>
      <c r="D453" s="41" t="s">
        <v>4957</v>
      </c>
      <c r="E453" s="41" t="s">
        <v>838</v>
      </c>
      <c r="F453" s="41" t="s">
        <v>4958</v>
      </c>
      <c r="G453" s="41" t="s">
        <v>79</v>
      </c>
      <c r="H453" s="8" t="s">
        <v>47</v>
      </c>
      <c r="I453" s="70"/>
      <c r="J453" s="70"/>
      <c r="K453" s="41" t="s">
        <v>49</v>
      </c>
      <c r="L453" s="41" t="s">
        <v>61</v>
      </c>
      <c r="M453" s="10" t="s">
        <v>4959</v>
      </c>
      <c r="N453" s="8"/>
      <c r="O453" s="1"/>
    </row>
    <row r="454" spans="1:15" ht="36.6" customHeight="1">
      <c r="A454" s="10">
        <v>1</v>
      </c>
      <c r="B454" s="33" t="s">
        <v>4917</v>
      </c>
      <c r="C454" s="41" t="s">
        <v>28</v>
      </c>
      <c r="D454" s="41" t="s">
        <v>4960</v>
      </c>
      <c r="E454" s="41" t="s">
        <v>1013</v>
      </c>
      <c r="F454" s="41" t="s">
        <v>4961</v>
      </c>
      <c r="G454" s="41" t="s">
        <v>85</v>
      </c>
      <c r="H454" s="8" t="s">
        <v>33</v>
      </c>
      <c r="I454" s="70"/>
      <c r="J454" s="70"/>
      <c r="K454" s="41" t="s">
        <v>49</v>
      </c>
      <c r="L454" s="41" t="s">
        <v>56</v>
      </c>
      <c r="M454" s="10" t="s">
        <v>4962</v>
      </c>
      <c r="N454" s="8"/>
      <c r="O454" s="1"/>
    </row>
    <row r="455" spans="1:15" ht="36.6" hidden="1" customHeight="1">
      <c r="A455" s="10">
        <v>1</v>
      </c>
      <c r="B455" s="33" t="s">
        <v>2062</v>
      </c>
      <c r="C455" s="41" t="s">
        <v>93</v>
      </c>
      <c r="D455" s="41" t="s">
        <v>4963</v>
      </c>
      <c r="E455" s="41" t="s">
        <v>292</v>
      </c>
      <c r="F455" s="41">
        <v>51989722820</v>
      </c>
      <c r="G455" s="41" t="s">
        <v>41</v>
      </c>
      <c r="H455" s="8" t="s">
        <v>33</v>
      </c>
      <c r="I455" s="70"/>
      <c r="J455" s="70"/>
      <c r="K455" s="41" t="s">
        <v>55</v>
      </c>
      <c r="L455" s="41"/>
      <c r="M455" s="10" t="s">
        <v>4964</v>
      </c>
      <c r="N455" s="8"/>
      <c r="O455" s="1"/>
    </row>
    <row r="456" spans="1:15" ht="36.6" hidden="1" customHeight="1">
      <c r="A456" s="10">
        <v>1</v>
      </c>
      <c r="B456" s="33" t="s">
        <v>2062</v>
      </c>
      <c r="C456" s="41" t="s">
        <v>93</v>
      </c>
      <c r="D456" s="41" t="s">
        <v>4965</v>
      </c>
      <c r="E456" s="41" t="s">
        <v>2563</v>
      </c>
      <c r="F456" s="41">
        <v>51980189329</v>
      </c>
      <c r="G456" s="41" t="s">
        <v>147</v>
      </c>
      <c r="H456" s="8" t="s">
        <v>33</v>
      </c>
      <c r="I456" s="70"/>
      <c r="J456" s="70"/>
      <c r="K456" s="41" t="s">
        <v>55</v>
      </c>
      <c r="L456" s="41"/>
      <c r="M456" s="10" t="s">
        <v>4966</v>
      </c>
      <c r="N456" s="8"/>
      <c r="O456" s="1"/>
    </row>
    <row r="457" spans="1:15" ht="36.6" customHeight="1">
      <c r="A457" s="10">
        <v>1</v>
      </c>
      <c r="B457" s="33" t="s">
        <v>2062</v>
      </c>
      <c r="C457" s="41" t="s">
        <v>28</v>
      </c>
      <c r="D457" s="41" t="s">
        <v>4967</v>
      </c>
      <c r="E457" s="41" t="s">
        <v>4968</v>
      </c>
      <c r="F457" s="41" t="s">
        <v>4969</v>
      </c>
      <c r="G457" s="41" t="s">
        <v>4653</v>
      </c>
      <c r="H457" s="8" t="s">
        <v>33</v>
      </c>
      <c r="I457" s="70"/>
      <c r="J457" s="70"/>
      <c r="K457" s="41" t="s">
        <v>2050</v>
      </c>
      <c r="L457" s="41" t="s">
        <v>61</v>
      </c>
      <c r="M457" s="10" t="s">
        <v>4970</v>
      </c>
      <c r="N457" s="8"/>
      <c r="O457" s="1"/>
    </row>
    <row r="458" spans="1:15" ht="36.6" hidden="1" customHeight="1">
      <c r="A458" s="10">
        <v>1</v>
      </c>
      <c r="B458" s="33" t="s">
        <v>2062</v>
      </c>
      <c r="C458" s="41" t="s">
        <v>93</v>
      </c>
      <c r="D458" s="41" t="s">
        <v>4971</v>
      </c>
      <c r="E458" s="41" t="s">
        <v>39</v>
      </c>
      <c r="F458" s="41">
        <v>51999859991</v>
      </c>
      <c r="G458" s="41" t="s">
        <v>41</v>
      </c>
      <c r="H458" s="8" t="s">
        <v>33</v>
      </c>
      <c r="I458" s="70"/>
      <c r="J458" s="70"/>
      <c r="K458" s="41" t="s">
        <v>55</v>
      </c>
      <c r="L458" s="41"/>
      <c r="M458" s="10" t="s">
        <v>4972</v>
      </c>
      <c r="N458" s="8"/>
      <c r="O458" s="1"/>
    </row>
    <row r="459" spans="1:15" ht="36.6" customHeight="1">
      <c r="A459" s="10">
        <v>1</v>
      </c>
      <c r="B459" s="33" t="s">
        <v>2062</v>
      </c>
      <c r="C459" s="41" t="s">
        <v>28</v>
      </c>
      <c r="D459" s="41" t="s">
        <v>4973</v>
      </c>
      <c r="E459" s="41" t="s">
        <v>39</v>
      </c>
      <c r="F459" s="41">
        <v>51999859991</v>
      </c>
      <c r="G459" s="41" t="s">
        <v>41</v>
      </c>
      <c r="H459" s="8" t="s">
        <v>33</v>
      </c>
      <c r="I459" s="70" t="s">
        <v>54</v>
      </c>
      <c r="J459" s="70"/>
      <c r="K459" s="41" t="s">
        <v>55</v>
      </c>
      <c r="L459" s="41" t="s">
        <v>61</v>
      </c>
      <c r="M459" s="10" t="s">
        <v>4974</v>
      </c>
      <c r="N459" s="8"/>
      <c r="O459" s="1"/>
    </row>
    <row r="460" spans="1:15" ht="36.6" hidden="1" customHeight="1">
      <c r="A460" s="10">
        <v>1</v>
      </c>
      <c r="B460" s="33" t="s">
        <v>2062</v>
      </c>
      <c r="C460" s="41" t="s">
        <v>93</v>
      </c>
      <c r="D460" s="41" t="s">
        <v>4500</v>
      </c>
      <c r="E460" s="41" t="s">
        <v>39</v>
      </c>
      <c r="F460" s="41">
        <v>51994756455</v>
      </c>
      <c r="G460" s="41" t="s">
        <v>41</v>
      </c>
      <c r="H460" s="8" t="s">
        <v>33</v>
      </c>
      <c r="I460" s="70"/>
      <c r="J460" s="70"/>
      <c r="K460" s="41" t="s">
        <v>55</v>
      </c>
      <c r="L460" s="41"/>
      <c r="M460" s="10" t="s">
        <v>4358</v>
      </c>
      <c r="N460" s="8"/>
      <c r="O460" s="1"/>
    </row>
    <row r="461" spans="1:15" ht="36.6" customHeight="1">
      <c r="A461" s="10">
        <v>1</v>
      </c>
      <c r="B461" s="33" t="s">
        <v>2062</v>
      </c>
      <c r="C461" s="41" t="s">
        <v>28</v>
      </c>
      <c r="D461" s="41" t="s">
        <v>4975</v>
      </c>
      <c r="E461" s="41" t="s">
        <v>363</v>
      </c>
      <c r="F461" s="41">
        <v>51980371084</v>
      </c>
      <c r="G461" s="41" t="s">
        <v>66</v>
      </c>
      <c r="H461" s="8" t="s">
        <v>67</v>
      </c>
      <c r="I461" s="70" t="s">
        <v>2186</v>
      </c>
      <c r="J461" s="70"/>
      <c r="K461" s="41" t="s">
        <v>2050</v>
      </c>
      <c r="L461" s="41" t="s">
        <v>111</v>
      </c>
      <c r="M461" s="10" t="s">
        <v>4976</v>
      </c>
      <c r="N461" s="8"/>
      <c r="O461" s="1"/>
    </row>
    <row r="462" spans="1:15" ht="36.6" customHeight="1">
      <c r="A462" s="10">
        <v>1</v>
      </c>
      <c r="B462" s="33" t="s">
        <v>2062</v>
      </c>
      <c r="C462" s="41" t="s">
        <v>28</v>
      </c>
      <c r="D462" s="41" t="s">
        <v>1118</v>
      </c>
      <c r="E462" s="41" t="s">
        <v>145</v>
      </c>
      <c r="F462" s="41" t="s">
        <v>4977</v>
      </c>
      <c r="G462" s="41" t="s">
        <v>750</v>
      </c>
      <c r="H462" s="8" t="s">
        <v>47</v>
      </c>
      <c r="I462" s="70"/>
      <c r="J462" s="70"/>
      <c r="K462" s="41" t="s">
        <v>2050</v>
      </c>
      <c r="L462" s="41" t="s">
        <v>128</v>
      </c>
      <c r="M462" s="10" t="s">
        <v>4978</v>
      </c>
      <c r="N462" s="8"/>
      <c r="O462" s="1"/>
    </row>
    <row r="463" spans="1:15" ht="36.6" customHeight="1">
      <c r="A463" s="10">
        <v>1</v>
      </c>
      <c r="B463" s="33" t="s">
        <v>2062</v>
      </c>
      <c r="C463" s="41" t="s">
        <v>28</v>
      </c>
      <c r="D463" s="41" t="s">
        <v>4979</v>
      </c>
      <c r="E463" s="41" t="s">
        <v>270</v>
      </c>
      <c r="F463" s="41" t="s">
        <v>4980</v>
      </c>
      <c r="G463" s="41" t="s">
        <v>66</v>
      </c>
      <c r="H463" s="8" t="s">
        <v>67</v>
      </c>
      <c r="I463" s="70"/>
      <c r="J463" s="70"/>
      <c r="K463" s="41" t="s">
        <v>49</v>
      </c>
      <c r="L463" s="41" t="s">
        <v>128</v>
      </c>
      <c r="M463" s="10" t="s">
        <v>4981</v>
      </c>
      <c r="N463" s="8"/>
      <c r="O463" s="1"/>
    </row>
    <row r="464" spans="1:15" ht="36.6" hidden="1" customHeight="1">
      <c r="A464" s="10">
        <v>1</v>
      </c>
      <c r="B464" s="33" t="s">
        <v>2062</v>
      </c>
      <c r="C464" s="41" t="s">
        <v>93</v>
      </c>
      <c r="D464" s="41" t="s">
        <v>4982</v>
      </c>
      <c r="E464" s="41" t="s">
        <v>83</v>
      </c>
      <c r="F464" s="41" t="s">
        <v>4983</v>
      </c>
      <c r="G464" s="41" t="s">
        <v>85</v>
      </c>
      <c r="H464" s="8" t="s">
        <v>33</v>
      </c>
      <c r="I464" s="70"/>
      <c r="J464" s="70"/>
      <c r="K464" s="41" t="s">
        <v>49</v>
      </c>
      <c r="L464" s="41"/>
      <c r="M464" s="10" t="s">
        <v>4984</v>
      </c>
      <c r="N464" s="8"/>
      <c r="O464" s="1"/>
    </row>
    <row r="465" spans="1:15" ht="36.6" customHeight="1">
      <c r="A465" s="10">
        <v>1</v>
      </c>
      <c r="B465" s="33" t="s">
        <v>2062</v>
      </c>
      <c r="C465" s="41" t="s">
        <v>28</v>
      </c>
      <c r="D465" s="41" t="s">
        <v>4443</v>
      </c>
      <c r="E465" s="41" t="s">
        <v>2253</v>
      </c>
      <c r="F465" s="41" t="s">
        <v>4985</v>
      </c>
      <c r="G465" s="41" t="s">
        <v>395</v>
      </c>
      <c r="H465" s="8" t="s">
        <v>33</v>
      </c>
      <c r="I465" s="70" t="s">
        <v>4176</v>
      </c>
      <c r="J465" s="70"/>
      <c r="K465" s="41" t="s">
        <v>2050</v>
      </c>
      <c r="L465" s="41" t="s">
        <v>61</v>
      </c>
      <c r="M465" s="10" t="s">
        <v>4986</v>
      </c>
      <c r="N465" s="8"/>
      <c r="O465" s="1"/>
    </row>
    <row r="466" spans="1:15" ht="36.6" customHeight="1">
      <c r="A466" s="10">
        <v>1</v>
      </c>
      <c r="B466" s="33" t="s">
        <v>2062</v>
      </c>
      <c r="C466" s="41" t="s">
        <v>28</v>
      </c>
      <c r="D466" s="41" t="s">
        <v>4987</v>
      </c>
      <c r="E466" s="41" t="s">
        <v>231</v>
      </c>
      <c r="F466" s="41" t="s">
        <v>4988</v>
      </c>
      <c r="G466" s="41" t="s">
        <v>711</v>
      </c>
      <c r="H466" s="8" t="s">
        <v>33</v>
      </c>
      <c r="I466" s="70" t="s">
        <v>2938</v>
      </c>
      <c r="J466" s="70"/>
      <c r="K466" s="41" t="s">
        <v>2050</v>
      </c>
      <c r="L466" s="41" t="s">
        <v>61</v>
      </c>
      <c r="M466" s="10" t="s">
        <v>4989</v>
      </c>
      <c r="N466" s="8"/>
      <c r="O466" s="1"/>
    </row>
    <row r="467" spans="1:15" ht="36.6" customHeight="1">
      <c r="A467" s="10">
        <v>1</v>
      </c>
      <c r="B467" s="33" t="s">
        <v>2062</v>
      </c>
      <c r="C467" s="41" t="s">
        <v>28</v>
      </c>
      <c r="D467" s="41" t="s">
        <v>4990</v>
      </c>
      <c r="E467" s="41" t="s">
        <v>145</v>
      </c>
      <c r="F467" s="41" t="s">
        <v>4991</v>
      </c>
      <c r="G467" s="41" t="s">
        <v>283</v>
      </c>
      <c r="H467" s="8" t="s">
        <v>4992</v>
      </c>
      <c r="I467" s="70" t="s">
        <v>4176</v>
      </c>
      <c r="J467" s="70"/>
      <c r="K467" s="41" t="s">
        <v>49</v>
      </c>
      <c r="L467" s="41" t="s">
        <v>128</v>
      </c>
      <c r="M467" s="10" t="s">
        <v>4993</v>
      </c>
      <c r="N467" s="8"/>
      <c r="O467" s="1"/>
    </row>
    <row r="468" spans="1:15" ht="36.6" customHeight="1">
      <c r="A468" s="10">
        <v>1</v>
      </c>
      <c r="B468" s="33" t="s">
        <v>2062</v>
      </c>
      <c r="C468" s="41" t="s">
        <v>28</v>
      </c>
      <c r="D468" s="41" t="s">
        <v>4994</v>
      </c>
      <c r="E468" s="41" t="s">
        <v>893</v>
      </c>
      <c r="F468" s="41" t="s">
        <v>4995</v>
      </c>
      <c r="G468" s="41" t="s">
        <v>631</v>
      </c>
      <c r="H468" s="8" t="s">
        <v>215</v>
      </c>
      <c r="I468" s="70" t="s">
        <v>54</v>
      </c>
      <c r="J468" s="70"/>
      <c r="K468" s="41" t="s">
        <v>55</v>
      </c>
      <c r="L468" s="41" t="s">
        <v>111</v>
      </c>
      <c r="M468" s="10" t="s">
        <v>4996</v>
      </c>
      <c r="N468" s="8"/>
      <c r="O468" s="1"/>
    </row>
    <row r="469" spans="1:15" ht="36.6" customHeight="1">
      <c r="A469" s="10">
        <v>1</v>
      </c>
      <c r="B469" s="33" t="s">
        <v>2062</v>
      </c>
      <c r="C469" s="41" t="s">
        <v>28</v>
      </c>
      <c r="D469" s="41" t="s">
        <v>4997</v>
      </c>
      <c r="E469" s="41" t="s">
        <v>122</v>
      </c>
      <c r="F469" s="41" t="s">
        <v>4998</v>
      </c>
      <c r="G469" s="41" t="s">
        <v>73</v>
      </c>
      <c r="H469" s="8" t="s">
        <v>215</v>
      </c>
      <c r="I469" s="70" t="s">
        <v>2138</v>
      </c>
      <c r="J469" s="70"/>
      <c r="K469" s="41" t="s">
        <v>49</v>
      </c>
      <c r="L469" s="41" t="s">
        <v>61</v>
      </c>
      <c r="M469" s="10" t="s">
        <v>4999</v>
      </c>
      <c r="N469" s="8"/>
      <c r="O469" s="1"/>
    </row>
    <row r="470" spans="1:15" ht="36.6" customHeight="1">
      <c r="A470" s="10">
        <v>1</v>
      </c>
      <c r="B470" s="33" t="s">
        <v>2062</v>
      </c>
      <c r="C470" s="41" t="s">
        <v>28</v>
      </c>
      <c r="D470" s="41" t="s">
        <v>5000</v>
      </c>
      <c r="E470" s="41" t="s">
        <v>161</v>
      </c>
      <c r="F470" s="41" t="s">
        <v>5001</v>
      </c>
      <c r="G470" s="41" t="s">
        <v>507</v>
      </c>
      <c r="H470" s="8" t="s">
        <v>67</v>
      </c>
      <c r="I470" s="70" t="s">
        <v>2058</v>
      </c>
      <c r="J470" s="70"/>
      <c r="K470" s="41" t="s">
        <v>2050</v>
      </c>
      <c r="L470" s="41" t="s">
        <v>61</v>
      </c>
      <c r="M470" s="10" t="s">
        <v>5002</v>
      </c>
      <c r="N470" s="8"/>
      <c r="O470" s="1"/>
    </row>
    <row r="471" spans="1:15" ht="36.6" customHeight="1">
      <c r="A471" s="10">
        <v>1</v>
      </c>
      <c r="B471" s="33" t="s">
        <v>2062</v>
      </c>
      <c r="C471" s="41" t="s">
        <v>28</v>
      </c>
      <c r="D471" s="41" t="s">
        <v>5003</v>
      </c>
      <c r="E471" s="41" t="s">
        <v>39</v>
      </c>
      <c r="F471" s="41" t="s">
        <v>5004</v>
      </c>
      <c r="G471" s="41" t="s">
        <v>41</v>
      </c>
      <c r="H471" s="8" t="s">
        <v>215</v>
      </c>
      <c r="I471" s="70" t="s">
        <v>2088</v>
      </c>
      <c r="J471" s="70"/>
      <c r="K471" s="41" t="s">
        <v>49</v>
      </c>
      <c r="L471" s="41" t="s">
        <v>128</v>
      </c>
      <c r="M471" s="10" t="s">
        <v>5005</v>
      </c>
      <c r="N471" s="8"/>
      <c r="O471" s="1"/>
    </row>
    <row r="472" spans="1:15" ht="36.6" customHeight="1">
      <c r="A472" s="10">
        <v>1</v>
      </c>
      <c r="B472" s="33" t="s">
        <v>2062</v>
      </c>
      <c r="C472" s="41" t="s">
        <v>28</v>
      </c>
      <c r="D472" s="41" t="s">
        <v>5006</v>
      </c>
      <c r="E472" s="41" t="s">
        <v>292</v>
      </c>
      <c r="F472" s="41">
        <v>51995767503</v>
      </c>
      <c r="G472" s="41" t="s">
        <v>313</v>
      </c>
      <c r="H472" s="8" t="s">
        <v>33</v>
      </c>
      <c r="I472" s="70" t="s">
        <v>2088</v>
      </c>
      <c r="J472" s="70"/>
      <c r="K472" s="41" t="s">
        <v>55</v>
      </c>
      <c r="L472" s="41" t="s">
        <v>61</v>
      </c>
      <c r="M472" s="10" t="s">
        <v>5007</v>
      </c>
      <c r="N472" s="8"/>
      <c r="O472" s="1"/>
    </row>
    <row r="473" spans="1:15" ht="36.6" hidden="1" customHeight="1">
      <c r="A473" s="10">
        <v>1</v>
      </c>
      <c r="B473" s="33" t="s">
        <v>2062</v>
      </c>
      <c r="C473" s="41" t="s">
        <v>93</v>
      </c>
      <c r="D473" s="41" t="s">
        <v>5008</v>
      </c>
      <c r="E473" s="41" t="s">
        <v>174</v>
      </c>
      <c r="F473" s="41" t="s">
        <v>5009</v>
      </c>
      <c r="G473" s="41" t="s">
        <v>66</v>
      </c>
      <c r="H473" s="8" t="s">
        <v>67</v>
      </c>
      <c r="I473" s="70"/>
      <c r="J473" s="70"/>
      <c r="K473" s="41" t="s">
        <v>49</v>
      </c>
      <c r="L473" s="41"/>
      <c r="M473" s="10" t="s">
        <v>5010</v>
      </c>
      <c r="N473" s="8"/>
      <c r="O473" s="1"/>
    </row>
    <row r="474" spans="1:15" ht="36.6" customHeight="1">
      <c r="A474" s="10">
        <v>1</v>
      </c>
      <c r="B474" s="33" t="s">
        <v>2062</v>
      </c>
      <c r="C474" s="41" t="s">
        <v>28</v>
      </c>
      <c r="D474" s="41" t="s">
        <v>5011</v>
      </c>
      <c r="E474" s="41" t="s">
        <v>165</v>
      </c>
      <c r="F474" s="41" t="s">
        <v>5012</v>
      </c>
      <c r="G474" s="41" t="s">
        <v>66</v>
      </c>
      <c r="H474" s="8" t="s">
        <v>67</v>
      </c>
      <c r="I474" s="70"/>
      <c r="J474" s="70"/>
      <c r="K474" s="41" t="s">
        <v>49</v>
      </c>
      <c r="L474" s="41" t="s">
        <v>61</v>
      </c>
      <c r="M474" s="10" t="s">
        <v>5013</v>
      </c>
      <c r="N474" s="8"/>
      <c r="O474" s="1"/>
    </row>
    <row r="475" spans="1:15" ht="36.6" hidden="1" customHeight="1">
      <c r="A475" s="10">
        <v>1</v>
      </c>
      <c r="B475" s="33" t="s">
        <v>2062</v>
      </c>
      <c r="C475" s="41" t="s">
        <v>93</v>
      </c>
      <c r="D475" s="41" t="s">
        <v>5014</v>
      </c>
      <c r="E475" s="41" t="s">
        <v>334</v>
      </c>
      <c r="F475" s="41" t="s">
        <v>5015</v>
      </c>
      <c r="G475" s="41" t="s">
        <v>66</v>
      </c>
      <c r="H475" s="8" t="s">
        <v>67</v>
      </c>
      <c r="I475" s="70"/>
      <c r="J475" s="70"/>
      <c r="K475" s="41" t="s">
        <v>49</v>
      </c>
      <c r="L475" s="41"/>
      <c r="M475" s="10" t="s">
        <v>5016</v>
      </c>
      <c r="N475" s="8"/>
      <c r="O475" s="1"/>
    </row>
    <row r="476" spans="1:15" ht="36.6" hidden="1" customHeight="1">
      <c r="A476" s="10">
        <v>1</v>
      </c>
      <c r="B476" s="33" t="s">
        <v>2062</v>
      </c>
      <c r="C476" s="41" t="s">
        <v>93</v>
      </c>
      <c r="D476" s="41" t="s">
        <v>5017</v>
      </c>
      <c r="E476" s="41" t="s">
        <v>292</v>
      </c>
      <c r="F476" s="41">
        <v>51984107835</v>
      </c>
      <c r="G476" s="41" t="s">
        <v>41</v>
      </c>
      <c r="H476" s="8" t="s">
        <v>215</v>
      </c>
      <c r="I476" s="70"/>
      <c r="J476" s="70"/>
      <c r="K476" s="41" t="s">
        <v>55</v>
      </c>
      <c r="L476" s="41"/>
      <c r="M476" s="10" t="s">
        <v>5018</v>
      </c>
      <c r="N476" s="8"/>
      <c r="O476" s="1"/>
    </row>
    <row r="477" spans="1:15" ht="36.6" hidden="1" customHeight="1">
      <c r="A477" s="10">
        <v>1</v>
      </c>
      <c r="B477" s="33" t="s">
        <v>2062</v>
      </c>
      <c r="C477" s="41" t="s">
        <v>93</v>
      </c>
      <c r="D477" s="41" t="s">
        <v>5019</v>
      </c>
      <c r="E477" s="41" t="s">
        <v>454</v>
      </c>
      <c r="F477" s="41" t="s">
        <v>5020</v>
      </c>
      <c r="G477" s="41" t="s">
        <v>66</v>
      </c>
      <c r="H477" s="8" t="s">
        <v>67</v>
      </c>
      <c r="I477" s="70"/>
      <c r="J477" s="70"/>
      <c r="K477" s="41" t="s">
        <v>49</v>
      </c>
      <c r="L477" s="41"/>
      <c r="M477" s="10" t="s">
        <v>5021</v>
      </c>
      <c r="N477" s="8"/>
      <c r="O477" s="1"/>
    </row>
    <row r="478" spans="1:15" ht="36.6" customHeight="1">
      <c r="A478" s="10">
        <v>1</v>
      </c>
      <c r="B478" s="33" t="s">
        <v>2062</v>
      </c>
      <c r="C478" s="41" t="s">
        <v>28</v>
      </c>
      <c r="D478" s="41" t="s">
        <v>5022</v>
      </c>
      <c r="E478" s="41" t="s">
        <v>226</v>
      </c>
      <c r="F478" s="41" t="s">
        <v>5023</v>
      </c>
      <c r="G478" s="41" t="s">
        <v>91</v>
      </c>
      <c r="H478" s="8" t="s">
        <v>67</v>
      </c>
      <c r="I478" s="70"/>
      <c r="J478" s="70"/>
      <c r="K478" s="41" t="s">
        <v>49</v>
      </c>
      <c r="L478" s="41" t="s">
        <v>61</v>
      </c>
      <c r="M478" s="10" t="s">
        <v>5024</v>
      </c>
      <c r="N478" s="8"/>
      <c r="O478" s="1"/>
    </row>
    <row r="479" spans="1:15" ht="36.6" customHeight="1">
      <c r="A479" s="10">
        <v>1</v>
      </c>
      <c r="B479" s="33" t="s">
        <v>4176</v>
      </c>
      <c r="C479" s="41" t="s">
        <v>28</v>
      </c>
      <c r="D479" s="8" t="s">
        <v>5025</v>
      </c>
      <c r="E479" s="41" t="s">
        <v>363</v>
      </c>
      <c r="F479" s="41" t="s">
        <v>5026</v>
      </c>
      <c r="G479" s="41" t="s">
        <v>507</v>
      </c>
      <c r="H479" s="8" t="s">
        <v>67</v>
      </c>
      <c r="I479" s="70" t="s">
        <v>2068</v>
      </c>
      <c r="J479" s="70"/>
      <c r="K479" s="41" t="s">
        <v>2050</v>
      </c>
      <c r="L479" s="41" t="s">
        <v>128</v>
      </c>
      <c r="M479" s="10" t="s">
        <v>5027</v>
      </c>
      <c r="N479" s="8" t="s">
        <v>2056</v>
      </c>
      <c r="O479" s="1"/>
    </row>
    <row r="480" spans="1:15" ht="36.6" hidden="1" customHeight="1">
      <c r="A480" s="10">
        <v>1</v>
      </c>
      <c r="B480" s="33" t="s">
        <v>4176</v>
      </c>
      <c r="C480" s="41" t="s">
        <v>93</v>
      </c>
      <c r="D480" s="41" t="s">
        <v>2213</v>
      </c>
      <c r="E480" s="41" t="s">
        <v>165</v>
      </c>
      <c r="F480" s="41">
        <v>51995933942</v>
      </c>
      <c r="G480" s="41" t="s">
        <v>66</v>
      </c>
      <c r="H480" s="8" t="s">
        <v>67</v>
      </c>
      <c r="I480" s="70"/>
      <c r="J480" s="70"/>
      <c r="K480" s="41" t="s">
        <v>55</v>
      </c>
      <c r="L480" s="41"/>
      <c r="M480" s="10" t="s">
        <v>4358</v>
      </c>
      <c r="N480" s="8"/>
      <c r="O480" s="1"/>
    </row>
    <row r="481" spans="1:15" ht="36.6" customHeight="1">
      <c r="A481" s="10">
        <v>1</v>
      </c>
      <c r="B481" s="33" t="s">
        <v>4176</v>
      </c>
      <c r="C481" s="41" t="s">
        <v>28</v>
      </c>
      <c r="D481" s="41" t="s">
        <v>5028</v>
      </c>
      <c r="E481" s="41" t="s">
        <v>39</v>
      </c>
      <c r="F481" s="41" t="s">
        <v>5029</v>
      </c>
      <c r="G481" s="41" t="s">
        <v>1091</v>
      </c>
      <c r="H481" s="8" t="s">
        <v>67</v>
      </c>
      <c r="I481" s="70" t="s">
        <v>2088</v>
      </c>
      <c r="J481" s="70"/>
      <c r="K481" s="41" t="s">
        <v>2050</v>
      </c>
      <c r="L481" s="41" t="s">
        <v>128</v>
      </c>
      <c r="M481" s="10" t="s">
        <v>5030</v>
      </c>
      <c r="N481" s="8" t="s">
        <v>2056</v>
      </c>
      <c r="O481" s="1"/>
    </row>
    <row r="482" spans="1:15" ht="36.6" customHeight="1">
      <c r="A482" s="10">
        <v>1</v>
      </c>
      <c r="B482" s="33" t="s">
        <v>4176</v>
      </c>
      <c r="C482" s="41" t="s">
        <v>28</v>
      </c>
      <c r="D482" s="41" t="s">
        <v>5031</v>
      </c>
      <c r="E482" s="41" t="s">
        <v>77</v>
      </c>
      <c r="F482" s="41" t="s">
        <v>5032</v>
      </c>
      <c r="G482" s="41" t="s">
        <v>79</v>
      </c>
      <c r="H482" s="8" t="s">
        <v>47</v>
      </c>
      <c r="I482" s="70" t="s">
        <v>195</v>
      </c>
      <c r="J482" s="70"/>
      <c r="K482" s="41" t="s">
        <v>2050</v>
      </c>
      <c r="L482" s="41" t="s">
        <v>128</v>
      </c>
      <c r="M482" s="10" t="s">
        <v>5027</v>
      </c>
      <c r="N482" s="8" t="s">
        <v>2056</v>
      </c>
      <c r="O482" s="1"/>
    </row>
    <row r="483" spans="1:15" ht="36.6" customHeight="1">
      <c r="A483" s="10">
        <v>1</v>
      </c>
      <c r="B483" s="33" t="s">
        <v>4176</v>
      </c>
      <c r="C483" s="41" t="s">
        <v>28</v>
      </c>
      <c r="D483" s="41" t="s">
        <v>5033</v>
      </c>
      <c r="E483" s="41" t="s">
        <v>39</v>
      </c>
      <c r="F483" s="41">
        <v>51994756455</v>
      </c>
      <c r="G483" s="41" t="s">
        <v>41</v>
      </c>
      <c r="H483" s="8" t="s">
        <v>33</v>
      </c>
      <c r="I483" s="70" t="s">
        <v>2046</v>
      </c>
      <c r="J483" s="70"/>
      <c r="K483" s="41" t="s">
        <v>55</v>
      </c>
      <c r="L483" s="41" t="s">
        <v>61</v>
      </c>
      <c r="M483" s="10" t="s">
        <v>5034</v>
      </c>
      <c r="N483" s="8" t="s">
        <v>2056</v>
      </c>
      <c r="O483" s="1"/>
    </row>
    <row r="484" spans="1:15" ht="36.6" customHeight="1">
      <c r="A484" s="10">
        <v>1</v>
      </c>
      <c r="B484" s="33" t="s">
        <v>4176</v>
      </c>
      <c r="C484" s="41" t="s">
        <v>28</v>
      </c>
      <c r="D484" s="41" t="s">
        <v>5035</v>
      </c>
      <c r="E484" s="41" t="s">
        <v>1306</v>
      </c>
      <c r="F484" s="41" t="s">
        <v>5036</v>
      </c>
      <c r="G484" s="41" t="s">
        <v>53</v>
      </c>
      <c r="H484" s="8" t="s">
        <v>33</v>
      </c>
      <c r="I484" s="70" t="s">
        <v>2134</v>
      </c>
      <c r="J484" s="70"/>
      <c r="K484" s="41" t="s">
        <v>49</v>
      </c>
      <c r="L484" s="41" t="s">
        <v>128</v>
      </c>
      <c r="M484" s="10" t="s">
        <v>5037</v>
      </c>
      <c r="N484" s="8" t="s">
        <v>2056</v>
      </c>
      <c r="O484" s="1"/>
    </row>
    <row r="485" spans="1:15" ht="36.6" hidden="1" customHeight="1">
      <c r="A485" s="10">
        <v>1</v>
      </c>
      <c r="B485" s="33" t="s">
        <v>4176</v>
      </c>
      <c r="C485" s="41" t="s">
        <v>93</v>
      </c>
      <c r="D485" s="41" t="s">
        <v>4736</v>
      </c>
      <c r="E485" s="41" t="s">
        <v>363</v>
      </c>
      <c r="F485" s="41" t="s">
        <v>4737</v>
      </c>
      <c r="G485" s="41" t="s">
        <v>66</v>
      </c>
      <c r="H485" s="8" t="s">
        <v>67</v>
      </c>
      <c r="I485" s="70"/>
      <c r="J485" s="70"/>
      <c r="K485" s="41" t="s">
        <v>49</v>
      </c>
      <c r="L485" s="41"/>
      <c r="M485" s="10" t="s">
        <v>5038</v>
      </c>
      <c r="N485" s="8"/>
      <c r="O485" s="1"/>
    </row>
    <row r="486" spans="1:15" ht="36.6" hidden="1" customHeight="1">
      <c r="A486" s="10">
        <v>1</v>
      </c>
      <c r="B486" s="33" t="s">
        <v>4176</v>
      </c>
      <c r="C486" s="41" t="s">
        <v>93</v>
      </c>
      <c r="D486" s="41" t="s">
        <v>5039</v>
      </c>
      <c r="E486" s="41" t="s">
        <v>165</v>
      </c>
      <c r="F486" s="41" t="s">
        <v>5040</v>
      </c>
      <c r="G486" s="41" t="s">
        <v>66</v>
      </c>
      <c r="H486" s="8" t="s">
        <v>67</v>
      </c>
      <c r="I486" s="70"/>
      <c r="J486" s="70"/>
      <c r="K486" s="41" t="s">
        <v>49</v>
      </c>
      <c r="L486" s="41"/>
      <c r="M486" s="10" t="s">
        <v>5041</v>
      </c>
      <c r="N486" s="8"/>
      <c r="O486" s="1"/>
    </row>
    <row r="487" spans="1:15" ht="36.6" customHeight="1">
      <c r="A487" s="10">
        <v>1</v>
      </c>
      <c r="B487" s="33" t="s">
        <v>4176</v>
      </c>
      <c r="C487" s="41" t="s">
        <v>28</v>
      </c>
      <c r="D487" s="41" t="s">
        <v>5042</v>
      </c>
      <c r="E487" s="41" t="s">
        <v>1563</v>
      </c>
      <c r="F487" s="41" t="s">
        <v>5043</v>
      </c>
      <c r="G487" s="41" t="s">
        <v>66</v>
      </c>
      <c r="H487" s="8" t="s">
        <v>67</v>
      </c>
      <c r="I487" s="70" t="s">
        <v>2079</v>
      </c>
      <c r="J487" s="70"/>
      <c r="K487" s="41" t="s">
        <v>49</v>
      </c>
      <c r="L487" s="41" t="s">
        <v>80</v>
      </c>
      <c r="M487" s="100" t="s">
        <v>5044</v>
      </c>
      <c r="N487" s="8" t="s">
        <v>2056</v>
      </c>
      <c r="O487" s="1"/>
    </row>
    <row r="488" spans="1:15" ht="36.6" hidden="1" customHeight="1">
      <c r="A488" s="10">
        <v>1</v>
      </c>
      <c r="B488" s="33" t="s">
        <v>4176</v>
      </c>
      <c r="C488" s="41" t="s">
        <v>93</v>
      </c>
      <c r="D488" s="41" t="s">
        <v>5045</v>
      </c>
      <c r="E488" s="41" t="s">
        <v>226</v>
      </c>
      <c r="F488" s="41" t="s">
        <v>5046</v>
      </c>
      <c r="G488" s="41" t="s">
        <v>91</v>
      </c>
      <c r="H488" s="8" t="s">
        <v>67</v>
      </c>
      <c r="I488" s="70"/>
      <c r="J488" s="70"/>
      <c r="K488" s="41" t="s">
        <v>49</v>
      </c>
      <c r="L488" s="41"/>
      <c r="M488" s="10" t="s">
        <v>5047</v>
      </c>
      <c r="N488" s="8"/>
      <c r="O488" s="1"/>
    </row>
    <row r="489" spans="1:15" ht="36.6" hidden="1" customHeight="1">
      <c r="A489" s="10">
        <v>1</v>
      </c>
      <c r="B489" s="33" t="s">
        <v>4176</v>
      </c>
      <c r="C489" s="41" t="s">
        <v>93</v>
      </c>
      <c r="D489" s="41" t="s">
        <v>5048</v>
      </c>
      <c r="E489" s="41" t="s">
        <v>285</v>
      </c>
      <c r="F489" s="41" t="s">
        <v>5049</v>
      </c>
      <c r="G489" s="41" t="s">
        <v>66</v>
      </c>
      <c r="H489" s="8" t="s">
        <v>67</v>
      </c>
      <c r="I489" s="70"/>
      <c r="J489" s="70"/>
      <c r="K489" s="41" t="s">
        <v>49</v>
      </c>
      <c r="L489" s="41"/>
      <c r="M489" s="10" t="s">
        <v>5050</v>
      </c>
      <c r="N489" s="8" t="s">
        <v>2056</v>
      </c>
      <c r="O489" s="1"/>
    </row>
    <row r="490" spans="1:15" ht="36.6" hidden="1" customHeight="1">
      <c r="A490" s="10">
        <v>1</v>
      </c>
      <c r="B490" s="33" t="s">
        <v>4176</v>
      </c>
      <c r="C490" s="41" t="s">
        <v>93</v>
      </c>
      <c r="D490" s="41" t="s">
        <v>5051</v>
      </c>
      <c r="E490" s="41" t="s">
        <v>841</v>
      </c>
      <c r="F490" s="41" t="s">
        <v>5052</v>
      </c>
      <c r="G490" s="41" t="s">
        <v>501</v>
      </c>
      <c r="H490" s="8" t="s">
        <v>67</v>
      </c>
      <c r="I490" s="70"/>
      <c r="J490" s="70"/>
      <c r="K490" s="41" t="s">
        <v>2050</v>
      </c>
      <c r="L490" s="41"/>
      <c r="M490" s="10" t="s">
        <v>5053</v>
      </c>
      <c r="N490" s="8"/>
      <c r="O490" s="1"/>
    </row>
    <row r="491" spans="1:15" ht="36.6" hidden="1" customHeight="1">
      <c r="A491" s="10">
        <v>1</v>
      </c>
      <c r="B491" s="33" t="s">
        <v>4176</v>
      </c>
      <c r="C491" s="41" t="s">
        <v>93</v>
      </c>
      <c r="D491" s="41" t="s">
        <v>5054</v>
      </c>
      <c r="E491" s="41" t="s">
        <v>2071</v>
      </c>
      <c r="F491" s="41">
        <v>51996526087</v>
      </c>
      <c r="G491" s="41" t="s">
        <v>85</v>
      </c>
      <c r="H491" s="8" t="s">
        <v>33</v>
      </c>
      <c r="I491" s="70"/>
      <c r="J491" s="70"/>
      <c r="K491" s="41" t="s">
        <v>55</v>
      </c>
      <c r="L491" s="41"/>
      <c r="M491" s="10" t="s">
        <v>5055</v>
      </c>
      <c r="N491" s="8"/>
      <c r="O491" s="1"/>
    </row>
    <row r="492" spans="1:15" ht="36.6" customHeight="1">
      <c r="A492" s="10">
        <v>1</v>
      </c>
      <c r="B492" s="33" t="s">
        <v>4176</v>
      </c>
      <c r="C492" s="41" t="s">
        <v>28</v>
      </c>
      <c r="D492" s="41" t="s">
        <v>5056</v>
      </c>
      <c r="E492" s="41" t="s">
        <v>5057</v>
      </c>
      <c r="F492" s="41" t="s">
        <v>5058</v>
      </c>
      <c r="G492" s="41" t="s">
        <v>53</v>
      </c>
      <c r="H492" s="8" t="s">
        <v>33</v>
      </c>
      <c r="I492" s="70"/>
      <c r="J492" s="70"/>
      <c r="K492" s="41" t="s">
        <v>49</v>
      </c>
      <c r="L492" s="41" t="s">
        <v>35</v>
      </c>
      <c r="M492" s="10" t="s">
        <v>5059</v>
      </c>
      <c r="N492" s="8" t="s">
        <v>2056</v>
      </c>
      <c r="O492" s="1"/>
    </row>
    <row r="493" spans="1:15" ht="36.6" hidden="1" customHeight="1">
      <c r="A493" s="10">
        <v>1</v>
      </c>
      <c r="B493" s="33" t="s">
        <v>4471</v>
      </c>
      <c r="C493" s="41" t="s">
        <v>93</v>
      </c>
      <c r="D493" s="41" t="s">
        <v>811</v>
      </c>
      <c r="E493" s="41" t="s">
        <v>5060</v>
      </c>
      <c r="F493" s="41">
        <v>51995955959</v>
      </c>
      <c r="G493" s="41" t="s">
        <v>91</v>
      </c>
      <c r="H493" s="8" t="s">
        <v>67</v>
      </c>
      <c r="I493" s="70"/>
      <c r="J493" s="70"/>
      <c r="K493" s="41" t="s">
        <v>55</v>
      </c>
      <c r="L493" s="41"/>
      <c r="M493" s="10" t="s">
        <v>5061</v>
      </c>
      <c r="N493" s="8"/>
      <c r="O493" s="1"/>
    </row>
    <row r="494" spans="1:15" ht="36.6" hidden="1" customHeight="1">
      <c r="A494" s="10">
        <v>1</v>
      </c>
      <c r="B494" s="33" t="s">
        <v>4471</v>
      </c>
      <c r="C494" s="41" t="s">
        <v>93</v>
      </c>
      <c r="D494" s="41" t="s">
        <v>5062</v>
      </c>
      <c r="E494" s="41" t="s">
        <v>39</v>
      </c>
      <c r="F494" s="41" t="s">
        <v>5063</v>
      </c>
      <c r="G494" s="41" t="s">
        <v>1091</v>
      </c>
      <c r="H494" s="8" t="s">
        <v>33</v>
      </c>
      <c r="I494" s="70"/>
      <c r="J494" s="70"/>
      <c r="K494" s="41" t="s">
        <v>2050</v>
      </c>
      <c r="L494" s="41"/>
      <c r="M494" s="10" t="s">
        <v>5064</v>
      </c>
      <c r="N494" s="8"/>
      <c r="O494" s="1"/>
    </row>
    <row r="495" spans="1:15" ht="36.6" hidden="1" customHeight="1">
      <c r="A495" s="10">
        <v>1</v>
      </c>
      <c r="B495" s="33" t="s">
        <v>4471</v>
      </c>
      <c r="C495" s="41" t="s">
        <v>93</v>
      </c>
      <c r="D495" s="41" t="s">
        <v>5065</v>
      </c>
      <c r="E495" s="41" t="s">
        <v>182</v>
      </c>
      <c r="F495" s="41" t="s">
        <v>5066</v>
      </c>
      <c r="G495" s="41" t="s">
        <v>507</v>
      </c>
      <c r="H495" s="8" t="s">
        <v>67</v>
      </c>
      <c r="I495" s="70"/>
      <c r="J495" s="70"/>
      <c r="K495" s="41" t="s">
        <v>2050</v>
      </c>
      <c r="L495" s="41"/>
      <c r="M495" s="10" t="s">
        <v>5067</v>
      </c>
      <c r="N495" s="8"/>
      <c r="O495" s="1"/>
    </row>
    <row r="496" spans="1:15" ht="36.6" hidden="1" customHeight="1">
      <c r="A496" s="10">
        <v>1</v>
      </c>
      <c r="B496" s="33" t="s">
        <v>4471</v>
      </c>
      <c r="C496" s="41" t="s">
        <v>93</v>
      </c>
      <c r="D496" s="41" t="s">
        <v>5068</v>
      </c>
      <c r="E496" s="41" t="s">
        <v>841</v>
      </c>
      <c r="F496" s="41" t="s">
        <v>5069</v>
      </c>
      <c r="G496" s="41" t="s">
        <v>91</v>
      </c>
      <c r="H496" s="8" t="s">
        <v>67</v>
      </c>
      <c r="I496" s="70"/>
      <c r="J496" s="70"/>
      <c r="K496" s="41" t="s">
        <v>49</v>
      </c>
      <c r="L496" s="41"/>
      <c r="M496" s="10" t="s">
        <v>5070</v>
      </c>
      <c r="N496" s="8"/>
      <c r="O496" s="1"/>
    </row>
    <row r="497" spans="1:15" ht="36.6" customHeight="1">
      <c r="A497" s="10">
        <v>1</v>
      </c>
      <c r="B497" s="33" t="s">
        <v>4471</v>
      </c>
      <c r="C497" s="41" t="s">
        <v>28</v>
      </c>
      <c r="D497" s="41" t="s">
        <v>5071</v>
      </c>
      <c r="E497" s="41" t="s">
        <v>1013</v>
      </c>
      <c r="F497" s="41" t="s">
        <v>5072</v>
      </c>
      <c r="G497" s="41" t="s">
        <v>66</v>
      </c>
      <c r="H497" s="8" t="s">
        <v>67</v>
      </c>
      <c r="I497" s="70"/>
      <c r="J497" s="70"/>
      <c r="K497" s="41" t="s">
        <v>49</v>
      </c>
      <c r="L497" s="41" t="s">
        <v>128</v>
      </c>
      <c r="M497" s="10" t="s">
        <v>5073</v>
      </c>
      <c r="N497" s="8" t="s">
        <v>2056</v>
      </c>
      <c r="O497" s="1"/>
    </row>
    <row r="498" spans="1:15" ht="36.6" hidden="1" customHeight="1">
      <c r="A498" s="10">
        <v>1</v>
      </c>
      <c r="B498" s="33" t="s">
        <v>4471</v>
      </c>
      <c r="C498" s="41" t="s">
        <v>93</v>
      </c>
      <c r="D498" s="41" t="s">
        <v>1498</v>
      </c>
      <c r="E498" s="41" t="s">
        <v>1102</v>
      </c>
      <c r="F498" s="41" t="s">
        <v>1499</v>
      </c>
      <c r="G498" s="41" t="s">
        <v>1102</v>
      </c>
      <c r="H498" s="8" t="s">
        <v>47</v>
      </c>
      <c r="I498" s="70"/>
      <c r="J498" s="70"/>
      <c r="K498" s="41" t="s">
        <v>49</v>
      </c>
      <c r="L498" s="41"/>
      <c r="M498" s="10" t="s">
        <v>5074</v>
      </c>
      <c r="N498" s="8"/>
      <c r="O498" s="1"/>
    </row>
    <row r="499" spans="1:15" ht="36.6" hidden="1" customHeight="1">
      <c r="A499" s="10">
        <v>1</v>
      </c>
      <c r="B499" s="33" t="s">
        <v>4471</v>
      </c>
      <c r="C499" s="41" t="s">
        <v>93</v>
      </c>
      <c r="D499" s="41" t="s">
        <v>1198</v>
      </c>
      <c r="E499" s="41" t="s">
        <v>992</v>
      </c>
      <c r="F499" s="41" t="s">
        <v>1199</v>
      </c>
      <c r="G499" s="41" t="s">
        <v>66</v>
      </c>
      <c r="H499" s="8" t="s">
        <v>67</v>
      </c>
      <c r="I499" s="70"/>
      <c r="J499" s="70"/>
      <c r="K499" s="41" t="s">
        <v>49</v>
      </c>
      <c r="L499" s="41"/>
      <c r="M499" s="10" t="s">
        <v>5075</v>
      </c>
      <c r="N499" s="8"/>
      <c r="O499" s="1"/>
    </row>
    <row r="500" spans="1:15" ht="36.6" hidden="1" customHeight="1">
      <c r="A500" s="10">
        <v>1</v>
      </c>
      <c r="B500" s="33" t="s">
        <v>4471</v>
      </c>
      <c r="C500" s="41" t="s">
        <v>93</v>
      </c>
      <c r="D500" s="41" t="s">
        <v>5076</v>
      </c>
      <c r="E500" s="41" t="s">
        <v>536</v>
      </c>
      <c r="F500" s="41" t="s">
        <v>5077</v>
      </c>
      <c r="G500" s="41" t="s">
        <v>91</v>
      </c>
      <c r="H500" s="8" t="s">
        <v>67</v>
      </c>
      <c r="I500" s="70"/>
      <c r="J500" s="70"/>
      <c r="K500" s="41" t="s">
        <v>49</v>
      </c>
      <c r="L500" s="41"/>
      <c r="M500" s="10" t="s">
        <v>5078</v>
      </c>
      <c r="N500" s="8"/>
      <c r="O500" s="1"/>
    </row>
    <row r="501" spans="1:15" ht="36.6" hidden="1" customHeight="1">
      <c r="A501" s="10">
        <v>1</v>
      </c>
      <c r="B501" s="33" t="s">
        <v>4471</v>
      </c>
      <c r="C501" s="41" t="s">
        <v>93</v>
      </c>
      <c r="D501" s="41" t="s">
        <v>5079</v>
      </c>
      <c r="E501" s="41" t="s">
        <v>290</v>
      </c>
      <c r="F501" s="41" t="s">
        <v>5080</v>
      </c>
      <c r="G501" s="41" t="s">
        <v>91</v>
      </c>
      <c r="H501" s="8" t="s">
        <v>67</v>
      </c>
      <c r="I501" s="70"/>
      <c r="J501" s="70"/>
      <c r="K501" s="41" t="s">
        <v>49</v>
      </c>
      <c r="L501" s="41"/>
      <c r="M501" s="10" t="s">
        <v>5081</v>
      </c>
      <c r="N501" s="8"/>
      <c r="O501" s="1"/>
    </row>
    <row r="502" spans="1:15" ht="36.6" customHeight="1">
      <c r="A502" s="10">
        <v>1</v>
      </c>
      <c r="B502" s="33" t="s">
        <v>4471</v>
      </c>
      <c r="C502" s="41" t="s">
        <v>28</v>
      </c>
      <c r="D502" s="41" t="s">
        <v>5082</v>
      </c>
      <c r="E502" s="41" t="s">
        <v>363</v>
      </c>
      <c r="F502" s="41" t="s">
        <v>5083</v>
      </c>
      <c r="G502" s="41" t="s">
        <v>66</v>
      </c>
      <c r="H502" s="8" t="s">
        <v>67</v>
      </c>
      <c r="I502" s="70"/>
      <c r="J502" s="70"/>
      <c r="K502" s="41" t="s">
        <v>49</v>
      </c>
      <c r="L502" s="41" t="s">
        <v>128</v>
      </c>
      <c r="M502" s="10" t="s">
        <v>5084</v>
      </c>
      <c r="N502" s="8" t="s">
        <v>2056</v>
      </c>
      <c r="O502" s="1"/>
    </row>
    <row r="503" spans="1:15" ht="36.6" hidden="1" customHeight="1">
      <c r="A503" s="10">
        <v>1</v>
      </c>
      <c r="B503" s="33" t="s">
        <v>4471</v>
      </c>
      <c r="C503" s="41" t="s">
        <v>93</v>
      </c>
      <c r="D503" s="41" t="s">
        <v>5085</v>
      </c>
      <c r="E503" s="41" t="s">
        <v>5086</v>
      </c>
      <c r="F503" s="41" t="s">
        <v>5087</v>
      </c>
      <c r="G503" s="41" t="s">
        <v>79</v>
      </c>
      <c r="H503" s="8" t="s">
        <v>47</v>
      </c>
      <c r="I503" s="70"/>
      <c r="J503" s="70"/>
      <c r="K503" s="41" t="s">
        <v>49</v>
      </c>
      <c r="L503" s="41"/>
      <c r="M503" s="10" t="s">
        <v>5088</v>
      </c>
      <c r="N503" s="8"/>
      <c r="O503" s="1"/>
    </row>
    <row r="504" spans="1:15" ht="36.6" hidden="1" customHeight="1">
      <c r="A504" s="10">
        <v>1</v>
      </c>
      <c r="B504" s="33" t="s">
        <v>4471</v>
      </c>
      <c r="C504" s="41" t="s">
        <v>93</v>
      </c>
      <c r="D504" s="41" t="s">
        <v>5089</v>
      </c>
      <c r="E504" s="41" t="s">
        <v>1542</v>
      </c>
      <c r="F504" s="41" t="s">
        <v>5090</v>
      </c>
      <c r="G504" s="41" t="s">
        <v>85</v>
      </c>
      <c r="H504" s="8" t="s">
        <v>33</v>
      </c>
      <c r="I504" s="70"/>
      <c r="J504" s="70"/>
      <c r="K504" s="41" t="s">
        <v>55</v>
      </c>
      <c r="L504" s="41"/>
      <c r="M504" s="10" t="s">
        <v>5091</v>
      </c>
      <c r="N504" s="8"/>
      <c r="O504" s="1"/>
    </row>
    <row r="505" spans="1:15" ht="36.6" hidden="1" customHeight="1">
      <c r="A505" s="10">
        <v>1</v>
      </c>
      <c r="B505" s="33" t="s">
        <v>4471</v>
      </c>
      <c r="C505" s="41" t="s">
        <v>93</v>
      </c>
      <c r="D505" s="41" t="s">
        <v>5092</v>
      </c>
      <c r="E505" s="41" t="s">
        <v>1403</v>
      </c>
      <c r="F505" s="41" t="s">
        <v>5093</v>
      </c>
      <c r="G505" s="41" t="s">
        <v>66</v>
      </c>
      <c r="H505" s="8" t="s">
        <v>67</v>
      </c>
      <c r="I505" s="70"/>
      <c r="J505" s="70"/>
      <c r="K505" s="41" t="s">
        <v>49</v>
      </c>
      <c r="L505" s="41"/>
      <c r="M505" s="10" t="s">
        <v>5094</v>
      </c>
      <c r="N505" s="8"/>
      <c r="O505" s="1"/>
    </row>
    <row r="506" spans="1:15" ht="36.6" hidden="1" customHeight="1">
      <c r="A506" s="10">
        <v>1</v>
      </c>
      <c r="B506" s="33" t="s">
        <v>4471</v>
      </c>
      <c r="C506" s="41" t="s">
        <v>93</v>
      </c>
      <c r="D506" s="41" t="s">
        <v>5095</v>
      </c>
      <c r="E506" s="41" t="s">
        <v>1250</v>
      </c>
      <c r="F506" s="41" t="s">
        <v>5096</v>
      </c>
      <c r="G506" s="41" t="s">
        <v>41</v>
      </c>
      <c r="H506" s="8" t="s">
        <v>33</v>
      </c>
      <c r="I506" s="70"/>
      <c r="J506" s="70"/>
      <c r="K506" s="41" t="s">
        <v>49</v>
      </c>
      <c r="L506" s="41"/>
      <c r="M506" s="10" t="s">
        <v>5097</v>
      </c>
      <c r="N506" s="8"/>
      <c r="O506" s="1"/>
    </row>
    <row r="507" spans="1:15" ht="36.6" customHeight="1">
      <c r="A507" s="10">
        <v>1</v>
      </c>
      <c r="B507" s="33" t="s">
        <v>4471</v>
      </c>
      <c r="C507" s="41" t="s">
        <v>28</v>
      </c>
      <c r="D507" s="41" t="s">
        <v>5098</v>
      </c>
      <c r="E507" s="41" t="s">
        <v>39</v>
      </c>
      <c r="F507" s="41" t="s">
        <v>5099</v>
      </c>
      <c r="G507" s="41" t="s">
        <v>41</v>
      </c>
      <c r="H507" s="8" t="s">
        <v>33</v>
      </c>
      <c r="I507" s="70" t="s">
        <v>2088</v>
      </c>
      <c r="J507" s="70"/>
      <c r="K507" s="41" t="s">
        <v>49</v>
      </c>
      <c r="L507" s="41" t="s">
        <v>35</v>
      </c>
      <c r="M507" s="10" t="s">
        <v>5100</v>
      </c>
      <c r="N507" s="8" t="s">
        <v>2056</v>
      </c>
      <c r="O507" s="1"/>
    </row>
    <row r="508" spans="1:15" ht="36.6" hidden="1" customHeight="1">
      <c r="A508" s="10">
        <v>1</v>
      </c>
      <c r="B508" s="33" t="s">
        <v>4857</v>
      </c>
      <c r="C508" s="41" t="s">
        <v>93</v>
      </c>
      <c r="D508" s="41" t="s">
        <v>5101</v>
      </c>
      <c r="E508" s="41" t="s">
        <v>615</v>
      </c>
      <c r="F508" s="41" t="s">
        <v>2477</v>
      </c>
      <c r="G508" s="41" t="s">
        <v>507</v>
      </c>
      <c r="H508" s="8" t="s">
        <v>67</v>
      </c>
      <c r="I508" s="70"/>
      <c r="J508" s="70"/>
      <c r="K508" s="41" t="s">
        <v>2050</v>
      </c>
      <c r="L508" s="41"/>
      <c r="M508" s="10" t="s">
        <v>5102</v>
      </c>
      <c r="N508" s="8"/>
      <c r="O508" s="1"/>
    </row>
    <row r="509" spans="1:15" ht="36.6" hidden="1" customHeight="1">
      <c r="A509" s="10">
        <v>1</v>
      </c>
      <c r="B509" s="33" t="s">
        <v>4857</v>
      </c>
      <c r="C509" s="41" t="s">
        <v>93</v>
      </c>
      <c r="D509" s="41" t="s">
        <v>5103</v>
      </c>
      <c r="E509" s="41" t="s">
        <v>454</v>
      </c>
      <c r="F509" s="41" t="s">
        <v>5104</v>
      </c>
      <c r="G509" s="41" t="s">
        <v>66</v>
      </c>
      <c r="H509" s="8" t="s">
        <v>67</v>
      </c>
      <c r="I509" s="70"/>
      <c r="J509" s="70"/>
      <c r="K509" s="41" t="s">
        <v>49</v>
      </c>
      <c r="L509" s="41"/>
      <c r="M509" s="10" t="s">
        <v>5105</v>
      </c>
      <c r="N509" s="8"/>
      <c r="O509" s="1"/>
    </row>
    <row r="510" spans="1:15" ht="36.6" hidden="1" customHeight="1">
      <c r="A510" s="10">
        <v>1</v>
      </c>
      <c r="B510" s="33" t="s">
        <v>4857</v>
      </c>
      <c r="C510" s="41" t="s">
        <v>93</v>
      </c>
      <c r="D510" s="41" t="s">
        <v>5106</v>
      </c>
      <c r="E510" s="41" t="s">
        <v>145</v>
      </c>
      <c r="F510" s="41" t="s">
        <v>5107</v>
      </c>
      <c r="G510" s="41" t="s">
        <v>85</v>
      </c>
      <c r="H510" s="8" t="s">
        <v>33</v>
      </c>
      <c r="I510" s="70"/>
      <c r="J510" s="70"/>
      <c r="K510" s="41" t="s">
        <v>49</v>
      </c>
      <c r="L510" s="41"/>
      <c r="M510" s="10" t="s">
        <v>5108</v>
      </c>
      <c r="N510" s="8"/>
      <c r="O510" s="1"/>
    </row>
    <row r="511" spans="1:15" ht="36.6" hidden="1" customHeight="1">
      <c r="A511" s="10">
        <v>1</v>
      </c>
      <c r="B511" s="33" t="s">
        <v>4857</v>
      </c>
      <c r="C511" s="41" t="s">
        <v>93</v>
      </c>
      <c r="D511" s="41" t="s">
        <v>5089</v>
      </c>
      <c r="E511" s="41" t="s">
        <v>235</v>
      </c>
      <c r="F511" s="41">
        <v>51986920563</v>
      </c>
      <c r="G511" s="41" t="s">
        <v>85</v>
      </c>
      <c r="H511" s="8" t="s">
        <v>33</v>
      </c>
      <c r="I511" s="70"/>
      <c r="J511" s="70"/>
      <c r="K511" s="41" t="s">
        <v>55</v>
      </c>
      <c r="L511" s="41"/>
      <c r="M511" s="10" t="s">
        <v>5109</v>
      </c>
      <c r="N511" s="8"/>
      <c r="O511" s="1"/>
    </row>
    <row r="512" spans="1:15" ht="36.6" customHeight="1">
      <c r="A512" s="10">
        <v>1</v>
      </c>
      <c r="B512" s="33" t="s">
        <v>4857</v>
      </c>
      <c r="C512" s="41" t="s">
        <v>28</v>
      </c>
      <c r="D512" s="41" t="s">
        <v>4760</v>
      </c>
      <c r="E512" s="41" t="s">
        <v>39</v>
      </c>
      <c r="F512" s="41">
        <v>51991906320</v>
      </c>
      <c r="G512" s="41" t="s">
        <v>41</v>
      </c>
      <c r="H512" s="8" t="s">
        <v>33</v>
      </c>
      <c r="I512" s="70" t="s">
        <v>54</v>
      </c>
      <c r="J512" s="70"/>
      <c r="K512" s="41" t="s">
        <v>55</v>
      </c>
      <c r="L512" s="41" t="s">
        <v>61</v>
      </c>
      <c r="M512" s="10" t="s">
        <v>5110</v>
      </c>
      <c r="N512" s="8" t="s">
        <v>2056</v>
      </c>
      <c r="O512" s="1"/>
    </row>
    <row r="513" spans="1:15" ht="36.6" hidden="1" customHeight="1">
      <c r="A513" s="10">
        <v>1</v>
      </c>
      <c r="B513" s="33" t="s">
        <v>4857</v>
      </c>
      <c r="C513" s="41" t="s">
        <v>93</v>
      </c>
      <c r="D513" s="41" t="s">
        <v>370</v>
      </c>
      <c r="E513" s="41" t="s">
        <v>608</v>
      </c>
      <c r="F513" s="41">
        <v>51996851215</v>
      </c>
      <c r="G513" s="41" t="s">
        <v>5111</v>
      </c>
      <c r="H513" s="8" t="s">
        <v>67</v>
      </c>
      <c r="I513" s="70"/>
      <c r="J513" s="70"/>
      <c r="K513" s="41" t="s">
        <v>55</v>
      </c>
      <c r="L513" s="41"/>
      <c r="M513" s="10" t="s">
        <v>5112</v>
      </c>
      <c r="N513" s="8"/>
      <c r="O513" s="1"/>
    </row>
    <row r="514" spans="1:15" ht="36.6" hidden="1" customHeight="1">
      <c r="A514" s="10">
        <v>1</v>
      </c>
      <c r="B514" s="33" t="s">
        <v>4857</v>
      </c>
      <c r="C514" s="41" t="s">
        <v>93</v>
      </c>
      <c r="D514" s="41" t="s">
        <v>5113</v>
      </c>
      <c r="E514" s="41" t="s">
        <v>5114</v>
      </c>
      <c r="F514" s="41" t="s">
        <v>5115</v>
      </c>
      <c r="G514" s="41" t="s">
        <v>4791</v>
      </c>
      <c r="H514" s="8" t="s">
        <v>47</v>
      </c>
      <c r="I514" s="70"/>
      <c r="J514" s="70"/>
      <c r="K514" s="41" t="s">
        <v>2050</v>
      </c>
      <c r="L514" s="41"/>
      <c r="M514" s="10" t="s">
        <v>5116</v>
      </c>
      <c r="N514" s="8"/>
      <c r="O514" s="1"/>
    </row>
    <row r="515" spans="1:15" ht="36.6" hidden="1" customHeight="1">
      <c r="A515" s="10">
        <v>1</v>
      </c>
      <c r="B515" s="33" t="s">
        <v>4857</v>
      </c>
      <c r="C515" s="41" t="s">
        <v>93</v>
      </c>
      <c r="D515" s="41" t="s">
        <v>5117</v>
      </c>
      <c r="E515" s="41" t="s">
        <v>446</v>
      </c>
      <c r="F515" s="41" t="s">
        <v>5118</v>
      </c>
      <c r="G515" s="41" t="s">
        <v>66</v>
      </c>
      <c r="H515" s="8" t="s">
        <v>67</v>
      </c>
      <c r="I515" s="70"/>
      <c r="J515" s="70"/>
      <c r="K515" s="41" t="s">
        <v>49</v>
      </c>
      <c r="L515" s="41"/>
      <c r="M515" s="10" t="s">
        <v>5119</v>
      </c>
      <c r="N515" s="8"/>
      <c r="O515" s="1"/>
    </row>
    <row r="516" spans="1:15" ht="36.6" hidden="1" customHeight="1">
      <c r="A516" s="10">
        <v>1</v>
      </c>
      <c r="B516" s="33" t="s">
        <v>4857</v>
      </c>
      <c r="C516" s="41" t="s">
        <v>93</v>
      </c>
      <c r="D516" s="41" t="s">
        <v>5120</v>
      </c>
      <c r="E516" s="41" t="s">
        <v>552</v>
      </c>
      <c r="F516" s="41">
        <v>51985801284</v>
      </c>
      <c r="G516" s="41" t="s">
        <v>91</v>
      </c>
      <c r="H516" s="8" t="s">
        <v>67</v>
      </c>
      <c r="I516" s="70"/>
      <c r="J516" s="70"/>
      <c r="K516" s="41" t="s">
        <v>55</v>
      </c>
      <c r="L516" s="41"/>
      <c r="M516" s="10" t="s">
        <v>5121</v>
      </c>
      <c r="N516" s="8"/>
      <c r="O516" s="1"/>
    </row>
    <row r="517" spans="1:15" ht="36.6" hidden="1" customHeight="1">
      <c r="A517" s="10">
        <v>1</v>
      </c>
      <c r="B517" s="33" t="s">
        <v>4857</v>
      </c>
      <c r="C517" s="41" t="s">
        <v>93</v>
      </c>
      <c r="D517" s="41" t="s">
        <v>5122</v>
      </c>
      <c r="E517" s="41" t="s">
        <v>296</v>
      </c>
      <c r="F517" s="41">
        <v>51981500300</v>
      </c>
      <c r="G517" s="41" t="s">
        <v>66</v>
      </c>
      <c r="H517" s="8" t="s">
        <v>67</v>
      </c>
      <c r="I517" s="70"/>
      <c r="J517" s="70"/>
      <c r="K517" s="41" t="s">
        <v>55</v>
      </c>
      <c r="L517" s="41"/>
      <c r="M517" s="10" t="s">
        <v>5123</v>
      </c>
      <c r="N517" s="8"/>
      <c r="O517" s="1"/>
    </row>
    <row r="518" spans="1:15" ht="36.6" hidden="1" customHeight="1">
      <c r="A518" s="10">
        <v>1</v>
      </c>
      <c r="B518" s="33" t="s">
        <v>4857</v>
      </c>
      <c r="C518" s="41" t="s">
        <v>93</v>
      </c>
      <c r="D518" s="41" t="s">
        <v>5124</v>
      </c>
      <c r="E518" s="41" t="s">
        <v>145</v>
      </c>
      <c r="F518" s="41" t="s">
        <v>5125</v>
      </c>
      <c r="G518" s="41" t="s">
        <v>310</v>
      </c>
      <c r="H518" s="8" t="s">
        <v>47</v>
      </c>
      <c r="I518" s="70"/>
      <c r="J518" s="70"/>
      <c r="K518" s="41" t="s">
        <v>55</v>
      </c>
      <c r="L518" s="41"/>
      <c r="M518" s="10" t="s">
        <v>4972</v>
      </c>
      <c r="N518" s="8"/>
      <c r="O518" s="1"/>
    </row>
    <row r="519" spans="1:15" ht="36.6" hidden="1" customHeight="1">
      <c r="A519" s="10">
        <v>1</v>
      </c>
      <c r="B519" s="33" t="s">
        <v>5126</v>
      </c>
      <c r="C519" s="41" t="s">
        <v>93</v>
      </c>
      <c r="D519" s="41" t="s">
        <v>370</v>
      </c>
      <c r="E519" s="41" t="s">
        <v>296</v>
      </c>
      <c r="F519" s="41">
        <v>51996851215</v>
      </c>
      <c r="G519" s="41" t="s">
        <v>66</v>
      </c>
      <c r="H519" s="8" t="s">
        <v>67</v>
      </c>
      <c r="I519" s="70"/>
      <c r="J519" s="70"/>
      <c r="K519" s="41" t="s">
        <v>55</v>
      </c>
      <c r="L519" s="41"/>
      <c r="M519" s="10" t="s">
        <v>5127</v>
      </c>
      <c r="N519" s="8"/>
      <c r="O519" s="1"/>
    </row>
    <row r="520" spans="1:15" ht="36.6" hidden="1" customHeight="1">
      <c r="A520" s="10">
        <v>1</v>
      </c>
      <c r="B520" s="33" t="s">
        <v>5126</v>
      </c>
      <c r="C520" s="41" t="s">
        <v>93</v>
      </c>
      <c r="D520" s="41" t="s">
        <v>5124</v>
      </c>
      <c r="E520" s="41" t="s">
        <v>145</v>
      </c>
      <c r="F520" s="41" t="s">
        <v>5125</v>
      </c>
      <c r="G520" s="41" t="s">
        <v>79</v>
      </c>
      <c r="H520" s="8" t="s">
        <v>47</v>
      </c>
      <c r="I520" s="70"/>
      <c r="J520" s="70"/>
      <c r="K520" s="41" t="s">
        <v>55</v>
      </c>
      <c r="L520" s="41"/>
      <c r="M520" s="10" t="s">
        <v>5128</v>
      </c>
      <c r="N520" s="8"/>
      <c r="O520" s="1"/>
    </row>
    <row r="521" spans="1:15" ht="36.6" hidden="1" customHeight="1">
      <c r="A521" s="10">
        <v>1</v>
      </c>
      <c r="B521" s="33" t="s">
        <v>5126</v>
      </c>
      <c r="C521" s="41" t="s">
        <v>93</v>
      </c>
      <c r="D521" s="41" t="s">
        <v>5129</v>
      </c>
      <c r="E521" s="41" t="s">
        <v>5130</v>
      </c>
      <c r="F521" s="41">
        <v>51981973811</v>
      </c>
      <c r="G521" s="41" t="s">
        <v>66</v>
      </c>
      <c r="H521" s="8" t="s">
        <v>67</v>
      </c>
      <c r="I521" s="70"/>
      <c r="J521" s="70"/>
      <c r="K521" s="41" t="s">
        <v>55</v>
      </c>
      <c r="L521" s="41"/>
      <c r="M521" s="10" t="s">
        <v>5131</v>
      </c>
      <c r="N521" s="8"/>
      <c r="O521" s="1"/>
    </row>
    <row r="522" spans="1:15" ht="36.6" hidden="1" customHeight="1">
      <c r="A522" s="10">
        <v>1</v>
      </c>
      <c r="B522" s="33" t="s">
        <v>5126</v>
      </c>
      <c r="C522" s="41" t="s">
        <v>93</v>
      </c>
      <c r="D522" s="41" t="s">
        <v>5132</v>
      </c>
      <c r="E522" s="41" t="s">
        <v>841</v>
      </c>
      <c r="F522" s="41">
        <v>51984316122</v>
      </c>
      <c r="G522" s="41" t="s">
        <v>91</v>
      </c>
      <c r="H522" s="8" t="s">
        <v>67</v>
      </c>
      <c r="I522" s="70"/>
      <c r="J522" s="70"/>
      <c r="K522" s="41" t="s">
        <v>55</v>
      </c>
      <c r="L522" s="41"/>
      <c r="M522" s="10" t="s">
        <v>974</v>
      </c>
      <c r="N522" s="8"/>
      <c r="O522" s="1"/>
    </row>
    <row r="523" spans="1:15" ht="36.6" hidden="1" customHeight="1">
      <c r="A523" s="10">
        <v>1</v>
      </c>
      <c r="B523" s="33" t="s">
        <v>5126</v>
      </c>
      <c r="C523" s="41" t="s">
        <v>93</v>
      </c>
      <c r="D523" s="41" t="s">
        <v>2172</v>
      </c>
      <c r="E523" s="41" t="s">
        <v>557</v>
      </c>
      <c r="F523" s="41" t="s">
        <v>2173</v>
      </c>
      <c r="G523" s="41" t="s">
        <v>2174</v>
      </c>
      <c r="H523" s="8" t="s">
        <v>33</v>
      </c>
      <c r="I523" s="70"/>
      <c r="J523" s="70"/>
      <c r="K523" s="41" t="s">
        <v>55</v>
      </c>
      <c r="L523" s="41"/>
      <c r="M523" s="10" t="s">
        <v>5133</v>
      </c>
      <c r="N523" s="8"/>
      <c r="O523" s="1"/>
    </row>
    <row r="524" spans="1:15" ht="36.6" hidden="1" customHeight="1">
      <c r="A524" s="10">
        <v>1</v>
      </c>
      <c r="B524" s="33" t="s">
        <v>5126</v>
      </c>
      <c r="C524" s="41" t="s">
        <v>93</v>
      </c>
      <c r="D524" s="41" t="s">
        <v>2070</v>
      </c>
      <c r="E524" s="41" t="s">
        <v>2071</v>
      </c>
      <c r="F524" s="41" t="s">
        <v>5134</v>
      </c>
      <c r="G524" s="41" t="s">
        <v>85</v>
      </c>
      <c r="H524" s="8" t="s">
        <v>33</v>
      </c>
      <c r="I524" s="70"/>
      <c r="J524" s="70"/>
      <c r="K524" s="41" t="s">
        <v>49</v>
      </c>
      <c r="L524" s="41"/>
      <c r="M524" s="10" t="s">
        <v>5135</v>
      </c>
      <c r="N524" s="8"/>
      <c r="O524" s="1"/>
    </row>
    <row r="525" spans="1:15" ht="36.6" hidden="1" customHeight="1">
      <c r="A525" s="10">
        <v>1</v>
      </c>
      <c r="B525" s="33" t="s">
        <v>5126</v>
      </c>
      <c r="C525" s="41" t="s">
        <v>93</v>
      </c>
      <c r="D525" s="41" t="s">
        <v>5136</v>
      </c>
      <c r="E525" s="41" t="s">
        <v>3392</v>
      </c>
      <c r="F525" s="41">
        <v>51996522208</v>
      </c>
      <c r="G525" s="41" t="s">
        <v>85</v>
      </c>
      <c r="H525" s="8" t="s">
        <v>33</v>
      </c>
      <c r="I525" s="70"/>
      <c r="J525" s="70"/>
      <c r="K525" s="41" t="s">
        <v>55</v>
      </c>
      <c r="L525" s="41"/>
      <c r="M525" s="10" t="s">
        <v>5137</v>
      </c>
      <c r="N525" s="8"/>
      <c r="O525" s="1"/>
    </row>
    <row r="526" spans="1:15" ht="36.6" hidden="1" customHeight="1">
      <c r="A526" s="10">
        <v>1</v>
      </c>
      <c r="B526" s="33" t="s">
        <v>5126</v>
      </c>
      <c r="C526" s="41" t="s">
        <v>93</v>
      </c>
      <c r="D526" s="41" t="s">
        <v>2968</v>
      </c>
      <c r="E526" s="41" t="s">
        <v>39</v>
      </c>
      <c r="F526" s="41" t="s">
        <v>3357</v>
      </c>
      <c r="G526" s="41" t="s">
        <v>41</v>
      </c>
      <c r="H526" s="8" t="s">
        <v>33</v>
      </c>
      <c r="I526" s="70"/>
      <c r="J526" s="70"/>
      <c r="K526" s="41" t="s">
        <v>49</v>
      </c>
      <c r="L526" s="41"/>
      <c r="M526" s="10" t="s">
        <v>5138</v>
      </c>
      <c r="N526" s="8"/>
      <c r="O526" s="1"/>
    </row>
    <row r="527" spans="1:15" ht="36.6" hidden="1" customHeight="1">
      <c r="A527" s="10">
        <v>1</v>
      </c>
      <c r="B527" s="33" t="s">
        <v>5126</v>
      </c>
      <c r="C527" s="41" t="s">
        <v>93</v>
      </c>
      <c r="D527" s="41" t="s">
        <v>5139</v>
      </c>
      <c r="E527" s="41" t="s">
        <v>2177</v>
      </c>
      <c r="F527" s="41">
        <v>48996719219</v>
      </c>
      <c r="G527" s="41" t="s">
        <v>756</v>
      </c>
      <c r="H527" s="8" t="s">
        <v>67</v>
      </c>
      <c r="I527" s="70"/>
      <c r="J527" s="70"/>
      <c r="K527" s="41" t="s">
        <v>55</v>
      </c>
      <c r="L527" s="41"/>
      <c r="M527" s="10" t="s">
        <v>5140</v>
      </c>
      <c r="N527" s="8"/>
      <c r="O527" s="1"/>
    </row>
    <row r="528" spans="1:15" ht="36.6" hidden="1" customHeight="1">
      <c r="A528" s="10">
        <v>1</v>
      </c>
      <c r="B528" s="33" t="s">
        <v>5126</v>
      </c>
      <c r="C528" s="41" t="s">
        <v>93</v>
      </c>
      <c r="D528" s="41" t="s">
        <v>5141</v>
      </c>
      <c r="E528" s="41" t="s">
        <v>619</v>
      </c>
      <c r="F528" s="41" t="s">
        <v>5142</v>
      </c>
      <c r="G528" s="41" t="s">
        <v>66</v>
      </c>
      <c r="H528" s="8" t="s">
        <v>67</v>
      </c>
      <c r="I528" s="70"/>
      <c r="J528" s="70"/>
      <c r="K528" s="41" t="s">
        <v>49</v>
      </c>
      <c r="L528" s="41"/>
      <c r="M528" s="10" t="s">
        <v>5143</v>
      </c>
      <c r="N528" s="8"/>
      <c r="O528" s="1"/>
    </row>
    <row r="529" spans="1:15" ht="36.6" hidden="1" customHeight="1">
      <c r="A529" s="10">
        <v>1</v>
      </c>
      <c r="B529" s="33" t="s">
        <v>5126</v>
      </c>
      <c r="C529" s="41" t="s">
        <v>93</v>
      </c>
      <c r="D529" s="41" t="s">
        <v>5144</v>
      </c>
      <c r="E529" s="41" t="s">
        <v>1474</v>
      </c>
      <c r="F529" s="41" t="s">
        <v>5145</v>
      </c>
      <c r="G529" s="41" t="s">
        <v>559</v>
      </c>
      <c r="H529" s="8" t="s">
        <v>33</v>
      </c>
      <c r="I529" s="70"/>
      <c r="J529" s="70"/>
      <c r="K529" s="41" t="s">
        <v>2050</v>
      </c>
      <c r="L529" s="41"/>
      <c r="M529" s="10" t="s">
        <v>5146</v>
      </c>
      <c r="N529" s="8"/>
      <c r="O529" s="1"/>
    </row>
    <row r="530" spans="1:15" ht="36.6" hidden="1" customHeight="1">
      <c r="A530" s="10">
        <v>1</v>
      </c>
      <c r="B530" s="33" t="s">
        <v>5126</v>
      </c>
      <c r="C530" s="41" t="s">
        <v>93</v>
      </c>
      <c r="D530" s="41" t="s">
        <v>5147</v>
      </c>
      <c r="E530" s="41" t="s">
        <v>290</v>
      </c>
      <c r="F530" s="41" t="s">
        <v>5148</v>
      </c>
      <c r="G530" s="41" t="s">
        <v>91</v>
      </c>
      <c r="H530" s="8" t="s">
        <v>67</v>
      </c>
      <c r="I530" s="70"/>
      <c r="J530" s="70"/>
      <c r="K530" s="41" t="s">
        <v>49</v>
      </c>
      <c r="L530" s="41"/>
      <c r="M530" s="10" t="s">
        <v>5149</v>
      </c>
      <c r="N530" s="8"/>
      <c r="O530" s="1"/>
    </row>
    <row r="531" spans="1:15" ht="36.6" hidden="1" customHeight="1">
      <c r="A531" s="10">
        <v>1</v>
      </c>
      <c r="B531" s="33" t="s">
        <v>2178</v>
      </c>
      <c r="C531" s="41" t="s">
        <v>93</v>
      </c>
      <c r="D531" s="41" t="s">
        <v>5150</v>
      </c>
      <c r="E531" s="41" t="s">
        <v>619</v>
      </c>
      <c r="F531" s="41" t="s">
        <v>5151</v>
      </c>
      <c r="G531" s="41" t="s">
        <v>66</v>
      </c>
      <c r="H531" s="8" t="s">
        <v>67</v>
      </c>
      <c r="I531" s="70"/>
      <c r="J531" s="70"/>
      <c r="K531" s="41" t="s">
        <v>49</v>
      </c>
      <c r="L531" s="41"/>
      <c r="M531" s="10" t="s">
        <v>5152</v>
      </c>
      <c r="N531" s="8"/>
      <c r="O531" s="1"/>
    </row>
    <row r="532" spans="1:15" ht="36.6" hidden="1" customHeight="1">
      <c r="A532" s="10">
        <v>1</v>
      </c>
      <c r="B532" s="33" t="s">
        <v>2178</v>
      </c>
      <c r="C532" s="41" t="s">
        <v>93</v>
      </c>
      <c r="D532" s="41" t="s">
        <v>5153</v>
      </c>
      <c r="E532" s="41" t="s">
        <v>817</v>
      </c>
      <c r="F532" s="41" t="s">
        <v>5154</v>
      </c>
      <c r="G532" s="41" t="s">
        <v>41</v>
      </c>
      <c r="H532" s="8" t="s">
        <v>67</v>
      </c>
      <c r="I532" s="70"/>
      <c r="J532" s="70"/>
      <c r="K532" s="41" t="s">
        <v>49</v>
      </c>
      <c r="L532" s="41"/>
      <c r="M532" s="10" t="s">
        <v>5155</v>
      </c>
      <c r="N532" s="8"/>
      <c r="O532" s="1"/>
    </row>
    <row r="533" spans="1:15" ht="36.6" hidden="1" customHeight="1">
      <c r="A533" s="10">
        <v>1</v>
      </c>
      <c r="B533" s="33" t="s">
        <v>2178</v>
      </c>
      <c r="C533" s="41" t="s">
        <v>93</v>
      </c>
      <c r="D533" s="41" t="s">
        <v>5156</v>
      </c>
      <c r="E533" s="41" t="s">
        <v>1134</v>
      </c>
      <c r="F533" s="41" t="s">
        <v>5157</v>
      </c>
      <c r="G533" s="41" t="s">
        <v>41</v>
      </c>
      <c r="H533" s="8" t="s">
        <v>33</v>
      </c>
      <c r="I533" s="70"/>
      <c r="J533" s="70"/>
      <c r="K533" s="41" t="s">
        <v>49</v>
      </c>
      <c r="L533" s="41"/>
      <c r="M533" s="10" t="s">
        <v>5158</v>
      </c>
      <c r="N533" s="8"/>
      <c r="O533" s="1"/>
    </row>
    <row r="534" spans="1:15" ht="36.6" hidden="1" customHeight="1">
      <c r="A534" s="10">
        <v>1</v>
      </c>
      <c r="B534" s="33" t="s">
        <v>2178</v>
      </c>
      <c r="C534" s="41" t="s">
        <v>93</v>
      </c>
      <c r="D534" s="41" t="s">
        <v>5159</v>
      </c>
      <c r="E534" s="41" t="s">
        <v>127</v>
      </c>
      <c r="F534" s="41" t="s">
        <v>5160</v>
      </c>
      <c r="G534" s="41" t="s">
        <v>73</v>
      </c>
      <c r="H534" s="8" t="s">
        <v>33</v>
      </c>
      <c r="I534" s="70"/>
      <c r="J534" s="70"/>
      <c r="K534" s="41" t="s">
        <v>49</v>
      </c>
      <c r="L534" s="41"/>
      <c r="M534" s="10" t="s">
        <v>5161</v>
      </c>
      <c r="N534" s="8"/>
      <c r="O534" s="1"/>
    </row>
    <row r="535" spans="1:15" ht="36.6" hidden="1" customHeight="1">
      <c r="A535" s="10">
        <v>1</v>
      </c>
      <c r="B535" s="33" t="s">
        <v>2178</v>
      </c>
      <c r="C535" s="41" t="s">
        <v>93</v>
      </c>
      <c r="D535" s="41" t="s">
        <v>5162</v>
      </c>
      <c r="E535" s="8" t="s">
        <v>5163</v>
      </c>
      <c r="F535" s="41" t="s">
        <v>5164</v>
      </c>
      <c r="G535" s="41" t="s">
        <v>79</v>
      </c>
      <c r="H535" s="8" t="s">
        <v>47</v>
      </c>
      <c r="I535" s="70"/>
      <c r="J535" s="70"/>
      <c r="K535" s="41" t="s">
        <v>49</v>
      </c>
      <c r="L535" s="41"/>
      <c r="M535" s="10" t="s">
        <v>5165</v>
      </c>
      <c r="N535" s="8"/>
      <c r="O535" s="1"/>
    </row>
    <row r="536" spans="1:15" ht="36.6" customHeight="1">
      <c r="A536" s="10">
        <v>1</v>
      </c>
      <c r="B536" s="33" t="s">
        <v>2178</v>
      </c>
      <c r="C536" s="41" t="s">
        <v>28</v>
      </c>
      <c r="D536" s="41" t="s">
        <v>5166</v>
      </c>
      <c r="E536" s="41" t="s">
        <v>438</v>
      </c>
      <c r="F536" s="41" t="s">
        <v>5167</v>
      </c>
      <c r="G536" s="41" t="s">
        <v>91</v>
      </c>
      <c r="H536" s="8" t="s">
        <v>67</v>
      </c>
      <c r="I536" s="70"/>
      <c r="J536" s="70"/>
      <c r="K536" s="41" t="s">
        <v>49</v>
      </c>
      <c r="L536" s="41" t="s">
        <v>35</v>
      </c>
      <c r="M536" s="10" t="s">
        <v>5168</v>
      </c>
      <c r="N536" s="8" t="s">
        <v>2056</v>
      </c>
      <c r="O536" s="1"/>
    </row>
    <row r="537" spans="1:15" ht="36.6" customHeight="1">
      <c r="A537" s="10">
        <v>1</v>
      </c>
      <c r="B537" s="33" t="s">
        <v>2178</v>
      </c>
      <c r="C537" s="41" t="s">
        <v>398</v>
      </c>
      <c r="D537" s="102" t="s">
        <v>5169</v>
      </c>
      <c r="E537" s="103" t="s">
        <v>290</v>
      </c>
      <c r="F537" s="102" t="s">
        <v>4264</v>
      </c>
      <c r="G537" s="102" t="s">
        <v>1570</v>
      </c>
      <c r="H537" s="8" t="s">
        <v>67</v>
      </c>
      <c r="I537" s="70"/>
      <c r="J537" s="70"/>
      <c r="K537" s="8" t="s">
        <v>3568</v>
      </c>
      <c r="L537" s="88" t="s">
        <v>4190</v>
      </c>
      <c r="M537" s="10"/>
      <c r="N537" s="8"/>
      <c r="O537" s="1"/>
    </row>
    <row r="538" spans="1:15" ht="36.6" customHeight="1">
      <c r="A538" s="10">
        <v>1</v>
      </c>
      <c r="B538" s="33" t="s">
        <v>2178</v>
      </c>
      <c r="C538" s="41" t="s">
        <v>398</v>
      </c>
      <c r="D538" s="102" t="s">
        <v>5170</v>
      </c>
      <c r="E538" s="103" t="s">
        <v>2799</v>
      </c>
      <c r="F538" s="102" t="s">
        <v>5171</v>
      </c>
      <c r="G538" s="102" t="s">
        <v>1570</v>
      </c>
      <c r="H538" s="8" t="s">
        <v>67</v>
      </c>
      <c r="I538" s="70"/>
      <c r="J538" s="70"/>
      <c r="K538" s="8" t="s">
        <v>3568</v>
      </c>
      <c r="L538" s="88" t="s">
        <v>4190</v>
      </c>
      <c r="M538" s="10"/>
      <c r="N538" s="8"/>
      <c r="O538" s="1"/>
    </row>
    <row r="539" spans="1:15" ht="36.6" customHeight="1">
      <c r="A539" s="10">
        <v>1</v>
      </c>
      <c r="B539" s="33" t="s">
        <v>2178</v>
      </c>
      <c r="C539" s="41" t="s">
        <v>398</v>
      </c>
      <c r="D539" s="102" t="s">
        <v>5172</v>
      </c>
      <c r="E539" s="103" t="s">
        <v>1443</v>
      </c>
      <c r="F539" s="102" t="s">
        <v>5173</v>
      </c>
      <c r="G539" s="102" t="s">
        <v>32</v>
      </c>
      <c r="H539" s="8" t="s">
        <v>33</v>
      </c>
      <c r="I539" s="70"/>
      <c r="J539" s="70"/>
      <c r="K539" s="8" t="s">
        <v>3568</v>
      </c>
      <c r="L539" s="88" t="s">
        <v>4190</v>
      </c>
      <c r="M539" s="10"/>
      <c r="N539" s="8"/>
      <c r="O539" s="1"/>
    </row>
    <row r="540" spans="1:15" ht="36.6" customHeight="1">
      <c r="A540" s="10">
        <v>1</v>
      </c>
      <c r="B540" s="33" t="s">
        <v>2178</v>
      </c>
      <c r="C540" s="41" t="s">
        <v>398</v>
      </c>
      <c r="D540" s="102" t="s">
        <v>5174</v>
      </c>
      <c r="E540" s="103" t="s">
        <v>363</v>
      </c>
      <c r="F540" s="102" t="s">
        <v>5175</v>
      </c>
      <c r="G540" s="102" t="s">
        <v>66</v>
      </c>
      <c r="H540" s="8" t="s">
        <v>67</v>
      </c>
      <c r="I540" s="70"/>
      <c r="J540" s="70"/>
      <c r="K540" s="8" t="s">
        <v>3568</v>
      </c>
      <c r="L540" s="88" t="s">
        <v>4190</v>
      </c>
      <c r="M540" s="10"/>
      <c r="N540" s="8"/>
      <c r="O540" s="1"/>
    </row>
    <row r="541" spans="1:15" ht="36.6" customHeight="1">
      <c r="A541" s="10">
        <v>1</v>
      </c>
      <c r="B541" s="33" t="s">
        <v>2178</v>
      </c>
      <c r="C541" s="41" t="s">
        <v>398</v>
      </c>
      <c r="D541" s="102" t="s">
        <v>5176</v>
      </c>
      <c r="E541" s="103" t="s">
        <v>1698</v>
      </c>
      <c r="F541" s="102" t="s">
        <v>5177</v>
      </c>
      <c r="G541" s="102" t="s">
        <v>1582</v>
      </c>
      <c r="H541" s="8" t="s">
        <v>47</v>
      </c>
      <c r="I541" s="70"/>
      <c r="J541" s="70"/>
      <c r="K541" s="8" t="s">
        <v>3568</v>
      </c>
      <c r="L541" s="88" t="s">
        <v>4190</v>
      </c>
      <c r="M541" s="10"/>
      <c r="N541" s="8"/>
      <c r="O541" s="1"/>
    </row>
    <row r="542" spans="1:15" ht="36.6" customHeight="1">
      <c r="A542" s="10">
        <v>1</v>
      </c>
      <c r="B542" s="33" t="s">
        <v>2178</v>
      </c>
      <c r="C542" s="41" t="s">
        <v>398</v>
      </c>
      <c r="D542" s="102" t="s">
        <v>5178</v>
      </c>
      <c r="E542" s="103" t="s">
        <v>838</v>
      </c>
      <c r="F542" s="102" t="s">
        <v>5179</v>
      </c>
      <c r="G542" s="102" t="s">
        <v>1582</v>
      </c>
      <c r="H542" s="8" t="s">
        <v>47</v>
      </c>
      <c r="I542" s="70"/>
      <c r="J542" s="70"/>
      <c r="K542" s="8" t="s">
        <v>3568</v>
      </c>
      <c r="L542" s="88" t="s">
        <v>4190</v>
      </c>
      <c r="M542" s="10"/>
      <c r="N542" s="8"/>
      <c r="O542" s="1"/>
    </row>
    <row r="543" spans="1:15" ht="36.6" customHeight="1">
      <c r="A543" s="10">
        <v>1</v>
      </c>
      <c r="B543" s="33" t="s">
        <v>2178</v>
      </c>
      <c r="C543" s="41" t="s">
        <v>398</v>
      </c>
      <c r="D543" s="102" t="s">
        <v>5180</v>
      </c>
      <c r="E543" s="103" t="s">
        <v>1612</v>
      </c>
      <c r="F543" s="102" t="s">
        <v>5181</v>
      </c>
      <c r="G543" s="102" t="s">
        <v>66</v>
      </c>
      <c r="H543" s="8" t="s">
        <v>67</v>
      </c>
      <c r="I543" s="70"/>
      <c r="J543" s="70"/>
      <c r="K543" s="8" t="s">
        <v>3568</v>
      </c>
      <c r="L543" s="88" t="s">
        <v>4190</v>
      </c>
      <c r="M543" s="10"/>
      <c r="N543" s="8"/>
      <c r="O543" s="1"/>
    </row>
    <row r="544" spans="1:15" ht="36.6" customHeight="1">
      <c r="A544" s="10">
        <v>1</v>
      </c>
      <c r="B544" s="33" t="s">
        <v>2178</v>
      </c>
      <c r="C544" s="41" t="s">
        <v>398</v>
      </c>
      <c r="D544" s="102" t="s">
        <v>5182</v>
      </c>
      <c r="E544" s="103" t="s">
        <v>47</v>
      </c>
      <c r="F544" s="102" t="s">
        <v>5183</v>
      </c>
      <c r="G544" s="102" t="s">
        <v>1582</v>
      </c>
      <c r="H544" s="8" t="s">
        <v>47</v>
      </c>
      <c r="I544" s="70"/>
      <c r="J544" s="70"/>
      <c r="K544" s="8" t="s">
        <v>3568</v>
      </c>
      <c r="L544" s="88" t="s">
        <v>4190</v>
      </c>
      <c r="M544" s="10"/>
      <c r="N544" s="8"/>
      <c r="O544" s="1"/>
    </row>
    <row r="545" spans="1:15" ht="36.6" customHeight="1">
      <c r="A545" s="10">
        <v>1</v>
      </c>
      <c r="B545" s="33" t="s">
        <v>2178</v>
      </c>
      <c r="C545" s="41" t="s">
        <v>398</v>
      </c>
      <c r="D545" s="102" t="s">
        <v>5184</v>
      </c>
      <c r="E545" s="103" t="s">
        <v>1870</v>
      </c>
      <c r="F545" s="102" t="s">
        <v>5185</v>
      </c>
      <c r="G545" s="102" t="s">
        <v>66</v>
      </c>
      <c r="H545" s="8" t="s">
        <v>67</v>
      </c>
      <c r="I545" s="70"/>
      <c r="J545" s="70"/>
      <c r="K545" s="8" t="s">
        <v>3568</v>
      </c>
      <c r="L545" s="88" t="s">
        <v>4190</v>
      </c>
      <c r="M545" s="10"/>
      <c r="N545" s="8"/>
      <c r="O545" s="1"/>
    </row>
    <row r="546" spans="1:15" ht="36.6" customHeight="1">
      <c r="A546" s="10">
        <v>1</v>
      </c>
      <c r="B546" s="33" t="s">
        <v>2178</v>
      </c>
      <c r="C546" s="41" t="s">
        <v>398</v>
      </c>
      <c r="D546" s="102" t="s">
        <v>5186</v>
      </c>
      <c r="E546" s="103" t="s">
        <v>3246</v>
      </c>
      <c r="F546" s="102" t="s">
        <v>5187</v>
      </c>
      <c r="G546" s="102" t="s">
        <v>1603</v>
      </c>
      <c r="H546" s="8" t="s">
        <v>33</v>
      </c>
      <c r="I546" s="70"/>
      <c r="J546" s="70"/>
      <c r="K546" s="8" t="s">
        <v>3568</v>
      </c>
      <c r="L546" s="88" t="s">
        <v>4190</v>
      </c>
      <c r="M546" s="10"/>
      <c r="N546" s="8"/>
      <c r="O546" s="1"/>
    </row>
    <row r="547" spans="1:15" ht="36.6" customHeight="1">
      <c r="A547" s="10">
        <v>1</v>
      </c>
      <c r="B547" s="33" t="s">
        <v>2178</v>
      </c>
      <c r="C547" s="41" t="s">
        <v>398</v>
      </c>
      <c r="D547" s="102" t="s">
        <v>5188</v>
      </c>
      <c r="E547" s="103" t="s">
        <v>231</v>
      </c>
      <c r="F547" s="102" t="s">
        <v>5189</v>
      </c>
      <c r="G547" s="102" t="s">
        <v>32</v>
      </c>
      <c r="H547" s="8" t="s">
        <v>33</v>
      </c>
      <c r="I547" s="70"/>
      <c r="J547" s="70"/>
      <c r="K547" s="8" t="s">
        <v>3568</v>
      </c>
      <c r="L547" s="88" t="s">
        <v>4190</v>
      </c>
      <c r="M547" s="10"/>
      <c r="N547" s="8"/>
      <c r="O547" s="1"/>
    </row>
    <row r="548" spans="1:15" ht="36.6" customHeight="1">
      <c r="A548" s="10">
        <v>1</v>
      </c>
      <c r="B548" s="33" t="s">
        <v>2178</v>
      </c>
      <c r="C548" s="41" t="s">
        <v>398</v>
      </c>
      <c r="D548" s="102" t="s">
        <v>5190</v>
      </c>
      <c r="E548" s="103" t="s">
        <v>817</v>
      </c>
      <c r="F548" s="102" t="s">
        <v>5191</v>
      </c>
      <c r="G548" s="102" t="s">
        <v>41</v>
      </c>
      <c r="H548" s="8" t="s">
        <v>33</v>
      </c>
      <c r="I548" s="70"/>
      <c r="J548" s="70"/>
      <c r="K548" s="8" t="s">
        <v>3568</v>
      </c>
      <c r="L548" s="88" t="s">
        <v>4190</v>
      </c>
      <c r="M548" s="10"/>
      <c r="N548" s="8"/>
      <c r="O548" s="1"/>
    </row>
    <row r="549" spans="1:15" ht="36.6" customHeight="1">
      <c r="A549" s="10">
        <v>1</v>
      </c>
      <c r="B549" s="33" t="s">
        <v>2178</v>
      </c>
      <c r="C549" s="41" t="s">
        <v>398</v>
      </c>
      <c r="D549" s="102" t="s">
        <v>5192</v>
      </c>
      <c r="E549" s="103" t="s">
        <v>1612</v>
      </c>
      <c r="F549" s="102" t="s">
        <v>5193</v>
      </c>
      <c r="G549" s="102" t="s">
        <v>66</v>
      </c>
      <c r="H549" s="8" t="s">
        <v>67</v>
      </c>
      <c r="I549" s="70"/>
      <c r="J549" s="70"/>
      <c r="K549" s="8" t="s">
        <v>3568</v>
      </c>
      <c r="L549" s="88" t="s">
        <v>4190</v>
      </c>
      <c r="M549" s="10"/>
      <c r="N549" s="8"/>
      <c r="O549" s="1"/>
    </row>
    <row r="550" spans="1:15" ht="36.6" customHeight="1">
      <c r="A550" s="10">
        <v>1</v>
      </c>
      <c r="B550" s="33" t="s">
        <v>2178</v>
      </c>
      <c r="C550" s="41" t="s">
        <v>398</v>
      </c>
      <c r="D550" s="102" t="s">
        <v>5194</v>
      </c>
      <c r="E550" s="103" t="s">
        <v>5195</v>
      </c>
      <c r="F550" s="102" t="s">
        <v>5196</v>
      </c>
      <c r="G550" s="102" t="s">
        <v>32</v>
      </c>
      <c r="H550" s="8" t="s">
        <v>33</v>
      </c>
      <c r="I550" s="70"/>
      <c r="J550" s="70"/>
      <c r="K550" s="8" t="s">
        <v>3568</v>
      </c>
      <c r="L550" s="88" t="s">
        <v>4190</v>
      </c>
      <c r="M550" s="10"/>
      <c r="N550" s="8"/>
      <c r="O550" s="1"/>
    </row>
    <row r="551" spans="1:15" ht="36.6" customHeight="1">
      <c r="A551" s="10">
        <v>1</v>
      </c>
      <c r="B551" s="33" t="s">
        <v>2178</v>
      </c>
      <c r="C551" s="41" t="s">
        <v>398</v>
      </c>
      <c r="D551" s="102" t="s">
        <v>5197</v>
      </c>
      <c r="E551" s="103" t="s">
        <v>1916</v>
      </c>
      <c r="F551" s="102" t="s">
        <v>5198</v>
      </c>
      <c r="G551" s="102" t="s">
        <v>1570</v>
      </c>
      <c r="H551" s="8" t="s">
        <v>67</v>
      </c>
      <c r="I551" s="70"/>
      <c r="J551" s="70"/>
      <c r="K551" s="8" t="s">
        <v>3568</v>
      </c>
      <c r="L551" s="88" t="s">
        <v>4190</v>
      </c>
      <c r="M551" s="10"/>
      <c r="N551" s="8"/>
      <c r="O551" s="1"/>
    </row>
    <row r="552" spans="1:15" ht="36.6" customHeight="1">
      <c r="A552" s="10">
        <v>1</v>
      </c>
      <c r="B552" s="33" t="s">
        <v>2178</v>
      </c>
      <c r="C552" s="41" t="s">
        <v>398</v>
      </c>
      <c r="D552" s="102" t="s">
        <v>5199</v>
      </c>
      <c r="E552" s="103" t="s">
        <v>817</v>
      </c>
      <c r="F552" s="102" t="s">
        <v>5200</v>
      </c>
      <c r="G552" s="102" t="s">
        <v>41</v>
      </c>
      <c r="H552" s="8" t="s">
        <v>33</v>
      </c>
      <c r="I552" s="70"/>
      <c r="J552" s="70"/>
      <c r="K552" s="8" t="s">
        <v>3568</v>
      </c>
      <c r="L552" s="88" t="s">
        <v>4190</v>
      </c>
      <c r="M552" s="10"/>
      <c r="N552" s="8"/>
      <c r="O552" s="1"/>
    </row>
    <row r="553" spans="1:15" ht="36.6" customHeight="1">
      <c r="A553" s="10">
        <v>1</v>
      </c>
      <c r="B553" s="33" t="s">
        <v>2178</v>
      </c>
      <c r="C553" s="41" t="s">
        <v>398</v>
      </c>
      <c r="D553" s="102" t="s">
        <v>5201</v>
      </c>
      <c r="E553" s="103" t="s">
        <v>1605</v>
      </c>
      <c r="F553" s="102" t="s">
        <v>5202</v>
      </c>
      <c r="G553" s="102" t="s">
        <v>1582</v>
      </c>
      <c r="H553" s="8" t="s">
        <v>47</v>
      </c>
      <c r="I553" s="70"/>
      <c r="J553" s="70"/>
      <c r="K553" s="8" t="s">
        <v>3568</v>
      </c>
      <c r="L553" s="88" t="s">
        <v>4190</v>
      </c>
      <c r="M553" s="10"/>
      <c r="N553" s="8"/>
      <c r="O553" s="1"/>
    </row>
    <row r="554" spans="1:15" ht="36.6" customHeight="1">
      <c r="A554" s="10">
        <v>1</v>
      </c>
      <c r="B554" s="33" t="s">
        <v>2178</v>
      </c>
      <c r="C554" s="41" t="s">
        <v>398</v>
      </c>
      <c r="D554" s="102" t="s">
        <v>5203</v>
      </c>
      <c r="E554" s="103" t="s">
        <v>5204</v>
      </c>
      <c r="F554" s="102" t="s">
        <v>5205</v>
      </c>
      <c r="G554" s="102" t="s">
        <v>1603</v>
      </c>
      <c r="H554" s="8" t="s">
        <v>33</v>
      </c>
      <c r="I554" s="70"/>
      <c r="J554" s="70"/>
      <c r="K554" s="8" t="s">
        <v>3568</v>
      </c>
      <c r="L554" s="88" t="s">
        <v>4190</v>
      </c>
      <c r="M554" s="10"/>
      <c r="N554" s="8"/>
      <c r="O554" s="1"/>
    </row>
    <row r="555" spans="1:15" ht="36.6" customHeight="1">
      <c r="A555" s="10">
        <v>1</v>
      </c>
      <c r="B555" s="33" t="s">
        <v>2178</v>
      </c>
      <c r="C555" s="41" t="s">
        <v>398</v>
      </c>
      <c r="D555" s="102" t="s">
        <v>5206</v>
      </c>
      <c r="E555" s="103" t="s">
        <v>1661</v>
      </c>
      <c r="F555" s="102" t="s">
        <v>5207</v>
      </c>
      <c r="G555" s="102" t="s">
        <v>66</v>
      </c>
      <c r="H555" s="8" t="s">
        <v>67</v>
      </c>
      <c r="I555" s="70"/>
      <c r="J555" s="70"/>
      <c r="K555" s="8" t="s">
        <v>3568</v>
      </c>
      <c r="L555" s="88" t="s">
        <v>4190</v>
      </c>
      <c r="M555" s="10"/>
      <c r="N555" s="8"/>
      <c r="O555" s="1"/>
    </row>
    <row r="556" spans="1:15" ht="36.6" customHeight="1">
      <c r="A556" s="10">
        <v>1</v>
      </c>
      <c r="B556" s="33" t="s">
        <v>2178</v>
      </c>
      <c r="C556" s="41" t="s">
        <v>398</v>
      </c>
      <c r="D556" s="102" t="s">
        <v>5208</v>
      </c>
      <c r="E556" s="103" t="s">
        <v>5209</v>
      </c>
      <c r="F556" s="102" t="s">
        <v>5210</v>
      </c>
      <c r="G556" s="102" t="s">
        <v>1570</v>
      </c>
      <c r="H556" s="8" t="s">
        <v>67</v>
      </c>
      <c r="I556" s="70"/>
      <c r="J556" s="70"/>
      <c r="K556" s="8" t="s">
        <v>3568</v>
      </c>
      <c r="L556" s="88" t="s">
        <v>4190</v>
      </c>
      <c r="M556" s="10"/>
      <c r="N556" s="8"/>
      <c r="O556" s="1"/>
    </row>
    <row r="557" spans="1:15" ht="36.6" customHeight="1">
      <c r="A557" s="10">
        <v>1</v>
      </c>
      <c r="B557" s="33" t="s">
        <v>2178</v>
      </c>
      <c r="C557" s="41" t="s">
        <v>398</v>
      </c>
      <c r="D557" s="102" t="s">
        <v>5211</v>
      </c>
      <c r="E557" s="103" t="s">
        <v>39</v>
      </c>
      <c r="F557" s="102" t="s">
        <v>5212</v>
      </c>
      <c r="G557" s="102" t="s">
        <v>41</v>
      </c>
      <c r="H557" s="8" t="s">
        <v>33</v>
      </c>
      <c r="I557" s="70"/>
      <c r="J557" s="70"/>
      <c r="K557" s="8" t="s">
        <v>3568</v>
      </c>
      <c r="L557" s="88" t="s">
        <v>4190</v>
      </c>
      <c r="M557" s="10"/>
      <c r="N557" s="8"/>
      <c r="O557" s="1"/>
    </row>
    <row r="558" spans="1:15" ht="36.6" customHeight="1">
      <c r="A558" s="10">
        <v>1</v>
      </c>
      <c r="B558" s="33" t="s">
        <v>2178</v>
      </c>
      <c r="C558" s="41" t="s">
        <v>398</v>
      </c>
      <c r="D558" s="102" t="s">
        <v>5213</v>
      </c>
      <c r="E558" s="103" t="s">
        <v>1707</v>
      </c>
      <c r="F558" s="102" t="s">
        <v>5214</v>
      </c>
      <c r="G558" s="102" t="s">
        <v>1570</v>
      </c>
      <c r="H558" s="8" t="s">
        <v>67</v>
      </c>
      <c r="I558" s="70"/>
      <c r="J558" s="70"/>
      <c r="K558" s="8" t="s">
        <v>3568</v>
      </c>
      <c r="L558" s="88" t="s">
        <v>4190</v>
      </c>
      <c r="M558" s="10"/>
      <c r="N558" s="8"/>
      <c r="O558" s="1"/>
    </row>
    <row r="559" spans="1:15" ht="36.6" customHeight="1">
      <c r="A559" s="10">
        <v>1</v>
      </c>
      <c r="B559" s="33" t="s">
        <v>2178</v>
      </c>
      <c r="C559" s="41" t="s">
        <v>398</v>
      </c>
      <c r="D559" s="102" t="s">
        <v>5215</v>
      </c>
      <c r="E559" s="103" t="s">
        <v>315</v>
      </c>
      <c r="F559" s="102" t="s">
        <v>5216</v>
      </c>
      <c r="G559" s="102" t="s">
        <v>66</v>
      </c>
      <c r="H559" s="8" t="s">
        <v>67</v>
      </c>
      <c r="I559" s="70"/>
      <c r="J559" s="70"/>
      <c r="K559" s="8" t="s">
        <v>3568</v>
      </c>
      <c r="L559" s="88" t="s">
        <v>4190</v>
      </c>
      <c r="M559" s="10"/>
      <c r="N559" s="8"/>
      <c r="O559" s="1"/>
    </row>
    <row r="560" spans="1:15" ht="36.6" customHeight="1">
      <c r="A560" s="10">
        <v>1</v>
      </c>
      <c r="B560" s="33" t="s">
        <v>2178</v>
      </c>
      <c r="C560" s="41" t="s">
        <v>398</v>
      </c>
      <c r="D560" s="102" t="s">
        <v>5217</v>
      </c>
      <c r="E560" s="103" t="s">
        <v>64</v>
      </c>
      <c r="F560" s="102" t="s">
        <v>5218</v>
      </c>
      <c r="G560" s="102" t="s">
        <v>66</v>
      </c>
      <c r="H560" s="8" t="s">
        <v>67</v>
      </c>
      <c r="I560" s="70"/>
      <c r="J560" s="70"/>
      <c r="K560" s="8" t="s">
        <v>3568</v>
      </c>
      <c r="L560" s="88" t="s">
        <v>4190</v>
      </c>
      <c r="M560" s="10"/>
      <c r="N560" s="8"/>
      <c r="O560" s="1"/>
    </row>
    <row r="561" spans="1:15" ht="36.6" customHeight="1">
      <c r="A561" s="10">
        <v>1</v>
      </c>
      <c r="B561" s="33" t="s">
        <v>2178</v>
      </c>
      <c r="C561" s="41" t="s">
        <v>398</v>
      </c>
      <c r="D561" s="102" t="s">
        <v>5219</v>
      </c>
      <c r="E561" s="103" t="s">
        <v>226</v>
      </c>
      <c r="F561" s="102" t="s">
        <v>5220</v>
      </c>
      <c r="G561" s="102" t="s">
        <v>1570</v>
      </c>
      <c r="H561" s="8" t="s">
        <v>67</v>
      </c>
      <c r="I561" s="70"/>
      <c r="J561" s="70"/>
      <c r="K561" s="8" t="s">
        <v>3568</v>
      </c>
      <c r="L561" s="88" t="s">
        <v>4190</v>
      </c>
      <c r="M561" s="10"/>
      <c r="N561" s="8"/>
      <c r="O561" s="1"/>
    </row>
    <row r="562" spans="1:15" ht="36.6" customHeight="1">
      <c r="A562" s="10">
        <v>1</v>
      </c>
      <c r="B562" s="33" t="s">
        <v>2178</v>
      </c>
      <c r="C562" s="41" t="s">
        <v>398</v>
      </c>
      <c r="D562" s="102" t="s">
        <v>5221</v>
      </c>
      <c r="E562" s="103" t="s">
        <v>1919</v>
      </c>
      <c r="F562" s="102" t="s">
        <v>5222</v>
      </c>
      <c r="G562" s="102" t="s">
        <v>1582</v>
      </c>
      <c r="H562" s="8" t="s">
        <v>47</v>
      </c>
      <c r="I562" s="70"/>
      <c r="J562" s="70"/>
      <c r="K562" s="8" t="s">
        <v>3568</v>
      </c>
      <c r="L562" s="88" t="s">
        <v>4190</v>
      </c>
      <c r="M562" s="10"/>
      <c r="N562" s="8"/>
      <c r="O562" s="1"/>
    </row>
    <row r="563" spans="1:15" ht="36.6" customHeight="1">
      <c r="A563" s="10">
        <v>1</v>
      </c>
      <c r="B563" s="33" t="s">
        <v>2178</v>
      </c>
      <c r="C563" s="41" t="s">
        <v>398</v>
      </c>
      <c r="D563" s="102" t="s">
        <v>5223</v>
      </c>
      <c r="E563" s="103" t="s">
        <v>298</v>
      </c>
      <c r="F563" s="102" t="s">
        <v>5224</v>
      </c>
      <c r="G563" s="102" t="s">
        <v>1570</v>
      </c>
      <c r="H563" s="8" t="s">
        <v>67</v>
      </c>
      <c r="I563" s="70"/>
      <c r="J563" s="70"/>
      <c r="K563" s="8" t="s">
        <v>3568</v>
      </c>
      <c r="L563" s="88" t="s">
        <v>4190</v>
      </c>
      <c r="M563" s="10"/>
      <c r="N563" s="8"/>
      <c r="O563" s="1"/>
    </row>
    <row r="564" spans="1:15" ht="36.6" customHeight="1">
      <c r="A564" s="10">
        <v>1</v>
      </c>
      <c r="B564" s="33" t="s">
        <v>2178</v>
      </c>
      <c r="C564" s="41" t="s">
        <v>398</v>
      </c>
      <c r="D564" s="102" t="s">
        <v>5225</v>
      </c>
      <c r="E564" s="103" t="s">
        <v>290</v>
      </c>
      <c r="F564" s="102" t="s">
        <v>5226</v>
      </c>
      <c r="G564" s="102" t="s">
        <v>1570</v>
      </c>
      <c r="H564" s="8" t="s">
        <v>67</v>
      </c>
      <c r="I564" s="70"/>
      <c r="J564" s="70"/>
      <c r="K564" s="8" t="s">
        <v>3568</v>
      </c>
      <c r="L564" s="88" t="s">
        <v>4190</v>
      </c>
      <c r="M564" s="10"/>
      <c r="N564" s="8"/>
      <c r="O564" s="1"/>
    </row>
    <row r="565" spans="1:15" ht="36.6" customHeight="1">
      <c r="A565" s="10">
        <v>1</v>
      </c>
      <c r="B565" s="33" t="s">
        <v>2178</v>
      </c>
      <c r="C565" s="41" t="s">
        <v>398</v>
      </c>
      <c r="D565" s="102" t="s">
        <v>5227</v>
      </c>
      <c r="E565" s="103" t="s">
        <v>1637</v>
      </c>
      <c r="F565" s="102" t="s">
        <v>5228</v>
      </c>
      <c r="G565" s="102" t="s">
        <v>66</v>
      </c>
      <c r="H565" s="8" t="s">
        <v>67</v>
      </c>
      <c r="I565" s="70"/>
      <c r="J565" s="70"/>
      <c r="K565" s="8" t="s">
        <v>3568</v>
      </c>
      <c r="L565" s="88" t="s">
        <v>4190</v>
      </c>
      <c r="M565" s="10"/>
      <c r="N565" s="8"/>
      <c r="O565" s="1"/>
    </row>
    <row r="566" spans="1:15" ht="36.6" customHeight="1">
      <c r="A566" s="10">
        <v>1</v>
      </c>
      <c r="B566" s="33" t="s">
        <v>2178</v>
      </c>
      <c r="C566" s="41" t="s">
        <v>398</v>
      </c>
      <c r="D566" s="102" t="s">
        <v>5229</v>
      </c>
      <c r="E566" s="103" t="s">
        <v>5230</v>
      </c>
      <c r="F566" s="102" t="s">
        <v>5231</v>
      </c>
      <c r="G566" s="102" t="s">
        <v>66</v>
      </c>
      <c r="H566" s="8" t="s">
        <v>67</v>
      </c>
      <c r="I566" s="70"/>
      <c r="J566" s="70"/>
      <c r="K566" s="8" t="s">
        <v>3568</v>
      </c>
      <c r="L566" s="88" t="s">
        <v>4190</v>
      </c>
      <c r="M566" s="10"/>
      <c r="N566" s="8"/>
      <c r="O566" s="1"/>
    </row>
    <row r="567" spans="1:15" ht="36.6" customHeight="1">
      <c r="A567" s="10">
        <v>1</v>
      </c>
      <c r="B567" s="33" t="s">
        <v>2178</v>
      </c>
      <c r="C567" s="41" t="s">
        <v>398</v>
      </c>
      <c r="D567" s="102" t="s">
        <v>5232</v>
      </c>
      <c r="E567" s="103" t="s">
        <v>619</v>
      </c>
      <c r="F567" s="102" t="s">
        <v>5233</v>
      </c>
      <c r="G567" s="102" t="s">
        <v>66</v>
      </c>
      <c r="H567" s="8" t="s">
        <v>67</v>
      </c>
      <c r="I567" s="70"/>
      <c r="J567" s="70"/>
      <c r="K567" s="8" t="s">
        <v>3568</v>
      </c>
      <c r="L567" s="88" t="s">
        <v>4190</v>
      </c>
      <c r="M567" s="10"/>
      <c r="N567" s="8"/>
      <c r="O567" s="1"/>
    </row>
    <row r="568" spans="1:15" ht="36.6" customHeight="1">
      <c r="A568" s="10">
        <v>1</v>
      </c>
      <c r="B568" s="33" t="s">
        <v>2178</v>
      </c>
      <c r="C568" s="41" t="s">
        <v>398</v>
      </c>
      <c r="D568" s="102" t="s">
        <v>5234</v>
      </c>
      <c r="E568" s="103" t="s">
        <v>3748</v>
      </c>
      <c r="F568" s="102" t="s">
        <v>5235</v>
      </c>
      <c r="G568" s="102" t="s">
        <v>66</v>
      </c>
      <c r="H568" s="8" t="s">
        <v>67</v>
      </c>
      <c r="I568" s="70"/>
      <c r="J568" s="70"/>
      <c r="K568" s="8" t="s">
        <v>3568</v>
      </c>
      <c r="L568" s="88" t="s">
        <v>4190</v>
      </c>
      <c r="M568" s="10"/>
      <c r="N568" s="8"/>
      <c r="O568" s="1"/>
    </row>
    <row r="569" spans="1:15" ht="36.6" customHeight="1">
      <c r="A569" s="10">
        <v>1</v>
      </c>
      <c r="B569" s="33" t="s">
        <v>2178</v>
      </c>
      <c r="C569" s="41" t="s">
        <v>398</v>
      </c>
      <c r="D569" s="102" t="s">
        <v>5236</v>
      </c>
      <c r="E569" s="103" t="s">
        <v>278</v>
      </c>
      <c r="F569" s="102" t="s">
        <v>5237</v>
      </c>
      <c r="G569" s="102" t="s">
        <v>280</v>
      </c>
      <c r="H569" s="8" t="s">
        <v>33</v>
      </c>
      <c r="I569" s="70"/>
      <c r="J569" s="70"/>
      <c r="K569" s="8" t="s">
        <v>3568</v>
      </c>
      <c r="L569" s="88" t="s">
        <v>4190</v>
      </c>
      <c r="M569" s="10"/>
      <c r="N569" s="8"/>
      <c r="O569" s="1"/>
    </row>
    <row r="570" spans="1:15" ht="36.6" customHeight="1">
      <c r="A570" s="10">
        <v>1</v>
      </c>
      <c r="B570" s="33" t="s">
        <v>2178</v>
      </c>
      <c r="C570" s="41" t="s">
        <v>398</v>
      </c>
      <c r="D570" s="102" t="s">
        <v>5238</v>
      </c>
      <c r="E570" s="103" t="s">
        <v>817</v>
      </c>
      <c r="F570" s="102" t="s">
        <v>5239</v>
      </c>
      <c r="G570" s="102" t="s">
        <v>41</v>
      </c>
      <c r="H570" s="8" t="s">
        <v>33</v>
      </c>
      <c r="I570" s="70"/>
      <c r="J570" s="70"/>
      <c r="K570" s="8" t="s">
        <v>3568</v>
      </c>
      <c r="L570" s="88" t="s">
        <v>4190</v>
      </c>
      <c r="M570" s="10"/>
      <c r="N570" s="8"/>
      <c r="O570" s="1"/>
    </row>
    <row r="571" spans="1:15" ht="36.6" customHeight="1">
      <c r="A571" s="10">
        <v>1</v>
      </c>
      <c r="B571" s="33" t="s">
        <v>2178</v>
      </c>
      <c r="C571" s="41" t="s">
        <v>398</v>
      </c>
      <c r="D571" s="102" t="s">
        <v>5240</v>
      </c>
      <c r="E571" s="103" t="s">
        <v>145</v>
      </c>
      <c r="F571" s="102" t="s">
        <v>5241</v>
      </c>
      <c r="G571" s="102" t="s">
        <v>1593</v>
      </c>
      <c r="H571" s="8" t="s">
        <v>47</v>
      </c>
      <c r="I571" s="70"/>
      <c r="J571" s="70"/>
      <c r="K571" s="8" t="s">
        <v>3568</v>
      </c>
      <c r="L571" s="88" t="s">
        <v>4190</v>
      </c>
      <c r="M571" s="10"/>
      <c r="N571" s="8"/>
      <c r="O571" s="1"/>
    </row>
    <row r="572" spans="1:15" ht="36.6" customHeight="1">
      <c r="A572" s="10">
        <v>1</v>
      </c>
      <c r="B572" s="33" t="s">
        <v>2178</v>
      </c>
      <c r="C572" s="41" t="s">
        <v>398</v>
      </c>
      <c r="D572" s="102" t="s">
        <v>5242</v>
      </c>
      <c r="E572" s="103" t="s">
        <v>186</v>
      </c>
      <c r="F572" s="102" t="s">
        <v>5243</v>
      </c>
      <c r="G572" s="102" t="s">
        <v>66</v>
      </c>
      <c r="H572" s="8" t="s">
        <v>67</v>
      </c>
      <c r="I572" s="70"/>
      <c r="J572" s="70"/>
      <c r="K572" s="8" t="s">
        <v>3568</v>
      </c>
      <c r="L572" s="88" t="s">
        <v>4190</v>
      </c>
      <c r="M572" s="10"/>
      <c r="N572" s="8"/>
      <c r="O572" s="1"/>
    </row>
    <row r="573" spans="1:15" ht="36.6" customHeight="1">
      <c r="A573" s="10">
        <v>1</v>
      </c>
      <c r="B573" s="33" t="s">
        <v>2178</v>
      </c>
      <c r="C573" s="41" t="s">
        <v>398</v>
      </c>
      <c r="D573" s="102" t="s">
        <v>5244</v>
      </c>
      <c r="E573" s="103" t="s">
        <v>817</v>
      </c>
      <c r="F573" s="102" t="s">
        <v>5245</v>
      </c>
      <c r="G573" s="102" t="s">
        <v>41</v>
      </c>
      <c r="H573" s="8" t="s">
        <v>33</v>
      </c>
      <c r="I573" s="70"/>
      <c r="J573" s="70"/>
      <c r="K573" s="8" t="s">
        <v>3568</v>
      </c>
      <c r="L573" s="88" t="s">
        <v>4190</v>
      </c>
      <c r="M573" s="10"/>
      <c r="N573" s="8"/>
      <c r="O573" s="1"/>
    </row>
    <row r="574" spans="1:15" ht="36.6" customHeight="1">
      <c r="A574" s="10">
        <v>1</v>
      </c>
      <c r="B574" s="33" t="s">
        <v>2178</v>
      </c>
      <c r="C574" s="41" t="s">
        <v>398</v>
      </c>
      <c r="D574" s="102" t="s">
        <v>5246</v>
      </c>
      <c r="E574" s="103" t="s">
        <v>817</v>
      </c>
      <c r="F574" s="102" t="s">
        <v>5247</v>
      </c>
      <c r="G574" s="102" t="s">
        <v>41</v>
      </c>
      <c r="H574" s="8" t="s">
        <v>33</v>
      </c>
      <c r="I574" s="70"/>
      <c r="J574" s="70"/>
      <c r="K574" s="8" t="s">
        <v>3568</v>
      </c>
      <c r="L574" s="88" t="s">
        <v>4190</v>
      </c>
      <c r="M574" s="10"/>
      <c r="N574" s="8"/>
      <c r="O574" s="1"/>
    </row>
    <row r="575" spans="1:15" ht="36.6" customHeight="1">
      <c r="A575" s="10">
        <v>1</v>
      </c>
      <c r="B575" s="33" t="s">
        <v>2178</v>
      </c>
      <c r="C575" s="41" t="s">
        <v>398</v>
      </c>
      <c r="D575" s="102" t="s">
        <v>5248</v>
      </c>
      <c r="E575" s="103" t="s">
        <v>1623</v>
      </c>
      <c r="F575" s="102" t="s">
        <v>5249</v>
      </c>
      <c r="G575" s="102" t="s">
        <v>1570</v>
      </c>
      <c r="H575" s="8" t="s">
        <v>67</v>
      </c>
      <c r="I575" s="70"/>
      <c r="J575" s="70"/>
      <c r="K575" s="8" t="s">
        <v>3568</v>
      </c>
      <c r="L575" s="88" t="s">
        <v>4190</v>
      </c>
      <c r="M575" s="10"/>
      <c r="N575" s="8"/>
      <c r="O575" s="1"/>
    </row>
    <row r="576" spans="1:15" ht="36.6" customHeight="1">
      <c r="A576" s="10">
        <v>1</v>
      </c>
      <c r="B576" s="33" t="s">
        <v>2178</v>
      </c>
      <c r="C576" s="41" t="s">
        <v>398</v>
      </c>
      <c r="D576" s="102" t="s">
        <v>5250</v>
      </c>
      <c r="E576" s="103" t="s">
        <v>226</v>
      </c>
      <c r="F576" s="102" t="s">
        <v>5251</v>
      </c>
      <c r="G576" s="102" t="s">
        <v>1570</v>
      </c>
      <c r="H576" s="8" t="s">
        <v>67</v>
      </c>
      <c r="I576" s="70"/>
      <c r="J576" s="70"/>
      <c r="K576" s="8" t="s">
        <v>3568</v>
      </c>
      <c r="L576" s="88" t="s">
        <v>4190</v>
      </c>
      <c r="M576" s="10"/>
      <c r="N576" s="8"/>
      <c r="O576" s="1"/>
    </row>
    <row r="577" spans="1:15" ht="36.6" customHeight="1">
      <c r="A577" s="10">
        <v>1</v>
      </c>
      <c r="B577" s="33" t="s">
        <v>2178</v>
      </c>
      <c r="C577" s="41" t="s">
        <v>398</v>
      </c>
      <c r="D577" s="102" t="s">
        <v>5252</v>
      </c>
      <c r="E577" s="103" t="s">
        <v>1620</v>
      </c>
      <c r="F577" s="102" t="s">
        <v>5253</v>
      </c>
      <c r="G577" s="102" t="s">
        <v>41</v>
      </c>
      <c r="H577" s="8" t="s">
        <v>33</v>
      </c>
      <c r="I577" s="70"/>
      <c r="J577" s="70"/>
      <c r="K577" s="8" t="s">
        <v>3568</v>
      </c>
      <c r="L577" s="88" t="s">
        <v>4190</v>
      </c>
      <c r="M577" s="10"/>
      <c r="N577" s="8"/>
      <c r="O577" s="1"/>
    </row>
    <row r="578" spans="1:15" ht="36.6" customHeight="1">
      <c r="A578" s="10">
        <v>1</v>
      </c>
      <c r="B578" s="33" t="s">
        <v>2178</v>
      </c>
      <c r="C578" s="41" t="s">
        <v>398</v>
      </c>
      <c r="D578" s="102" t="s">
        <v>5254</v>
      </c>
      <c r="E578" s="103" t="s">
        <v>541</v>
      </c>
      <c r="F578" s="102" t="s">
        <v>5255</v>
      </c>
      <c r="G578" s="102" t="s">
        <v>1603</v>
      </c>
      <c r="H578" s="8" t="s">
        <v>33</v>
      </c>
      <c r="I578" s="70"/>
      <c r="J578" s="70"/>
      <c r="K578" s="8" t="s">
        <v>3568</v>
      </c>
      <c r="L578" s="88" t="s">
        <v>4190</v>
      </c>
      <c r="M578" s="10"/>
      <c r="N578" s="8"/>
      <c r="O578" s="1"/>
    </row>
    <row r="579" spans="1:15" ht="36.6" customHeight="1">
      <c r="A579" s="10">
        <v>1</v>
      </c>
      <c r="B579" s="33" t="s">
        <v>2178</v>
      </c>
      <c r="C579" s="41" t="s">
        <v>398</v>
      </c>
      <c r="D579" s="102" t="s">
        <v>5256</v>
      </c>
      <c r="E579" s="103" t="s">
        <v>161</v>
      </c>
      <c r="F579" s="102" t="s">
        <v>5257</v>
      </c>
      <c r="G579" s="102" t="s">
        <v>66</v>
      </c>
      <c r="H579" s="8" t="s">
        <v>67</v>
      </c>
      <c r="I579" s="70"/>
      <c r="J579" s="70"/>
      <c r="K579" s="8" t="s">
        <v>3568</v>
      </c>
      <c r="L579" s="88" t="s">
        <v>4190</v>
      </c>
      <c r="M579" s="10"/>
      <c r="N579" s="8"/>
      <c r="O579" s="1"/>
    </row>
    <row r="580" spans="1:15" ht="36.6" customHeight="1">
      <c r="A580" s="10">
        <v>1</v>
      </c>
      <c r="B580" s="33" t="s">
        <v>2178</v>
      </c>
      <c r="C580" s="41" t="s">
        <v>398</v>
      </c>
      <c r="D580" s="102" t="s">
        <v>5258</v>
      </c>
      <c r="E580" s="103" t="s">
        <v>157</v>
      </c>
      <c r="F580" s="102" t="s">
        <v>5259</v>
      </c>
      <c r="G580" s="102" t="s">
        <v>1746</v>
      </c>
      <c r="H580" s="8" t="s">
        <v>33</v>
      </c>
      <c r="I580" s="70"/>
      <c r="J580" s="70"/>
      <c r="K580" s="8" t="s">
        <v>3568</v>
      </c>
      <c r="L580" s="88" t="s">
        <v>4190</v>
      </c>
      <c r="M580" s="10"/>
      <c r="N580" s="8"/>
      <c r="O580" s="1"/>
    </row>
    <row r="581" spans="1:15" ht="36.6" customHeight="1">
      <c r="A581" s="10">
        <v>1</v>
      </c>
      <c r="B581" s="33" t="s">
        <v>2178</v>
      </c>
      <c r="C581" s="41" t="s">
        <v>398</v>
      </c>
      <c r="D581" s="102" t="s">
        <v>5260</v>
      </c>
      <c r="E581" s="103" t="s">
        <v>619</v>
      </c>
      <c r="F581" s="102" t="s">
        <v>5261</v>
      </c>
      <c r="G581" s="102" t="s">
        <v>66</v>
      </c>
      <c r="H581" s="8" t="s">
        <v>67</v>
      </c>
      <c r="I581" s="70"/>
      <c r="J581" s="70"/>
      <c r="K581" s="8" t="s">
        <v>3568</v>
      </c>
      <c r="L581" s="88" t="s">
        <v>4190</v>
      </c>
      <c r="M581" s="10"/>
      <c r="N581" s="8"/>
      <c r="O581" s="1"/>
    </row>
    <row r="582" spans="1:15" ht="36.6" customHeight="1">
      <c r="A582" s="10">
        <v>1</v>
      </c>
      <c r="B582" s="33" t="s">
        <v>2178</v>
      </c>
      <c r="C582" s="41" t="s">
        <v>398</v>
      </c>
      <c r="D582" s="102" t="s">
        <v>5262</v>
      </c>
      <c r="E582" s="103" t="s">
        <v>1899</v>
      </c>
      <c r="F582" s="102" t="s">
        <v>5263</v>
      </c>
      <c r="G582" s="102" t="s">
        <v>1570</v>
      </c>
      <c r="H582" s="8" t="s">
        <v>67</v>
      </c>
      <c r="I582" s="70"/>
      <c r="J582" s="70"/>
      <c r="K582" s="8" t="s">
        <v>3568</v>
      </c>
      <c r="L582" s="88" t="s">
        <v>4190</v>
      </c>
      <c r="M582" s="10"/>
      <c r="N582" s="8"/>
      <c r="O582" s="1"/>
    </row>
    <row r="583" spans="1:15" ht="36.6" customHeight="1">
      <c r="A583" s="10">
        <v>1</v>
      </c>
      <c r="B583" s="33" t="s">
        <v>2178</v>
      </c>
      <c r="C583" s="41" t="s">
        <v>398</v>
      </c>
      <c r="D583" s="102" t="s">
        <v>5264</v>
      </c>
      <c r="E583" s="103" t="s">
        <v>817</v>
      </c>
      <c r="F583" s="102" t="s">
        <v>5265</v>
      </c>
      <c r="G583" s="102" t="s">
        <v>41</v>
      </c>
      <c r="H583" s="8" t="s">
        <v>33</v>
      </c>
      <c r="I583" s="70"/>
      <c r="J583" s="70"/>
      <c r="K583" s="8" t="s">
        <v>3568</v>
      </c>
      <c r="L583" s="88" t="s">
        <v>4190</v>
      </c>
      <c r="M583" s="10"/>
      <c r="N583" s="8"/>
      <c r="O583" s="1"/>
    </row>
    <row r="584" spans="1:15" ht="36.6" customHeight="1">
      <c r="A584" s="10">
        <v>1</v>
      </c>
      <c r="B584" s="33" t="s">
        <v>2178</v>
      </c>
      <c r="C584" s="41" t="s">
        <v>398</v>
      </c>
      <c r="D584" s="102" t="s">
        <v>5266</v>
      </c>
      <c r="E584" s="103" t="s">
        <v>39</v>
      </c>
      <c r="F584" s="102" t="s">
        <v>5267</v>
      </c>
      <c r="G584" s="102" t="s">
        <v>41</v>
      </c>
      <c r="H584" s="8" t="s">
        <v>33</v>
      </c>
      <c r="I584" s="70"/>
      <c r="J584" s="70"/>
      <c r="K584" s="8" t="s">
        <v>3568</v>
      </c>
      <c r="L584" s="88" t="s">
        <v>4190</v>
      </c>
      <c r="M584" s="10"/>
      <c r="N584" s="8"/>
      <c r="O584" s="1"/>
    </row>
    <row r="585" spans="1:15" ht="36.6" customHeight="1">
      <c r="A585" s="10">
        <v>1</v>
      </c>
      <c r="B585" s="33" t="s">
        <v>2178</v>
      </c>
      <c r="C585" s="41" t="s">
        <v>398</v>
      </c>
      <c r="D585" s="102" t="s">
        <v>5268</v>
      </c>
      <c r="E585" s="103" t="s">
        <v>3672</v>
      </c>
      <c r="F585" s="102" t="s">
        <v>5269</v>
      </c>
      <c r="G585" s="102" t="s">
        <v>1603</v>
      </c>
      <c r="H585" s="8" t="s">
        <v>33</v>
      </c>
      <c r="I585" s="70"/>
      <c r="J585" s="70"/>
      <c r="K585" s="8" t="s">
        <v>3568</v>
      </c>
      <c r="L585" s="88" t="s">
        <v>4190</v>
      </c>
      <c r="M585" s="10"/>
      <c r="N585" s="8"/>
      <c r="O585" s="1"/>
    </row>
    <row r="586" spans="1:15" ht="36.6" customHeight="1">
      <c r="A586" s="10">
        <v>1</v>
      </c>
      <c r="B586" s="33" t="s">
        <v>2178</v>
      </c>
      <c r="C586" s="41" t="s">
        <v>398</v>
      </c>
      <c r="D586" s="102" t="s">
        <v>5270</v>
      </c>
      <c r="E586" s="103" t="s">
        <v>5271</v>
      </c>
      <c r="F586" s="102" t="s">
        <v>5272</v>
      </c>
      <c r="G586" s="102" t="s">
        <v>1582</v>
      </c>
      <c r="H586" s="8" t="s">
        <v>47</v>
      </c>
      <c r="I586" s="70"/>
      <c r="J586" s="70"/>
      <c r="K586" s="8" t="s">
        <v>3568</v>
      </c>
      <c r="L586" s="88" t="s">
        <v>4190</v>
      </c>
      <c r="M586" s="10"/>
      <c r="N586" s="8"/>
      <c r="O586" s="1"/>
    </row>
    <row r="587" spans="1:15" ht="36.6" customHeight="1">
      <c r="A587" s="10">
        <v>1</v>
      </c>
      <c r="B587" s="33" t="s">
        <v>2178</v>
      </c>
      <c r="C587" s="41" t="s">
        <v>398</v>
      </c>
      <c r="D587" s="102" t="s">
        <v>5273</v>
      </c>
      <c r="E587" s="103" t="s">
        <v>186</v>
      </c>
      <c r="F587" s="102" t="s">
        <v>5274</v>
      </c>
      <c r="G587" s="102" t="s">
        <v>66</v>
      </c>
      <c r="H587" s="8" t="s">
        <v>67</v>
      </c>
      <c r="I587" s="70"/>
      <c r="J587" s="70"/>
      <c r="K587" s="8" t="s">
        <v>3568</v>
      </c>
      <c r="L587" s="88" t="s">
        <v>4190</v>
      </c>
      <c r="M587" s="10"/>
      <c r="N587" s="8"/>
      <c r="O587" s="1"/>
    </row>
    <row r="588" spans="1:15" ht="36.6" customHeight="1">
      <c r="A588" s="10">
        <v>1</v>
      </c>
      <c r="B588" s="33" t="s">
        <v>2178</v>
      </c>
      <c r="C588" s="41" t="s">
        <v>398</v>
      </c>
      <c r="D588" s="102" t="s">
        <v>5275</v>
      </c>
      <c r="E588" s="103" t="s">
        <v>1577</v>
      </c>
      <c r="F588" s="102" t="s">
        <v>5276</v>
      </c>
      <c r="G588" s="102" t="s">
        <v>66</v>
      </c>
      <c r="H588" s="8" t="s">
        <v>67</v>
      </c>
      <c r="I588" s="70"/>
      <c r="J588" s="70"/>
      <c r="K588" s="8" t="s">
        <v>3568</v>
      </c>
      <c r="L588" s="88" t="s">
        <v>4190</v>
      </c>
      <c r="M588" s="10"/>
      <c r="N588" s="8"/>
      <c r="O588" s="1"/>
    </row>
    <row r="589" spans="1:15" ht="36.6" customHeight="1">
      <c r="A589" s="10">
        <v>1</v>
      </c>
      <c r="B589" s="33" t="s">
        <v>2178</v>
      </c>
      <c r="C589" s="41" t="s">
        <v>398</v>
      </c>
      <c r="D589" s="102" t="s">
        <v>5277</v>
      </c>
      <c r="E589" s="103" t="s">
        <v>812</v>
      </c>
      <c r="F589" s="102" t="s">
        <v>5278</v>
      </c>
      <c r="G589" s="102" t="s">
        <v>1570</v>
      </c>
      <c r="H589" s="8" t="s">
        <v>67</v>
      </c>
      <c r="I589" s="70"/>
      <c r="J589" s="70"/>
      <c r="K589" s="8" t="s">
        <v>3568</v>
      </c>
      <c r="L589" s="88" t="s">
        <v>4190</v>
      </c>
      <c r="M589" s="10"/>
      <c r="N589" s="8"/>
      <c r="O589" s="1"/>
    </row>
    <row r="590" spans="1:15" ht="36.6" customHeight="1">
      <c r="A590" s="10">
        <v>1</v>
      </c>
      <c r="B590" s="33" t="s">
        <v>2178</v>
      </c>
      <c r="C590" s="41" t="s">
        <v>398</v>
      </c>
      <c r="D590" s="102" t="s">
        <v>5279</v>
      </c>
      <c r="E590" s="103" t="s">
        <v>3689</v>
      </c>
      <c r="F590" s="102" t="s">
        <v>5280</v>
      </c>
      <c r="G590" s="102" t="s">
        <v>1570</v>
      </c>
      <c r="H590" s="8" t="s">
        <v>67</v>
      </c>
      <c r="I590" s="70"/>
      <c r="J590" s="70"/>
      <c r="K590" s="8" t="s">
        <v>3568</v>
      </c>
      <c r="L590" s="88" t="s">
        <v>4190</v>
      </c>
      <c r="M590" s="10"/>
      <c r="N590" s="8"/>
      <c r="O590" s="1"/>
    </row>
    <row r="591" spans="1:15" ht="36.6" customHeight="1">
      <c r="A591" s="10">
        <v>1</v>
      </c>
      <c r="B591" s="33" t="s">
        <v>2178</v>
      </c>
      <c r="C591" s="41" t="s">
        <v>398</v>
      </c>
      <c r="D591" s="102" t="s">
        <v>5281</v>
      </c>
      <c r="E591" s="103" t="s">
        <v>5282</v>
      </c>
      <c r="F591" s="102" t="s">
        <v>5283</v>
      </c>
      <c r="G591" s="102" t="s">
        <v>1603</v>
      </c>
      <c r="H591" s="8" t="s">
        <v>33</v>
      </c>
      <c r="I591" s="70"/>
      <c r="J591" s="70"/>
      <c r="K591" s="8" t="s">
        <v>3568</v>
      </c>
      <c r="L591" s="88" t="s">
        <v>4190</v>
      </c>
      <c r="M591" s="10"/>
      <c r="N591" s="8"/>
      <c r="O591" s="1"/>
    </row>
    <row r="592" spans="1:15" ht="36.6" customHeight="1">
      <c r="A592" s="10">
        <v>1</v>
      </c>
      <c r="B592" s="33" t="s">
        <v>2178</v>
      </c>
      <c r="C592" s="41" t="s">
        <v>398</v>
      </c>
      <c r="D592" s="102" t="s">
        <v>5284</v>
      </c>
      <c r="E592" s="103" t="s">
        <v>1134</v>
      </c>
      <c r="F592" s="102" t="s">
        <v>5285</v>
      </c>
      <c r="G592" s="102" t="s">
        <v>41</v>
      </c>
      <c r="H592" s="8" t="s">
        <v>33</v>
      </c>
      <c r="I592" s="70"/>
      <c r="J592" s="70"/>
      <c r="K592" s="8" t="s">
        <v>3568</v>
      </c>
      <c r="L592" s="88" t="s">
        <v>4190</v>
      </c>
      <c r="M592" s="10"/>
      <c r="N592" s="8"/>
      <c r="O592" s="1"/>
    </row>
    <row r="593" spans="1:15" ht="36.6" customHeight="1">
      <c r="A593" s="10">
        <v>1</v>
      </c>
      <c r="B593" s="33" t="s">
        <v>2178</v>
      </c>
      <c r="C593" s="41" t="s">
        <v>398</v>
      </c>
      <c r="D593" s="102" t="s">
        <v>5286</v>
      </c>
      <c r="E593" s="103" t="s">
        <v>4361</v>
      </c>
      <c r="F593" s="102" t="s">
        <v>5287</v>
      </c>
      <c r="G593" s="102" t="s">
        <v>1746</v>
      </c>
      <c r="H593" s="8" t="s">
        <v>33</v>
      </c>
      <c r="I593" s="70"/>
      <c r="J593" s="70"/>
      <c r="K593" s="8" t="s">
        <v>3568</v>
      </c>
      <c r="L593" s="88" t="s">
        <v>4190</v>
      </c>
      <c r="M593" s="10"/>
      <c r="N593" s="8"/>
      <c r="O593" s="1"/>
    </row>
    <row r="594" spans="1:15" ht="36.6" customHeight="1">
      <c r="A594" s="10">
        <v>1</v>
      </c>
      <c r="B594" s="33" t="s">
        <v>2178</v>
      </c>
      <c r="C594" s="41" t="s">
        <v>398</v>
      </c>
      <c r="D594" s="102" t="s">
        <v>5288</v>
      </c>
      <c r="E594" s="103" t="s">
        <v>1013</v>
      </c>
      <c r="F594" s="102" t="s">
        <v>5289</v>
      </c>
      <c r="G594" s="102" t="s">
        <v>66</v>
      </c>
      <c r="H594" s="8" t="s">
        <v>67</v>
      </c>
      <c r="I594" s="70"/>
      <c r="J594" s="70"/>
      <c r="K594" s="8" t="s">
        <v>3568</v>
      </c>
      <c r="L594" s="88" t="s">
        <v>4190</v>
      </c>
      <c r="M594" s="10"/>
      <c r="N594" s="8"/>
      <c r="O594" s="1"/>
    </row>
    <row r="595" spans="1:15" ht="36.6" customHeight="1">
      <c r="A595" s="10">
        <v>1</v>
      </c>
      <c r="B595" s="33" t="s">
        <v>2178</v>
      </c>
      <c r="C595" s="41" t="s">
        <v>398</v>
      </c>
      <c r="D595" s="102" t="s">
        <v>5290</v>
      </c>
      <c r="E595" s="103" t="s">
        <v>686</v>
      </c>
      <c r="F595" s="102" t="s">
        <v>5291</v>
      </c>
      <c r="G595" s="102" t="s">
        <v>1570</v>
      </c>
      <c r="H595" s="8" t="s">
        <v>67</v>
      </c>
      <c r="I595" s="70"/>
      <c r="J595" s="70"/>
      <c r="K595" s="8" t="s">
        <v>3568</v>
      </c>
      <c r="L595" s="88" t="s">
        <v>4190</v>
      </c>
      <c r="M595" s="10"/>
      <c r="N595" s="8"/>
      <c r="O595" s="1"/>
    </row>
    <row r="596" spans="1:15" ht="36.6" customHeight="1">
      <c r="A596" s="10">
        <v>1</v>
      </c>
      <c r="B596" s="33" t="s">
        <v>2178</v>
      </c>
      <c r="C596" s="41" t="s">
        <v>398</v>
      </c>
      <c r="D596" s="102" t="s">
        <v>5292</v>
      </c>
      <c r="E596" s="103" t="s">
        <v>186</v>
      </c>
      <c r="F596" s="102" t="s">
        <v>5293</v>
      </c>
      <c r="G596" s="102" t="s">
        <v>66</v>
      </c>
      <c r="H596" s="8" t="s">
        <v>67</v>
      </c>
      <c r="I596" s="70"/>
      <c r="J596" s="70"/>
      <c r="K596" s="8" t="s">
        <v>3568</v>
      </c>
      <c r="L596" s="88" t="s">
        <v>4190</v>
      </c>
      <c r="M596" s="10"/>
      <c r="N596" s="8"/>
      <c r="O596" s="1"/>
    </row>
    <row r="597" spans="1:15" ht="36.6" customHeight="1">
      <c r="A597" s="10">
        <v>1</v>
      </c>
      <c r="B597" s="33" t="s">
        <v>2178</v>
      </c>
      <c r="C597" s="41" t="s">
        <v>398</v>
      </c>
      <c r="D597" s="102" t="s">
        <v>5294</v>
      </c>
      <c r="E597" s="103" t="s">
        <v>1637</v>
      </c>
      <c r="F597" s="102" t="s">
        <v>5295</v>
      </c>
      <c r="G597" s="102" t="s">
        <v>66</v>
      </c>
      <c r="H597" s="8" t="s">
        <v>67</v>
      </c>
      <c r="I597" s="70"/>
      <c r="J597" s="70"/>
      <c r="K597" s="8" t="s">
        <v>3568</v>
      </c>
      <c r="L597" s="88" t="s">
        <v>4190</v>
      </c>
      <c r="M597" s="10"/>
      <c r="N597" s="8"/>
      <c r="O597" s="1"/>
    </row>
    <row r="598" spans="1:15" ht="36.6" customHeight="1">
      <c r="A598" s="10">
        <v>1</v>
      </c>
      <c r="B598" s="33" t="s">
        <v>2178</v>
      </c>
      <c r="C598" s="41" t="s">
        <v>398</v>
      </c>
      <c r="D598" s="102" t="s">
        <v>5296</v>
      </c>
      <c r="E598" s="103" t="s">
        <v>1752</v>
      </c>
      <c r="F598" s="102" t="s">
        <v>5297</v>
      </c>
      <c r="G598" s="102" t="s">
        <v>1582</v>
      </c>
      <c r="H598" s="8" t="s">
        <v>47</v>
      </c>
      <c r="I598" s="70"/>
      <c r="J598" s="70"/>
      <c r="K598" s="8" t="s">
        <v>3568</v>
      </c>
      <c r="L598" s="88" t="s">
        <v>4190</v>
      </c>
      <c r="M598" s="10"/>
      <c r="N598" s="8"/>
      <c r="O598" s="1"/>
    </row>
    <row r="599" spans="1:15" ht="36.6" customHeight="1">
      <c r="A599" s="10">
        <v>1</v>
      </c>
      <c r="B599" s="33" t="s">
        <v>2178</v>
      </c>
      <c r="C599" s="41" t="s">
        <v>398</v>
      </c>
      <c r="D599" s="102" t="s">
        <v>5298</v>
      </c>
      <c r="E599" s="103" t="s">
        <v>298</v>
      </c>
      <c r="F599" s="102" t="s">
        <v>5299</v>
      </c>
      <c r="G599" s="102" t="s">
        <v>1570</v>
      </c>
      <c r="H599" s="8" t="s">
        <v>67</v>
      </c>
      <c r="I599" s="70"/>
      <c r="J599" s="70"/>
      <c r="K599" s="8" t="s">
        <v>3568</v>
      </c>
      <c r="L599" s="88" t="s">
        <v>4190</v>
      </c>
      <c r="M599" s="10"/>
      <c r="N599" s="8"/>
      <c r="O599" s="1"/>
    </row>
    <row r="600" spans="1:15" ht="36.6" customHeight="1">
      <c r="A600" s="10">
        <v>1</v>
      </c>
      <c r="B600" s="33" t="s">
        <v>2178</v>
      </c>
      <c r="C600" s="41" t="s">
        <v>398</v>
      </c>
      <c r="D600" s="102" t="s">
        <v>5300</v>
      </c>
      <c r="E600" s="103" t="s">
        <v>1637</v>
      </c>
      <c r="F600" s="102" t="s">
        <v>5301</v>
      </c>
      <c r="G600" s="102" t="s">
        <v>66</v>
      </c>
      <c r="H600" s="8" t="s">
        <v>67</v>
      </c>
      <c r="I600" s="70"/>
      <c r="J600" s="70"/>
      <c r="K600" s="8" t="s">
        <v>3568</v>
      </c>
      <c r="L600" s="88" t="s">
        <v>4190</v>
      </c>
      <c r="M600" s="10"/>
      <c r="N600" s="8"/>
      <c r="O600" s="1"/>
    </row>
    <row r="601" spans="1:15" ht="36.6" customHeight="1">
      <c r="A601" s="10">
        <v>1</v>
      </c>
      <c r="B601" s="33" t="s">
        <v>2178</v>
      </c>
      <c r="C601" s="41" t="s">
        <v>398</v>
      </c>
      <c r="D601" s="102" t="s">
        <v>5302</v>
      </c>
      <c r="E601" s="103" t="s">
        <v>1242</v>
      </c>
      <c r="F601" s="102" t="s">
        <v>5303</v>
      </c>
      <c r="G601" s="102" t="s">
        <v>66</v>
      </c>
      <c r="H601" s="8" t="s">
        <v>67</v>
      </c>
      <c r="I601" s="70"/>
      <c r="J601" s="70"/>
      <c r="K601" s="8" t="s">
        <v>3568</v>
      </c>
      <c r="L601" s="88" t="s">
        <v>4190</v>
      </c>
      <c r="M601" s="10"/>
      <c r="N601" s="8"/>
      <c r="O601" s="1"/>
    </row>
    <row r="602" spans="1:15" ht="36.6" customHeight="1">
      <c r="A602" s="10">
        <v>1</v>
      </c>
      <c r="B602" s="33" t="s">
        <v>2178</v>
      </c>
      <c r="C602" s="41" t="s">
        <v>398</v>
      </c>
      <c r="D602" s="102" t="s">
        <v>5304</v>
      </c>
      <c r="E602" s="103" t="s">
        <v>145</v>
      </c>
      <c r="F602" s="102" t="s">
        <v>5305</v>
      </c>
      <c r="G602" s="102" t="s">
        <v>1582</v>
      </c>
      <c r="H602" s="8" t="s">
        <v>47</v>
      </c>
      <c r="I602" s="70"/>
      <c r="J602" s="70"/>
      <c r="K602" s="8" t="s">
        <v>3568</v>
      </c>
      <c r="L602" s="88" t="s">
        <v>4190</v>
      </c>
      <c r="M602" s="10"/>
      <c r="N602" s="8"/>
      <c r="O602" s="1"/>
    </row>
    <row r="603" spans="1:15" ht="36.6" customHeight="1">
      <c r="A603" s="10">
        <v>1</v>
      </c>
      <c r="B603" s="33" t="s">
        <v>2178</v>
      </c>
      <c r="C603" s="41" t="s">
        <v>398</v>
      </c>
      <c r="D603" s="102" t="s">
        <v>5306</v>
      </c>
      <c r="E603" s="103" t="s">
        <v>39</v>
      </c>
      <c r="F603" s="102" t="s">
        <v>5307</v>
      </c>
      <c r="G603" s="102" t="s">
        <v>41</v>
      </c>
      <c r="H603" s="8" t="s">
        <v>33</v>
      </c>
      <c r="I603" s="70"/>
      <c r="J603" s="70"/>
      <c r="K603" s="8" t="s">
        <v>3568</v>
      </c>
      <c r="L603" s="88" t="s">
        <v>4190</v>
      </c>
      <c r="M603" s="10"/>
      <c r="N603" s="8"/>
      <c r="O603" s="1"/>
    </row>
    <row r="604" spans="1:15" ht="36.6" customHeight="1">
      <c r="A604" s="10">
        <v>1</v>
      </c>
      <c r="B604" s="33" t="s">
        <v>2178</v>
      </c>
      <c r="C604" s="41" t="s">
        <v>398</v>
      </c>
      <c r="D604" s="102" t="s">
        <v>5308</v>
      </c>
      <c r="E604" s="103" t="s">
        <v>39</v>
      </c>
      <c r="F604" s="102" t="s">
        <v>5309</v>
      </c>
      <c r="G604" s="102" t="s">
        <v>41</v>
      </c>
      <c r="H604" s="8" t="s">
        <v>33</v>
      </c>
      <c r="I604" s="70"/>
      <c r="J604" s="70"/>
      <c r="K604" s="8" t="s">
        <v>3568</v>
      </c>
      <c r="L604" s="88" t="s">
        <v>4190</v>
      </c>
      <c r="M604" s="10"/>
      <c r="N604" s="8"/>
      <c r="O604" s="1"/>
    </row>
    <row r="605" spans="1:15" ht="36.6" customHeight="1">
      <c r="A605" s="10">
        <v>1</v>
      </c>
      <c r="B605" s="33" t="s">
        <v>2178</v>
      </c>
      <c r="C605" s="41" t="s">
        <v>398</v>
      </c>
      <c r="D605" s="102" t="s">
        <v>5310</v>
      </c>
      <c r="E605" s="103" t="s">
        <v>39</v>
      </c>
      <c r="F605" s="102" t="s">
        <v>5311</v>
      </c>
      <c r="G605" s="102" t="s">
        <v>41</v>
      </c>
      <c r="H605" s="8" t="s">
        <v>33</v>
      </c>
      <c r="I605" s="70"/>
      <c r="J605" s="70"/>
      <c r="K605" s="8" t="s">
        <v>3568</v>
      </c>
      <c r="L605" s="88" t="s">
        <v>4190</v>
      </c>
      <c r="M605" s="10"/>
      <c r="N605" s="8"/>
      <c r="O605" s="1"/>
    </row>
    <row r="606" spans="1:15" ht="36.6" customHeight="1">
      <c r="A606" s="10">
        <v>1</v>
      </c>
      <c r="B606" s="33" t="s">
        <v>2178</v>
      </c>
      <c r="C606" s="41" t="s">
        <v>398</v>
      </c>
      <c r="D606" s="102" t="s">
        <v>5312</v>
      </c>
      <c r="E606" s="103" t="s">
        <v>841</v>
      </c>
      <c r="F606" s="102" t="s">
        <v>5313</v>
      </c>
      <c r="G606" s="102" t="s">
        <v>1570</v>
      </c>
      <c r="H606" s="8" t="s">
        <v>67</v>
      </c>
      <c r="I606" s="70"/>
      <c r="J606" s="70"/>
      <c r="K606" s="8" t="s">
        <v>3568</v>
      </c>
      <c r="L606" s="88" t="s">
        <v>4190</v>
      </c>
      <c r="M606" s="10"/>
      <c r="N606" s="8"/>
      <c r="O606" s="1"/>
    </row>
    <row r="607" spans="1:15" ht="36.6" customHeight="1">
      <c r="A607" s="10">
        <v>1</v>
      </c>
      <c r="B607" s="33" t="s">
        <v>2178</v>
      </c>
      <c r="C607" s="41" t="s">
        <v>398</v>
      </c>
      <c r="D607" s="102" t="s">
        <v>5314</v>
      </c>
      <c r="E607" s="103" t="s">
        <v>5315</v>
      </c>
      <c r="F607" s="102" t="s">
        <v>5316</v>
      </c>
      <c r="G607" s="102" t="s">
        <v>238</v>
      </c>
      <c r="H607" s="8" t="s">
        <v>47</v>
      </c>
      <c r="I607" s="70"/>
      <c r="J607" s="70"/>
      <c r="K607" s="8" t="s">
        <v>3568</v>
      </c>
      <c r="L607" s="88" t="s">
        <v>4190</v>
      </c>
      <c r="M607" s="10"/>
      <c r="N607" s="8"/>
      <c r="O607" s="1"/>
    </row>
    <row r="608" spans="1:15" ht="36.6" customHeight="1">
      <c r="A608" s="10">
        <v>1</v>
      </c>
      <c r="B608" s="33" t="s">
        <v>2178</v>
      </c>
      <c r="C608" s="41" t="s">
        <v>398</v>
      </c>
      <c r="D608" s="102" t="s">
        <v>5317</v>
      </c>
      <c r="E608" s="103" t="s">
        <v>1620</v>
      </c>
      <c r="F608" s="102" t="s">
        <v>5318</v>
      </c>
      <c r="G608" s="102" t="s">
        <v>41</v>
      </c>
      <c r="H608" s="8" t="s">
        <v>33</v>
      </c>
      <c r="I608" s="70"/>
      <c r="J608" s="70"/>
      <c r="K608" s="8" t="s">
        <v>3568</v>
      </c>
      <c r="L608" s="88" t="s">
        <v>4190</v>
      </c>
      <c r="M608" s="10"/>
      <c r="N608" s="8"/>
      <c r="O608" s="1"/>
    </row>
    <row r="609" spans="1:15" ht="36.6" customHeight="1">
      <c r="A609" s="10">
        <v>1</v>
      </c>
      <c r="B609" s="33" t="s">
        <v>2178</v>
      </c>
      <c r="C609" s="41" t="s">
        <v>398</v>
      </c>
      <c r="D609" s="102" t="s">
        <v>5319</v>
      </c>
      <c r="E609" s="103" t="s">
        <v>253</v>
      </c>
      <c r="F609" s="102" t="s">
        <v>5320</v>
      </c>
      <c r="G609" s="102" t="s">
        <v>1570</v>
      </c>
      <c r="H609" s="8" t="s">
        <v>67</v>
      </c>
      <c r="I609" s="70"/>
      <c r="J609" s="70"/>
      <c r="K609" s="8" t="s">
        <v>3568</v>
      </c>
      <c r="L609" s="88" t="s">
        <v>4190</v>
      </c>
      <c r="M609" s="10"/>
      <c r="N609" s="8"/>
      <c r="O609" s="1"/>
    </row>
    <row r="610" spans="1:15" ht="36.6" customHeight="1">
      <c r="A610" s="10">
        <v>1</v>
      </c>
      <c r="B610" s="33" t="s">
        <v>2178</v>
      </c>
      <c r="C610" s="41" t="s">
        <v>398</v>
      </c>
      <c r="D610" s="102" t="s">
        <v>5321</v>
      </c>
      <c r="E610" s="103" t="s">
        <v>253</v>
      </c>
      <c r="F610" s="102" t="s">
        <v>5322</v>
      </c>
      <c r="G610" s="102" t="s">
        <v>1570</v>
      </c>
      <c r="H610" s="8" t="s">
        <v>67</v>
      </c>
      <c r="I610" s="70"/>
      <c r="J610" s="70"/>
      <c r="K610" s="8" t="s">
        <v>3568</v>
      </c>
      <c r="L610" s="88" t="s">
        <v>4190</v>
      </c>
      <c r="M610" s="10"/>
      <c r="N610" s="8"/>
      <c r="O610" s="1"/>
    </row>
    <row r="611" spans="1:15" ht="36.6" customHeight="1">
      <c r="A611" s="10">
        <v>1</v>
      </c>
      <c r="B611" s="33" t="s">
        <v>2178</v>
      </c>
      <c r="C611" s="41" t="s">
        <v>398</v>
      </c>
      <c r="D611" s="102" t="s">
        <v>5323</v>
      </c>
      <c r="E611" s="103" t="s">
        <v>5324</v>
      </c>
      <c r="F611" s="102" t="s">
        <v>5325</v>
      </c>
      <c r="G611" s="102" t="s">
        <v>1582</v>
      </c>
      <c r="H611" s="8" t="s">
        <v>47</v>
      </c>
      <c r="I611" s="70"/>
      <c r="J611" s="70"/>
      <c r="K611" s="8" t="s">
        <v>3568</v>
      </c>
      <c r="L611" s="88" t="s">
        <v>4190</v>
      </c>
      <c r="M611" s="10"/>
      <c r="N611" s="8"/>
      <c r="O611" s="1"/>
    </row>
    <row r="612" spans="1:15" ht="36.6" customHeight="1">
      <c r="A612" s="10">
        <v>1</v>
      </c>
      <c r="B612" s="33" t="s">
        <v>2178</v>
      </c>
      <c r="C612" s="41" t="s">
        <v>398</v>
      </c>
      <c r="D612" s="102" t="s">
        <v>5326</v>
      </c>
      <c r="E612" s="103" t="s">
        <v>290</v>
      </c>
      <c r="F612" s="102" t="s">
        <v>5327</v>
      </c>
      <c r="G612" s="102" t="s">
        <v>1570</v>
      </c>
      <c r="H612" s="8" t="s">
        <v>67</v>
      </c>
      <c r="I612" s="70"/>
      <c r="J612" s="70"/>
      <c r="K612" s="8" t="s">
        <v>3568</v>
      </c>
      <c r="L612" s="88" t="s">
        <v>4190</v>
      </c>
      <c r="M612" s="10"/>
      <c r="N612" s="8"/>
      <c r="O612" s="1"/>
    </row>
    <row r="613" spans="1:15" ht="36.6" customHeight="1">
      <c r="A613" s="10">
        <v>1</v>
      </c>
      <c r="B613" s="33" t="s">
        <v>2178</v>
      </c>
      <c r="C613" s="41" t="s">
        <v>398</v>
      </c>
      <c r="D613" s="102" t="s">
        <v>5328</v>
      </c>
      <c r="E613" s="103" t="s">
        <v>1919</v>
      </c>
      <c r="F613" s="102" t="s">
        <v>5329</v>
      </c>
      <c r="G613" s="102" t="s">
        <v>1582</v>
      </c>
      <c r="H613" s="8" t="s">
        <v>47</v>
      </c>
      <c r="I613" s="70"/>
      <c r="J613" s="70"/>
      <c r="K613" s="8" t="s">
        <v>3568</v>
      </c>
      <c r="L613" s="88" t="s">
        <v>4190</v>
      </c>
      <c r="M613" s="10"/>
      <c r="N613" s="8"/>
      <c r="O613" s="1"/>
    </row>
    <row r="614" spans="1:15" ht="36.6" customHeight="1">
      <c r="A614" s="10">
        <v>1</v>
      </c>
      <c r="B614" s="33" t="s">
        <v>2178</v>
      </c>
      <c r="C614" s="41" t="s">
        <v>398</v>
      </c>
      <c r="D614" s="102" t="s">
        <v>5330</v>
      </c>
      <c r="E614" s="103" t="s">
        <v>1013</v>
      </c>
      <c r="F614" s="102" t="s">
        <v>5331</v>
      </c>
      <c r="G614" s="102" t="s">
        <v>66</v>
      </c>
      <c r="H614" s="8" t="s">
        <v>67</v>
      </c>
      <c r="I614" s="70"/>
      <c r="J614" s="70"/>
      <c r="K614" s="8" t="s">
        <v>3568</v>
      </c>
      <c r="L614" s="88" t="s">
        <v>4190</v>
      </c>
      <c r="M614" s="10"/>
      <c r="N614" s="8"/>
      <c r="O614" s="1"/>
    </row>
    <row r="615" spans="1:15" ht="36.6" customHeight="1">
      <c r="A615" s="10">
        <v>1</v>
      </c>
      <c r="B615" s="33" t="s">
        <v>2178</v>
      </c>
      <c r="C615" s="41" t="s">
        <v>398</v>
      </c>
      <c r="D615" s="102" t="s">
        <v>5332</v>
      </c>
      <c r="E615" s="103" t="s">
        <v>39</v>
      </c>
      <c r="F615" s="102" t="s">
        <v>5333</v>
      </c>
      <c r="G615" s="102" t="s">
        <v>41</v>
      </c>
      <c r="H615" s="8" t="s">
        <v>33</v>
      </c>
      <c r="I615" s="70"/>
      <c r="J615" s="70"/>
      <c r="K615" s="8" t="s">
        <v>3568</v>
      </c>
      <c r="L615" s="88" t="s">
        <v>4190</v>
      </c>
      <c r="M615" s="10"/>
      <c r="N615" s="8"/>
      <c r="O615" s="1"/>
    </row>
    <row r="616" spans="1:15" ht="36.6" customHeight="1">
      <c r="A616" s="10">
        <v>1</v>
      </c>
      <c r="B616" s="33" t="s">
        <v>2178</v>
      </c>
      <c r="C616" s="41" t="s">
        <v>398</v>
      </c>
      <c r="D616" s="102" t="s">
        <v>5334</v>
      </c>
      <c r="E616" s="103" t="s">
        <v>5335</v>
      </c>
      <c r="F616" s="102" t="s">
        <v>5336</v>
      </c>
      <c r="G616" s="102" t="s">
        <v>1570</v>
      </c>
      <c r="H616" s="8" t="s">
        <v>67</v>
      </c>
      <c r="I616" s="70"/>
      <c r="J616" s="70"/>
      <c r="K616" s="8" t="s">
        <v>3568</v>
      </c>
      <c r="L616" s="88" t="s">
        <v>4190</v>
      </c>
      <c r="M616" s="10"/>
      <c r="N616" s="8"/>
      <c r="O616" s="1"/>
    </row>
    <row r="617" spans="1:15" ht="36.6" customHeight="1">
      <c r="A617" s="10">
        <v>1</v>
      </c>
      <c r="B617" s="33" t="s">
        <v>2178</v>
      </c>
      <c r="C617" s="41" t="s">
        <v>398</v>
      </c>
      <c r="D617" s="102" t="s">
        <v>5337</v>
      </c>
      <c r="E617" s="103" t="s">
        <v>619</v>
      </c>
      <c r="F617" s="102" t="s">
        <v>5338</v>
      </c>
      <c r="G617" s="102" t="s">
        <v>66</v>
      </c>
      <c r="H617" s="8" t="s">
        <v>67</v>
      </c>
      <c r="I617" s="70"/>
      <c r="J617" s="70"/>
      <c r="K617" s="8" t="s">
        <v>3568</v>
      </c>
      <c r="L617" s="88" t="s">
        <v>4190</v>
      </c>
      <c r="M617" s="10"/>
      <c r="N617" s="8"/>
      <c r="O617" s="1"/>
    </row>
    <row r="618" spans="1:15" ht="36.6" customHeight="1">
      <c r="A618" s="10">
        <v>1</v>
      </c>
      <c r="B618" s="33" t="s">
        <v>2178</v>
      </c>
      <c r="C618" s="41" t="s">
        <v>398</v>
      </c>
      <c r="D618" s="102" t="s">
        <v>5339</v>
      </c>
      <c r="E618" s="103" t="s">
        <v>323</v>
      </c>
      <c r="F618" s="102" t="s">
        <v>5340</v>
      </c>
      <c r="G618" s="102" t="s">
        <v>1582</v>
      </c>
      <c r="H618" s="8" t="s">
        <v>47</v>
      </c>
      <c r="I618" s="70"/>
      <c r="J618" s="70"/>
      <c r="K618" s="8" t="s">
        <v>3568</v>
      </c>
      <c r="L618" s="88" t="s">
        <v>4190</v>
      </c>
      <c r="M618" s="10"/>
      <c r="N618" s="8"/>
      <c r="O618" s="1"/>
    </row>
    <row r="619" spans="1:15" ht="36.6" customHeight="1">
      <c r="A619" s="10">
        <v>1</v>
      </c>
      <c r="B619" s="33" t="s">
        <v>2178</v>
      </c>
      <c r="C619" s="41" t="s">
        <v>398</v>
      </c>
      <c r="D619" s="102" t="s">
        <v>5341</v>
      </c>
      <c r="E619" s="103" t="s">
        <v>39</v>
      </c>
      <c r="F619" s="102" t="s">
        <v>5342</v>
      </c>
      <c r="G619" s="102" t="s">
        <v>41</v>
      </c>
      <c r="H619" s="8" t="s">
        <v>33</v>
      </c>
      <c r="I619" s="70"/>
      <c r="J619" s="70"/>
      <c r="K619" s="8" t="s">
        <v>3568</v>
      </c>
      <c r="L619" s="88" t="s">
        <v>4190</v>
      </c>
      <c r="M619" s="10"/>
      <c r="N619" s="8"/>
      <c r="O619" s="1"/>
    </row>
    <row r="620" spans="1:15" ht="36.6" customHeight="1">
      <c r="A620" s="10">
        <v>1</v>
      </c>
      <c r="B620" s="33" t="s">
        <v>2178</v>
      </c>
      <c r="C620" s="41" t="s">
        <v>398</v>
      </c>
      <c r="D620" s="102" t="s">
        <v>5343</v>
      </c>
      <c r="E620" s="103" t="s">
        <v>1741</v>
      </c>
      <c r="F620" s="102" t="s">
        <v>5344</v>
      </c>
      <c r="G620" s="102" t="s">
        <v>1570</v>
      </c>
      <c r="H620" s="8" t="s">
        <v>67</v>
      </c>
      <c r="I620" s="70"/>
      <c r="J620" s="70"/>
      <c r="K620" s="8" t="s">
        <v>3568</v>
      </c>
      <c r="L620" s="88" t="s">
        <v>4190</v>
      </c>
      <c r="M620" s="10"/>
      <c r="N620" s="8"/>
      <c r="O620" s="1"/>
    </row>
    <row r="621" spans="1:15" ht="36.6" customHeight="1">
      <c r="A621" s="10">
        <v>1</v>
      </c>
      <c r="B621" s="33" t="s">
        <v>2178</v>
      </c>
      <c r="C621" s="41" t="s">
        <v>398</v>
      </c>
      <c r="D621" s="102" t="s">
        <v>5345</v>
      </c>
      <c r="E621" s="103" t="s">
        <v>1698</v>
      </c>
      <c r="F621" s="102" t="s">
        <v>5346</v>
      </c>
      <c r="G621" s="102" t="s">
        <v>1582</v>
      </c>
      <c r="H621" s="8" t="s">
        <v>47</v>
      </c>
      <c r="I621" s="70"/>
      <c r="J621" s="70"/>
      <c r="K621" s="8" t="s">
        <v>3568</v>
      </c>
      <c r="L621" s="88" t="s">
        <v>4190</v>
      </c>
      <c r="M621" s="10"/>
      <c r="N621" s="8"/>
      <c r="O621" s="1"/>
    </row>
    <row r="622" spans="1:15" ht="36.6" customHeight="1">
      <c r="A622" s="10">
        <v>1</v>
      </c>
      <c r="B622" s="33" t="s">
        <v>2178</v>
      </c>
      <c r="C622" s="41" t="s">
        <v>398</v>
      </c>
      <c r="D622" s="102" t="s">
        <v>5347</v>
      </c>
      <c r="E622" s="103" t="s">
        <v>323</v>
      </c>
      <c r="F622" s="102" t="s">
        <v>5348</v>
      </c>
      <c r="G622" s="102" t="s">
        <v>1582</v>
      </c>
      <c r="H622" s="8" t="s">
        <v>47</v>
      </c>
      <c r="I622" s="70"/>
      <c r="J622" s="70"/>
      <c r="K622" s="8" t="s">
        <v>3568</v>
      </c>
      <c r="L622" s="88" t="s">
        <v>4190</v>
      </c>
      <c r="M622" s="10"/>
      <c r="N622" s="8"/>
      <c r="O622" s="1"/>
    </row>
    <row r="623" spans="1:15" ht="36.6" customHeight="1">
      <c r="A623" s="10">
        <v>1</v>
      </c>
      <c r="B623" s="33" t="s">
        <v>2178</v>
      </c>
      <c r="C623" s="41" t="s">
        <v>398</v>
      </c>
      <c r="D623" s="102" t="s">
        <v>5349</v>
      </c>
      <c r="E623" s="103" t="s">
        <v>1637</v>
      </c>
      <c r="F623" s="102" t="s">
        <v>5350</v>
      </c>
      <c r="G623" s="102" t="s">
        <v>66</v>
      </c>
      <c r="H623" s="8" t="s">
        <v>67</v>
      </c>
      <c r="I623" s="70"/>
      <c r="J623" s="70"/>
      <c r="K623" s="8" t="s">
        <v>3568</v>
      </c>
      <c r="L623" s="88" t="s">
        <v>4190</v>
      </c>
      <c r="M623" s="10"/>
      <c r="N623" s="8"/>
      <c r="O623" s="1"/>
    </row>
    <row r="624" spans="1:15" ht="36.6" customHeight="1">
      <c r="A624" s="10">
        <v>1</v>
      </c>
      <c r="B624" s="33" t="s">
        <v>2178</v>
      </c>
      <c r="C624" s="41" t="s">
        <v>398</v>
      </c>
      <c r="D624" s="102" t="s">
        <v>5351</v>
      </c>
      <c r="E624" s="103" t="s">
        <v>1595</v>
      </c>
      <c r="F624" s="102" t="s">
        <v>5352</v>
      </c>
      <c r="G624" s="102" t="s">
        <v>66</v>
      </c>
      <c r="H624" s="8" t="s">
        <v>67</v>
      </c>
      <c r="I624" s="70"/>
      <c r="J624" s="70"/>
      <c r="K624" s="8" t="s">
        <v>3568</v>
      </c>
      <c r="L624" s="88" t="s">
        <v>4190</v>
      </c>
      <c r="M624" s="10"/>
      <c r="N624" s="8"/>
      <c r="O624" s="1"/>
    </row>
    <row r="625" spans="1:15" ht="36.6" customHeight="1">
      <c r="A625" s="10">
        <v>1</v>
      </c>
      <c r="B625" s="33" t="s">
        <v>2178</v>
      </c>
      <c r="C625" s="41" t="s">
        <v>398</v>
      </c>
      <c r="D625" s="102" t="s">
        <v>5353</v>
      </c>
      <c r="E625" s="103" t="s">
        <v>817</v>
      </c>
      <c r="F625" s="102" t="s">
        <v>5354</v>
      </c>
      <c r="G625" s="102" t="s">
        <v>41</v>
      </c>
      <c r="H625" s="8" t="s">
        <v>33</v>
      </c>
      <c r="I625" s="70"/>
      <c r="J625" s="70"/>
      <c r="K625" s="8" t="s">
        <v>3568</v>
      </c>
      <c r="L625" s="88" t="s">
        <v>4190</v>
      </c>
      <c r="M625" s="10"/>
      <c r="N625" s="8"/>
      <c r="O625" s="1"/>
    </row>
    <row r="626" spans="1:15" ht="36.6" customHeight="1">
      <c r="A626" s="10">
        <v>1</v>
      </c>
      <c r="B626" s="33" t="s">
        <v>2178</v>
      </c>
      <c r="C626" s="41" t="s">
        <v>398</v>
      </c>
      <c r="D626" s="102" t="s">
        <v>5355</v>
      </c>
      <c r="E626" s="103" t="s">
        <v>298</v>
      </c>
      <c r="F626" s="102" t="s">
        <v>5356</v>
      </c>
      <c r="G626" s="102" t="s">
        <v>1570</v>
      </c>
      <c r="H626" s="8" t="s">
        <v>67</v>
      </c>
      <c r="I626" s="70"/>
      <c r="J626" s="70"/>
      <c r="K626" s="8" t="s">
        <v>3568</v>
      </c>
      <c r="L626" s="88" t="s">
        <v>4190</v>
      </c>
      <c r="M626" s="10"/>
      <c r="N626" s="8"/>
      <c r="O626" s="1"/>
    </row>
    <row r="627" spans="1:15" ht="36.6" customHeight="1">
      <c r="A627" s="10">
        <v>1</v>
      </c>
      <c r="B627" s="33" t="s">
        <v>2178</v>
      </c>
      <c r="C627" s="41" t="s">
        <v>398</v>
      </c>
      <c r="D627" s="102" t="s">
        <v>5357</v>
      </c>
      <c r="E627" s="103" t="s">
        <v>5358</v>
      </c>
      <c r="F627" s="102" t="s">
        <v>5359</v>
      </c>
      <c r="G627" s="102" t="s">
        <v>1570</v>
      </c>
      <c r="H627" s="8" t="s">
        <v>67</v>
      </c>
      <c r="I627" s="70"/>
      <c r="J627" s="70"/>
      <c r="K627" s="8" t="s">
        <v>3568</v>
      </c>
      <c r="L627" s="88" t="s">
        <v>4190</v>
      </c>
      <c r="M627" s="10"/>
      <c r="N627" s="8"/>
      <c r="O627" s="1"/>
    </row>
    <row r="628" spans="1:15" ht="36.6" customHeight="1">
      <c r="A628" s="10">
        <v>1</v>
      </c>
      <c r="B628" s="33" t="s">
        <v>2178</v>
      </c>
      <c r="C628" s="41" t="s">
        <v>398</v>
      </c>
      <c r="D628" s="102" t="s">
        <v>5360</v>
      </c>
      <c r="E628" s="103" t="s">
        <v>298</v>
      </c>
      <c r="F628" s="102" t="s">
        <v>5361</v>
      </c>
      <c r="G628" s="102" t="s">
        <v>1570</v>
      </c>
      <c r="H628" s="8" t="s">
        <v>67</v>
      </c>
      <c r="I628" s="70"/>
      <c r="J628" s="70"/>
      <c r="K628" s="8" t="s">
        <v>3568</v>
      </c>
      <c r="L628" s="88" t="s">
        <v>4190</v>
      </c>
      <c r="M628" s="10"/>
      <c r="N628" s="8"/>
      <c r="O628" s="1"/>
    </row>
    <row r="629" spans="1:15" ht="36.6" customHeight="1">
      <c r="A629" s="10">
        <v>1</v>
      </c>
      <c r="B629" s="33" t="s">
        <v>2178</v>
      </c>
      <c r="C629" s="41" t="s">
        <v>398</v>
      </c>
      <c r="D629" s="102" t="s">
        <v>5362</v>
      </c>
      <c r="E629" s="103" t="s">
        <v>231</v>
      </c>
      <c r="F629" s="102" t="s">
        <v>5363</v>
      </c>
      <c r="G629" s="102" t="s">
        <v>32</v>
      </c>
      <c r="H629" s="8" t="s">
        <v>33</v>
      </c>
      <c r="I629" s="70"/>
      <c r="J629" s="70"/>
      <c r="K629" s="8" t="s">
        <v>3568</v>
      </c>
      <c r="L629" s="88" t="s">
        <v>4190</v>
      </c>
      <c r="M629" s="10"/>
      <c r="N629" s="8"/>
      <c r="O629" s="1"/>
    </row>
    <row r="630" spans="1:15" ht="36.6" customHeight="1">
      <c r="A630" s="10">
        <v>1</v>
      </c>
      <c r="B630" s="33" t="s">
        <v>2178</v>
      </c>
      <c r="C630" s="41" t="s">
        <v>398</v>
      </c>
      <c r="D630" s="102" t="s">
        <v>5364</v>
      </c>
      <c r="E630" s="103" t="s">
        <v>323</v>
      </c>
      <c r="F630" s="102" t="s">
        <v>5365</v>
      </c>
      <c r="G630" s="102" t="s">
        <v>1582</v>
      </c>
      <c r="H630" s="8" t="s">
        <v>47</v>
      </c>
      <c r="I630" s="70"/>
      <c r="J630" s="70"/>
      <c r="K630" s="8" t="s">
        <v>3568</v>
      </c>
      <c r="L630" s="88" t="s">
        <v>4190</v>
      </c>
      <c r="M630" s="10"/>
      <c r="N630" s="8"/>
      <c r="O630" s="1"/>
    </row>
    <row r="631" spans="1:15" ht="36.6" customHeight="1">
      <c r="A631" s="10">
        <v>1</v>
      </c>
      <c r="B631" s="33" t="s">
        <v>2178</v>
      </c>
      <c r="C631" s="41" t="s">
        <v>398</v>
      </c>
      <c r="D631" s="102" t="s">
        <v>5366</v>
      </c>
      <c r="E631" s="103" t="s">
        <v>290</v>
      </c>
      <c r="F631" s="102" t="s">
        <v>5367</v>
      </c>
      <c r="G631" s="102" t="s">
        <v>1570</v>
      </c>
      <c r="H631" s="8" t="s">
        <v>67</v>
      </c>
      <c r="I631" s="70"/>
      <c r="J631" s="70"/>
      <c r="K631" s="8" t="s">
        <v>3568</v>
      </c>
      <c r="L631" s="88" t="s">
        <v>4190</v>
      </c>
      <c r="M631" s="10"/>
      <c r="N631" s="8"/>
      <c r="O631" s="1"/>
    </row>
    <row r="632" spans="1:15" ht="36.6" customHeight="1">
      <c r="A632" s="10">
        <v>1</v>
      </c>
      <c r="B632" s="33" t="s">
        <v>2178</v>
      </c>
      <c r="C632" s="41" t="s">
        <v>398</v>
      </c>
      <c r="D632" s="102" t="s">
        <v>5368</v>
      </c>
      <c r="E632" s="103" t="s">
        <v>1584</v>
      </c>
      <c r="F632" s="102" t="s">
        <v>5369</v>
      </c>
      <c r="G632" s="102" t="s">
        <v>1582</v>
      </c>
      <c r="H632" s="8" t="s">
        <v>47</v>
      </c>
      <c r="I632" s="70"/>
      <c r="J632" s="70"/>
      <c r="K632" s="8" t="s">
        <v>3568</v>
      </c>
      <c r="L632" s="88" t="s">
        <v>4190</v>
      </c>
      <c r="M632" s="10"/>
      <c r="N632" s="8"/>
      <c r="O632" s="1"/>
    </row>
    <row r="633" spans="1:15" ht="36.6" customHeight="1">
      <c r="A633" s="10">
        <v>1</v>
      </c>
      <c r="B633" s="33" t="s">
        <v>2178</v>
      </c>
      <c r="C633" s="41" t="s">
        <v>398</v>
      </c>
      <c r="D633" s="102" t="s">
        <v>5370</v>
      </c>
      <c r="E633" s="103" t="s">
        <v>39</v>
      </c>
      <c r="F633" s="102" t="s">
        <v>5371</v>
      </c>
      <c r="G633" s="102" t="s">
        <v>41</v>
      </c>
      <c r="H633" s="8" t="s">
        <v>33</v>
      </c>
      <c r="I633" s="70"/>
      <c r="J633" s="70"/>
      <c r="K633" s="8" t="s">
        <v>3568</v>
      </c>
      <c r="L633" s="88" t="s">
        <v>4190</v>
      </c>
      <c r="M633" s="10"/>
      <c r="N633" s="8"/>
      <c r="O633" s="1"/>
    </row>
    <row r="634" spans="1:15" ht="36.6" customHeight="1">
      <c r="A634" s="10">
        <v>1</v>
      </c>
      <c r="B634" s="33" t="s">
        <v>2178</v>
      </c>
      <c r="C634" s="41" t="s">
        <v>398</v>
      </c>
      <c r="D634" s="102" t="s">
        <v>5372</v>
      </c>
      <c r="E634" s="103" t="s">
        <v>1620</v>
      </c>
      <c r="F634" s="102" t="s">
        <v>5373</v>
      </c>
      <c r="G634" s="102" t="s">
        <v>41</v>
      </c>
      <c r="H634" s="8" t="s">
        <v>33</v>
      </c>
      <c r="I634" s="70"/>
      <c r="J634" s="70"/>
      <c r="K634" s="8" t="s">
        <v>3568</v>
      </c>
      <c r="L634" s="88" t="s">
        <v>4190</v>
      </c>
      <c r="M634" s="10"/>
      <c r="N634" s="8"/>
      <c r="O634" s="1"/>
    </row>
    <row r="635" spans="1:15" ht="36.6" customHeight="1">
      <c r="A635" s="10">
        <v>1</v>
      </c>
      <c r="B635" s="33" t="s">
        <v>2178</v>
      </c>
      <c r="C635" s="41" t="s">
        <v>398</v>
      </c>
      <c r="D635" s="102" t="s">
        <v>5374</v>
      </c>
      <c r="E635" s="103" t="s">
        <v>3672</v>
      </c>
      <c r="F635" s="102" t="s">
        <v>5375</v>
      </c>
      <c r="G635" s="102" t="s">
        <v>1603</v>
      </c>
      <c r="H635" s="8" t="s">
        <v>33</v>
      </c>
      <c r="I635" s="70"/>
      <c r="J635" s="70"/>
      <c r="K635" s="8" t="s">
        <v>3568</v>
      </c>
      <c r="L635" s="88" t="s">
        <v>4190</v>
      </c>
      <c r="M635" s="10"/>
      <c r="N635" s="8"/>
      <c r="O635" s="1"/>
    </row>
    <row r="636" spans="1:15" ht="36.6" customHeight="1">
      <c r="A636" s="10">
        <v>1</v>
      </c>
      <c r="B636" s="33" t="s">
        <v>2178</v>
      </c>
      <c r="C636" s="41" t="s">
        <v>398</v>
      </c>
      <c r="D636" s="102" t="s">
        <v>5376</v>
      </c>
      <c r="E636" s="103" t="s">
        <v>817</v>
      </c>
      <c r="F636" s="102" t="s">
        <v>5377</v>
      </c>
      <c r="G636" s="102" t="s">
        <v>41</v>
      </c>
      <c r="H636" s="8" t="s">
        <v>33</v>
      </c>
      <c r="I636" s="70"/>
      <c r="J636" s="70"/>
      <c r="K636" s="8" t="s">
        <v>3568</v>
      </c>
      <c r="L636" s="88" t="s">
        <v>4190</v>
      </c>
      <c r="M636" s="10"/>
      <c r="N636" s="8"/>
      <c r="O636" s="1"/>
    </row>
    <row r="637" spans="1:15" ht="36.6" customHeight="1">
      <c r="A637" s="10">
        <v>1</v>
      </c>
      <c r="B637" s="33" t="s">
        <v>2178</v>
      </c>
      <c r="C637" s="41" t="s">
        <v>398</v>
      </c>
      <c r="D637" s="102" t="s">
        <v>5378</v>
      </c>
      <c r="E637" s="103" t="s">
        <v>525</v>
      </c>
      <c r="F637" s="102" t="s">
        <v>5379</v>
      </c>
      <c r="G637" s="102" t="s">
        <v>1603</v>
      </c>
      <c r="H637" s="8" t="s">
        <v>33</v>
      </c>
      <c r="I637" s="70"/>
      <c r="J637" s="70"/>
      <c r="K637" s="8" t="s">
        <v>3568</v>
      </c>
      <c r="L637" s="88" t="s">
        <v>4190</v>
      </c>
      <c r="M637" s="10"/>
      <c r="N637" s="8"/>
      <c r="O637" s="1"/>
    </row>
    <row r="638" spans="1:15" ht="36.6" customHeight="1">
      <c r="A638" s="10">
        <v>1</v>
      </c>
      <c r="B638" s="33" t="s">
        <v>2178</v>
      </c>
      <c r="C638" s="41" t="s">
        <v>398</v>
      </c>
      <c r="D638" s="102" t="s">
        <v>5380</v>
      </c>
      <c r="E638" s="103" t="s">
        <v>1770</v>
      </c>
      <c r="F638" s="102" t="s">
        <v>5381</v>
      </c>
      <c r="G638" s="102" t="s">
        <v>66</v>
      </c>
      <c r="H638" s="8" t="s">
        <v>67</v>
      </c>
      <c r="I638" s="70"/>
      <c r="J638" s="70"/>
      <c r="K638" s="8" t="s">
        <v>3568</v>
      </c>
      <c r="L638" s="88" t="s">
        <v>4190</v>
      </c>
      <c r="M638" s="10"/>
      <c r="N638" s="8"/>
      <c r="O638" s="1"/>
    </row>
    <row r="639" spans="1:15" ht="36.6" customHeight="1">
      <c r="A639" s="10">
        <v>1</v>
      </c>
      <c r="B639" s="33" t="s">
        <v>2178</v>
      </c>
      <c r="C639" s="41" t="s">
        <v>398</v>
      </c>
      <c r="D639" s="102" t="s">
        <v>5382</v>
      </c>
      <c r="E639" s="103" t="s">
        <v>5383</v>
      </c>
      <c r="F639" s="102" t="s">
        <v>5384</v>
      </c>
      <c r="G639" s="102" t="s">
        <v>1570</v>
      </c>
      <c r="H639" s="8" t="s">
        <v>67</v>
      </c>
      <c r="I639" s="70"/>
      <c r="J639" s="70"/>
      <c r="K639" s="8" t="s">
        <v>3568</v>
      </c>
      <c r="L639" s="88" t="s">
        <v>4190</v>
      </c>
      <c r="M639" s="10"/>
      <c r="N639" s="8"/>
      <c r="O639" s="1"/>
    </row>
    <row r="640" spans="1:15" ht="36.6" customHeight="1">
      <c r="A640" s="10">
        <v>1</v>
      </c>
      <c r="B640" s="33" t="s">
        <v>2178</v>
      </c>
      <c r="C640" s="41" t="s">
        <v>398</v>
      </c>
      <c r="D640" s="102" t="s">
        <v>5385</v>
      </c>
      <c r="E640" s="103" t="s">
        <v>165</v>
      </c>
      <c r="F640" s="102" t="s">
        <v>5386</v>
      </c>
      <c r="G640" s="102" t="s">
        <v>66</v>
      </c>
      <c r="H640" s="8" t="s">
        <v>67</v>
      </c>
      <c r="I640" s="70"/>
      <c r="J640" s="70"/>
      <c r="K640" s="8" t="s">
        <v>3568</v>
      </c>
      <c r="L640" s="88" t="s">
        <v>4190</v>
      </c>
      <c r="M640" s="10"/>
      <c r="N640" s="8"/>
      <c r="O640" s="1"/>
    </row>
    <row r="641" spans="1:15" ht="36.6" customHeight="1">
      <c r="A641" s="10">
        <v>1</v>
      </c>
      <c r="B641" s="33" t="s">
        <v>2178</v>
      </c>
      <c r="C641" s="41" t="s">
        <v>398</v>
      </c>
      <c r="D641" s="102" t="s">
        <v>5387</v>
      </c>
      <c r="E641" s="103" t="s">
        <v>1672</v>
      </c>
      <c r="F641" s="102" t="s">
        <v>5388</v>
      </c>
      <c r="G641" s="102" t="s">
        <v>66</v>
      </c>
      <c r="H641" s="8" t="s">
        <v>67</v>
      </c>
      <c r="I641" s="70"/>
      <c r="J641" s="70"/>
      <c r="K641" s="8" t="s">
        <v>3568</v>
      </c>
      <c r="L641" s="88" t="s">
        <v>4190</v>
      </c>
      <c r="M641" s="10"/>
      <c r="N641" s="8"/>
      <c r="O641" s="1"/>
    </row>
    <row r="642" spans="1:15" ht="36.6" customHeight="1">
      <c r="A642" s="10">
        <v>1</v>
      </c>
      <c r="B642" s="33" t="s">
        <v>2178</v>
      </c>
      <c r="C642" s="41" t="s">
        <v>398</v>
      </c>
      <c r="D642" s="102" t="s">
        <v>5389</v>
      </c>
      <c r="E642" s="103" t="s">
        <v>1582</v>
      </c>
      <c r="F642" s="102" t="s">
        <v>5390</v>
      </c>
      <c r="G642" s="102" t="s">
        <v>1582</v>
      </c>
      <c r="H642" s="8" t="s">
        <v>47</v>
      </c>
      <c r="I642" s="70"/>
      <c r="J642" s="70"/>
      <c r="K642" s="8" t="s">
        <v>3568</v>
      </c>
      <c r="L642" s="88" t="s">
        <v>4190</v>
      </c>
      <c r="M642" s="10"/>
      <c r="N642" s="8"/>
      <c r="O642" s="1"/>
    </row>
    <row r="643" spans="1:15" ht="36.6" customHeight="1">
      <c r="A643" s="10">
        <v>1</v>
      </c>
      <c r="B643" s="33" t="s">
        <v>2178</v>
      </c>
      <c r="C643" s="41" t="s">
        <v>398</v>
      </c>
      <c r="D643" s="102" t="s">
        <v>5391</v>
      </c>
      <c r="E643" s="103" t="s">
        <v>1559</v>
      </c>
      <c r="F643" s="102" t="s">
        <v>5392</v>
      </c>
      <c r="G643" s="102" t="s">
        <v>32</v>
      </c>
      <c r="H643" s="8" t="s">
        <v>33</v>
      </c>
      <c r="I643" s="70"/>
      <c r="J643" s="70"/>
      <c r="K643" s="8" t="s">
        <v>3568</v>
      </c>
      <c r="L643" s="88" t="s">
        <v>4190</v>
      </c>
      <c r="M643" s="10"/>
      <c r="N643" s="8"/>
      <c r="O643" s="1"/>
    </row>
    <row r="644" spans="1:15" ht="36.6" customHeight="1">
      <c r="A644" s="10">
        <v>1</v>
      </c>
      <c r="B644" s="33" t="s">
        <v>2178</v>
      </c>
      <c r="C644" s="41" t="s">
        <v>398</v>
      </c>
      <c r="D644" s="102" t="s">
        <v>5393</v>
      </c>
      <c r="E644" s="103" t="s">
        <v>161</v>
      </c>
      <c r="F644" s="102" t="s">
        <v>5394</v>
      </c>
      <c r="G644" s="102" t="s">
        <v>66</v>
      </c>
      <c r="H644" s="8" t="s">
        <v>67</v>
      </c>
      <c r="I644" s="70"/>
      <c r="J644" s="70"/>
      <c r="K644" s="8" t="s">
        <v>3568</v>
      </c>
      <c r="L644" s="88" t="s">
        <v>4190</v>
      </c>
      <c r="M644" s="10"/>
      <c r="N644" s="8"/>
      <c r="O644" s="1"/>
    </row>
    <row r="645" spans="1:15" ht="36.6" customHeight="1">
      <c r="A645" s="10">
        <v>1</v>
      </c>
      <c r="B645" s="33" t="s">
        <v>2178</v>
      </c>
      <c r="C645" s="41" t="s">
        <v>398</v>
      </c>
      <c r="D645" s="102" t="s">
        <v>5395</v>
      </c>
      <c r="E645" s="103" t="s">
        <v>290</v>
      </c>
      <c r="F645" s="102" t="s">
        <v>5396</v>
      </c>
      <c r="G645" s="102" t="s">
        <v>1570</v>
      </c>
      <c r="H645" s="8" t="s">
        <v>67</v>
      </c>
      <c r="I645" s="70"/>
      <c r="J645" s="70"/>
      <c r="K645" s="8" t="s">
        <v>3568</v>
      </c>
      <c r="L645" s="88" t="s">
        <v>4190</v>
      </c>
      <c r="M645" s="10"/>
      <c r="N645" s="8"/>
      <c r="O645" s="1"/>
    </row>
    <row r="646" spans="1:15" ht="36.6" customHeight="1">
      <c r="A646" s="10">
        <v>1</v>
      </c>
      <c r="B646" s="33" t="s">
        <v>2178</v>
      </c>
      <c r="C646" s="41" t="s">
        <v>398</v>
      </c>
      <c r="D646" s="102" t="s">
        <v>5397</v>
      </c>
      <c r="E646" s="103" t="s">
        <v>315</v>
      </c>
      <c r="F646" s="102" t="s">
        <v>5398</v>
      </c>
      <c r="G646" s="102" t="s">
        <v>66</v>
      </c>
      <c r="H646" s="8" t="s">
        <v>67</v>
      </c>
      <c r="I646" s="70"/>
      <c r="J646" s="70"/>
      <c r="K646" s="8" t="s">
        <v>3568</v>
      </c>
      <c r="L646" s="88" t="s">
        <v>4190</v>
      </c>
      <c r="M646" s="10"/>
      <c r="N646" s="8"/>
      <c r="O646" s="1"/>
    </row>
    <row r="647" spans="1:15" ht="36.6" customHeight="1">
      <c r="A647" s="10">
        <v>1</v>
      </c>
      <c r="B647" s="33" t="s">
        <v>2178</v>
      </c>
      <c r="C647" s="41" t="s">
        <v>398</v>
      </c>
      <c r="D647" s="102" t="s">
        <v>5399</v>
      </c>
      <c r="E647" s="103" t="s">
        <v>1672</v>
      </c>
      <c r="F647" s="102" t="s">
        <v>5400</v>
      </c>
      <c r="G647" s="102" t="s">
        <v>66</v>
      </c>
      <c r="H647" s="8" t="s">
        <v>67</v>
      </c>
      <c r="I647" s="70"/>
      <c r="J647" s="70"/>
      <c r="K647" s="8" t="s">
        <v>3568</v>
      </c>
      <c r="L647" s="88" t="s">
        <v>4190</v>
      </c>
      <c r="M647" s="10"/>
      <c r="N647" s="8"/>
      <c r="O647" s="1"/>
    </row>
    <row r="648" spans="1:15" ht="36.6" customHeight="1">
      <c r="A648" s="10">
        <v>1</v>
      </c>
      <c r="B648" s="33" t="s">
        <v>2178</v>
      </c>
      <c r="C648" s="41" t="s">
        <v>398</v>
      </c>
      <c r="D648" s="102" t="s">
        <v>5401</v>
      </c>
      <c r="E648" s="103" t="s">
        <v>315</v>
      </c>
      <c r="F648" s="102" t="s">
        <v>5402</v>
      </c>
      <c r="G648" s="102" t="s">
        <v>66</v>
      </c>
      <c r="H648" s="8" t="s">
        <v>67</v>
      </c>
      <c r="I648" s="70"/>
      <c r="J648" s="70"/>
      <c r="K648" s="8" t="s">
        <v>3568</v>
      </c>
      <c r="L648" s="88" t="s">
        <v>4190</v>
      </c>
      <c r="M648" s="10"/>
      <c r="N648" s="8"/>
      <c r="O648" s="1"/>
    </row>
    <row r="649" spans="1:15" ht="36.6" customHeight="1">
      <c r="A649" s="10">
        <v>1</v>
      </c>
      <c r="B649" s="33" t="s">
        <v>2178</v>
      </c>
      <c r="C649" s="41" t="s">
        <v>398</v>
      </c>
      <c r="D649" s="102" t="s">
        <v>5403</v>
      </c>
      <c r="E649" s="103" t="s">
        <v>315</v>
      </c>
      <c r="F649" s="102" t="s">
        <v>5404</v>
      </c>
      <c r="G649" s="102" t="s">
        <v>66</v>
      </c>
      <c r="H649" s="8" t="s">
        <v>67</v>
      </c>
      <c r="I649" s="70"/>
      <c r="J649" s="70"/>
      <c r="K649" s="8" t="s">
        <v>3568</v>
      </c>
      <c r="L649" s="88" t="s">
        <v>4190</v>
      </c>
      <c r="M649" s="10"/>
      <c r="N649" s="8"/>
      <c r="O649" s="1"/>
    </row>
    <row r="650" spans="1:15" ht="36.6" customHeight="1">
      <c r="A650" s="10">
        <v>1</v>
      </c>
      <c r="B650" s="33" t="s">
        <v>2178</v>
      </c>
      <c r="C650" s="41" t="s">
        <v>398</v>
      </c>
      <c r="D650" s="102" t="s">
        <v>5405</v>
      </c>
      <c r="E650" s="103" t="s">
        <v>161</v>
      </c>
      <c r="F650" s="102" t="s">
        <v>5406</v>
      </c>
      <c r="G650" s="102" t="s">
        <v>66</v>
      </c>
      <c r="H650" s="8" t="s">
        <v>67</v>
      </c>
      <c r="I650" s="70"/>
      <c r="J650" s="70"/>
      <c r="K650" s="8" t="s">
        <v>3568</v>
      </c>
      <c r="L650" s="88" t="s">
        <v>4190</v>
      </c>
      <c r="M650" s="10"/>
      <c r="N650" s="8"/>
      <c r="O650" s="1"/>
    </row>
    <row r="651" spans="1:15" ht="36.6" customHeight="1">
      <c r="A651" s="10">
        <v>1</v>
      </c>
      <c r="B651" s="33" t="s">
        <v>2178</v>
      </c>
      <c r="C651" s="41" t="s">
        <v>398</v>
      </c>
      <c r="D651" s="102" t="s">
        <v>5407</v>
      </c>
      <c r="E651" s="103" t="s">
        <v>39</v>
      </c>
      <c r="F651" s="102" t="s">
        <v>5408</v>
      </c>
      <c r="G651" s="102" t="s">
        <v>41</v>
      </c>
      <c r="H651" s="8" t="s">
        <v>33</v>
      </c>
      <c r="I651" s="70"/>
      <c r="J651" s="70"/>
      <c r="K651" s="8" t="s">
        <v>3568</v>
      </c>
      <c r="L651" s="88" t="s">
        <v>4190</v>
      </c>
      <c r="M651" s="10"/>
      <c r="N651" s="8"/>
      <c r="O651" s="1"/>
    </row>
    <row r="652" spans="1:15" ht="36.6" customHeight="1">
      <c r="A652" s="10">
        <v>1</v>
      </c>
      <c r="B652" s="33" t="s">
        <v>2178</v>
      </c>
      <c r="C652" s="41" t="s">
        <v>398</v>
      </c>
      <c r="D652" s="102" t="s">
        <v>5409</v>
      </c>
      <c r="E652" s="103" t="s">
        <v>1695</v>
      </c>
      <c r="F652" s="102" t="s">
        <v>5410</v>
      </c>
      <c r="G652" s="102" t="s">
        <v>41</v>
      </c>
      <c r="H652" s="8" t="s">
        <v>33</v>
      </c>
      <c r="I652" s="70"/>
      <c r="J652" s="70"/>
      <c r="K652" s="8" t="s">
        <v>3568</v>
      </c>
      <c r="L652" s="88" t="s">
        <v>4190</v>
      </c>
      <c r="M652" s="10"/>
      <c r="N652" s="8"/>
      <c r="O652" s="1"/>
    </row>
    <row r="653" spans="1:15" ht="36.6" customHeight="1">
      <c r="A653" s="10">
        <v>1</v>
      </c>
      <c r="B653" s="33" t="s">
        <v>2178</v>
      </c>
      <c r="C653" s="41" t="s">
        <v>398</v>
      </c>
      <c r="D653" s="102" t="s">
        <v>5411</v>
      </c>
      <c r="E653" s="103" t="s">
        <v>1916</v>
      </c>
      <c r="F653" s="102" t="s">
        <v>5412</v>
      </c>
      <c r="G653" s="102" t="s">
        <v>1570</v>
      </c>
      <c r="H653" s="8" t="s">
        <v>67</v>
      </c>
      <c r="I653" s="70"/>
      <c r="J653" s="70"/>
      <c r="K653" s="8" t="s">
        <v>3568</v>
      </c>
      <c r="L653" s="88" t="s">
        <v>4190</v>
      </c>
      <c r="M653" s="10"/>
      <c r="N653" s="8"/>
      <c r="O653" s="1"/>
    </row>
    <row r="654" spans="1:15" ht="36.6" customHeight="1">
      <c r="A654" s="10">
        <v>1</v>
      </c>
      <c r="B654" s="33" t="s">
        <v>2178</v>
      </c>
      <c r="C654" s="41" t="s">
        <v>398</v>
      </c>
      <c r="D654" s="102" t="s">
        <v>5413</v>
      </c>
      <c r="E654" s="103" t="s">
        <v>89</v>
      </c>
      <c r="F654" s="102" t="s">
        <v>5414</v>
      </c>
      <c r="G654" s="102" t="s">
        <v>1570</v>
      </c>
      <c r="H654" s="8" t="s">
        <v>67</v>
      </c>
      <c r="I654" s="70"/>
      <c r="J654" s="70"/>
      <c r="K654" s="8" t="s">
        <v>3568</v>
      </c>
      <c r="L654" s="88" t="s">
        <v>4190</v>
      </c>
      <c r="M654" s="10"/>
      <c r="N654" s="8"/>
      <c r="O654" s="1"/>
    </row>
    <row r="655" spans="1:15" ht="36.6" customHeight="1">
      <c r="A655" s="10">
        <v>1</v>
      </c>
      <c r="B655" s="33" t="s">
        <v>2178</v>
      </c>
      <c r="C655" s="41" t="s">
        <v>398</v>
      </c>
      <c r="D655" s="102" t="s">
        <v>5415</v>
      </c>
      <c r="E655" s="103" t="s">
        <v>1916</v>
      </c>
      <c r="F655" s="102" t="s">
        <v>5416</v>
      </c>
      <c r="G655" s="102" t="s">
        <v>1570</v>
      </c>
      <c r="H655" s="8" t="s">
        <v>67</v>
      </c>
      <c r="I655" s="70"/>
      <c r="J655" s="70"/>
      <c r="K655" s="8" t="s">
        <v>3568</v>
      </c>
      <c r="L655" s="88" t="s">
        <v>4190</v>
      </c>
      <c r="M655" s="10"/>
      <c r="N655" s="8"/>
      <c r="O655" s="1"/>
    </row>
    <row r="656" spans="1:15" ht="36.6" customHeight="1">
      <c r="A656" s="10">
        <v>1</v>
      </c>
      <c r="B656" s="33" t="s">
        <v>2178</v>
      </c>
      <c r="C656" s="41" t="s">
        <v>398</v>
      </c>
      <c r="D656" s="102" t="s">
        <v>5417</v>
      </c>
      <c r="E656" s="103" t="s">
        <v>136</v>
      </c>
      <c r="F656" s="102" t="s">
        <v>5418</v>
      </c>
      <c r="G656" s="102" t="s">
        <v>66</v>
      </c>
      <c r="H656" s="8" t="s">
        <v>67</v>
      </c>
      <c r="I656" s="70"/>
      <c r="J656" s="70"/>
      <c r="K656" s="8" t="s">
        <v>3568</v>
      </c>
      <c r="L656" s="88" t="s">
        <v>4190</v>
      </c>
      <c r="M656" s="10"/>
      <c r="N656" s="8"/>
      <c r="O656" s="1"/>
    </row>
    <row r="657" spans="1:15" ht="36.6" customHeight="1">
      <c r="A657" s="10">
        <v>1</v>
      </c>
      <c r="B657" s="33" t="s">
        <v>2178</v>
      </c>
      <c r="C657" s="41" t="s">
        <v>398</v>
      </c>
      <c r="D657" s="102" t="s">
        <v>5419</v>
      </c>
      <c r="E657" s="103" t="s">
        <v>3672</v>
      </c>
      <c r="F657" s="102" t="s">
        <v>5420</v>
      </c>
      <c r="G657" s="102" t="s">
        <v>1603</v>
      </c>
      <c r="H657" s="8" t="s">
        <v>33</v>
      </c>
      <c r="I657" s="70"/>
      <c r="J657" s="70"/>
      <c r="K657" s="8" t="s">
        <v>3568</v>
      </c>
      <c r="L657" s="88" t="s">
        <v>4190</v>
      </c>
      <c r="M657" s="10"/>
      <c r="N657" s="8"/>
      <c r="O657" s="1"/>
    </row>
    <row r="658" spans="1:15" ht="36.6" customHeight="1">
      <c r="A658" s="10">
        <v>1</v>
      </c>
      <c r="B658" s="33" t="s">
        <v>2178</v>
      </c>
      <c r="C658" s="41" t="s">
        <v>398</v>
      </c>
      <c r="D658" s="102" t="s">
        <v>5421</v>
      </c>
      <c r="E658" s="103" t="s">
        <v>298</v>
      </c>
      <c r="F658" s="102" t="s">
        <v>5422</v>
      </c>
      <c r="G658" s="102" t="s">
        <v>1570</v>
      </c>
      <c r="H658" s="8" t="s">
        <v>67</v>
      </c>
      <c r="I658" s="70"/>
      <c r="J658" s="70"/>
      <c r="K658" s="8" t="s">
        <v>3568</v>
      </c>
      <c r="L658" s="88" t="s">
        <v>4190</v>
      </c>
      <c r="M658" s="10"/>
      <c r="N658" s="8"/>
      <c r="O658" s="1"/>
    </row>
    <row r="659" spans="1:15" ht="36.6" customHeight="1">
      <c r="A659" s="10">
        <v>1</v>
      </c>
      <c r="B659" s="33" t="s">
        <v>2178</v>
      </c>
      <c r="C659" s="41" t="s">
        <v>398</v>
      </c>
      <c r="D659" s="102" t="s">
        <v>5423</v>
      </c>
      <c r="E659" s="103" t="s">
        <v>817</v>
      </c>
      <c r="F659" s="102" t="s">
        <v>5424</v>
      </c>
      <c r="G659" s="102" t="s">
        <v>41</v>
      </c>
      <c r="H659" s="8" t="s">
        <v>33</v>
      </c>
      <c r="I659" s="70"/>
      <c r="J659" s="70"/>
      <c r="K659" s="8" t="s">
        <v>3568</v>
      </c>
      <c r="L659" s="88" t="s">
        <v>4190</v>
      </c>
      <c r="M659" s="10"/>
      <c r="N659" s="8"/>
      <c r="O659" s="1"/>
    </row>
    <row r="660" spans="1:15" ht="36.6" customHeight="1">
      <c r="A660" s="10">
        <v>1</v>
      </c>
      <c r="B660" s="33" t="s">
        <v>2178</v>
      </c>
      <c r="C660" s="41" t="s">
        <v>398</v>
      </c>
      <c r="D660" s="102" t="s">
        <v>5425</v>
      </c>
      <c r="E660" s="103" t="s">
        <v>52</v>
      </c>
      <c r="F660" s="102" t="s">
        <v>5426</v>
      </c>
      <c r="G660" s="102" t="s">
        <v>53</v>
      </c>
      <c r="H660" s="8" t="s">
        <v>33</v>
      </c>
      <c r="I660" s="70"/>
      <c r="J660" s="70"/>
      <c r="K660" s="8" t="s">
        <v>3568</v>
      </c>
      <c r="L660" s="88" t="s">
        <v>4190</v>
      </c>
      <c r="M660" s="10"/>
      <c r="N660" s="8"/>
      <c r="O660" s="1"/>
    </row>
    <row r="661" spans="1:15" ht="36.6" customHeight="1">
      <c r="A661" s="10">
        <v>1</v>
      </c>
      <c r="B661" s="33" t="s">
        <v>2178</v>
      </c>
      <c r="C661" s="41" t="s">
        <v>398</v>
      </c>
      <c r="D661" s="102" t="s">
        <v>5427</v>
      </c>
      <c r="E661" s="103" t="s">
        <v>817</v>
      </c>
      <c r="F661" s="102" t="s">
        <v>5428</v>
      </c>
      <c r="G661" s="102" t="s">
        <v>41</v>
      </c>
      <c r="H661" s="8" t="s">
        <v>33</v>
      </c>
      <c r="I661" s="70"/>
      <c r="J661" s="70"/>
      <c r="K661" s="8" t="s">
        <v>3568</v>
      </c>
      <c r="L661" s="88" t="s">
        <v>4190</v>
      </c>
      <c r="M661" s="10"/>
      <c r="N661" s="8"/>
      <c r="O661" s="1"/>
    </row>
    <row r="662" spans="1:15" ht="36.6" customHeight="1">
      <c r="A662" s="10">
        <v>1</v>
      </c>
      <c r="B662" s="33" t="s">
        <v>2178</v>
      </c>
      <c r="C662" s="41" t="s">
        <v>398</v>
      </c>
      <c r="D662" s="102" t="s">
        <v>5429</v>
      </c>
      <c r="E662" s="103" t="s">
        <v>1595</v>
      </c>
      <c r="F662" s="102" t="s">
        <v>5430</v>
      </c>
      <c r="G662" s="102" t="s">
        <v>66</v>
      </c>
      <c r="H662" s="8" t="s">
        <v>67</v>
      </c>
      <c r="I662" s="70"/>
      <c r="J662" s="70"/>
      <c r="K662" s="8" t="s">
        <v>3568</v>
      </c>
      <c r="L662" s="88" t="s">
        <v>4190</v>
      </c>
      <c r="M662" s="10"/>
      <c r="N662" s="8"/>
      <c r="O662" s="1"/>
    </row>
    <row r="663" spans="1:15" ht="36.6" customHeight="1">
      <c r="A663" s="10">
        <v>1</v>
      </c>
      <c r="B663" s="33" t="s">
        <v>2178</v>
      </c>
      <c r="C663" s="41" t="s">
        <v>398</v>
      </c>
      <c r="D663" s="102" t="s">
        <v>5431</v>
      </c>
      <c r="E663" s="103" t="s">
        <v>5432</v>
      </c>
      <c r="F663" s="102" t="s">
        <v>5433</v>
      </c>
      <c r="G663" s="102" t="s">
        <v>1582</v>
      </c>
      <c r="H663" s="8" t="s">
        <v>47</v>
      </c>
      <c r="I663" s="70"/>
      <c r="J663" s="70"/>
      <c r="K663" s="8" t="s">
        <v>3568</v>
      </c>
      <c r="L663" s="88" t="s">
        <v>4190</v>
      </c>
      <c r="M663" s="10"/>
      <c r="N663" s="8"/>
      <c r="O663" s="1"/>
    </row>
    <row r="664" spans="1:15" ht="36.6" customHeight="1">
      <c r="A664" s="10">
        <v>1</v>
      </c>
      <c r="B664" s="33" t="s">
        <v>2178</v>
      </c>
      <c r="C664" s="41" t="s">
        <v>398</v>
      </c>
      <c r="D664" s="102" t="s">
        <v>5434</v>
      </c>
      <c r="E664" s="103" t="s">
        <v>226</v>
      </c>
      <c r="F664" s="102" t="s">
        <v>5435</v>
      </c>
      <c r="G664" s="102" t="s">
        <v>1570</v>
      </c>
      <c r="H664" s="8" t="s">
        <v>67</v>
      </c>
      <c r="I664" s="70"/>
      <c r="J664" s="70"/>
      <c r="K664" s="8" t="s">
        <v>3568</v>
      </c>
      <c r="L664" s="88" t="s">
        <v>4190</v>
      </c>
      <c r="M664" s="10"/>
      <c r="N664" s="8"/>
      <c r="O664" s="1"/>
    </row>
    <row r="665" spans="1:15" ht="36.6" customHeight="1">
      <c r="A665" s="10">
        <v>1</v>
      </c>
      <c r="B665" s="33" t="s">
        <v>2178</v>
      </c>
      <c r="C665" s="41" t="s">
        <v>398</v>
      </c>
      <c r="D665" s="102" t="s">
        <v>5436</v>
      </c>
      <c r="E665" s="103" t="s">
        <v>39</v>
      </c>
      <c r="F665" s="102" t="s">
        <v>5437</v>
      </c>
      <c r="G665" s="102" t="s">
        <v>41</v>
      </c>
      <c r="H665" s="8" t="s">
        <v>33</v>
      </c>
      <c r="I665" s="70"/>
      <c r="J665" s="70"/>
      <c r="K665" s="8" t="s">
        <v>3568</v>
      </c>
      <c r="L665" s="88" t="s">
        <v>4190</v>
      </c>
      <c r="M665" s="10"/>
      <c r="N665" s="8"/>
      <c r="O665" s="1"/>
    </row>
    <row r="666" spans="1:15" ht="36.6" customHeight="1">
      <c r="A666" s="10">
        <v>1</v>
      </c>
      <c r="B666" s="33" t="s">
        <v>2178</v>
      </c>
      <c r="C666" s="41" t="s">
        <v>398</v>
      </c>
      <c r="D666" s="102" t="s">
        <v>5438</v>
      </c>
      <c r="E666" s="103" t="s">
        <v>686</v>
      </c>
      <c r="F666" s="102" t="s">
        <v>5439</v>
      </c>
      <c r="G666" s="102" t="s">
        <v>1570</v>
      </c>
      <c r="H666" s="8" t="s">
        <v>67</v>
      </c>
      <c r="I666" s="70"/>
      <c r="J666" s="70"/>
      <c r="K666" s="8" t="s">
        <v>3568</v>
      </c>
      <c r="L666" s="88" t="s">
        <v>4190</v>
      </c>
      <c r="M666" s="10"/>
      <c r="N666" s="8"/>
      <c r="O666" s="1"/>
    </row>
    <row r="667" spans="1:15" ht="36.6" customHeight="1">
      <c r="A667" s="10">
        <v>1</v>
      </c>
      <c r="B667" s="33" t="s">
        <v>2178</v>
      </c>
      <c r="C667" s="41" t="s">
        <v>398</v>
      </c>
      <c r="D667" s="102" t="s">
        <v>5440</v>
      </c>
      <c r="E667" s="103" t="s">
        <v>1605</v>
      </c>
      <c r="F667" s="102" t="s">
        <v>5441</v>
      </c>
      <c r="G667" s="102" t="s">
        <v>1582</v>
      </c>
      <c r="H667" s="8" t="s">
        <v>47</v>
      </c>
      <c r="I667" s="70"/>
      <c r="J667" s="70"/>
      <c r="K667" s="8" t="s">
        <v>3568</v>
      </c>
      <c r="L667" s="88" t="s">
        <v>4190</v>
      </c>
      <c r="M667" s="10"/>
      <c r="N667" s="8"/>
      <c r="O667" s="1"/>
    </row>
    <row r="668" spans="1:15" ht="36.6" customHeight="1">
      <c r="A668" s="10">
        <v>1</v>
      </c>
      <c r="B668" s="33" t="s">
        <v>2178</v>
      </c>
      <c r="C668" s="41" t="s">
        <v>398</v>
      </c>
      <c r="D668" s="102" t="s">
        <v>5442</v>
      </c>
      <c r="E668" s="103" t="s">
        <v>1474</v>
      </c>
      <c r="F668" s="102" t="s">
        <v>5443</v>
      </c>
      <c r="G668" s="102" t="s">
        <v>1603</v>
      </c>
      <c r="H668" s="8" t="s">
        <v>33</v>
      </c>
      <c r="I668" s="70"/>
      <c r="J668" s="70"/>
      <c r="K668" s="8" t="s">
        <v>3568</v>
      </c>
      <c r="L668" s="88" t="s">
        <v>4190</v>
      </c>
      <c r="M668" s="10"/>
      <c r="N668" s="8"/>
      <c r="O668" s="1"/>
    </row>
    <row r="669" spans="1:15" ht="36.6" customHeight="1">
      <c r="A669" s="10">
        <v>1</v>
      </c>
      <c r="B669" s="33" t="s">
        <v>2178</v>
      </c>
      <c r="C669" s="41" t="s">
        <v>398</v>
      </c>
      <c r="D669" s="102" t="s">
        <v>5444</v>
      </c>
      <c r="E669" s="103" t="s">
        <v>3748</v>
      </c>
      <c r="F669" s="102" t="s">
        <v>5445</v>
      </c>
      <c r="G669" s="102" t="s">
        <v>66</v>
      </c>
      <c r="H669" s="8" t="s">
        <v>67</v>
      </c>
      <c r="I669" s="70"/>
      <c r="J669" s="70"/>
      <c r="K669" s="8" t="s">
        <v>3568</v>
      </c>
      <c r="L669" s="88" t="s">
        <v>4190</v>
      </c>
      <c r="M669" s="10"/>
      <c r="N669" s="8"/>
      <c r="O669" s="1"/>
    </row>
    <row r="670" spans="1:15" ht="36.6" customHeight="1">
      <c r="A670" s="10">
        <v>1</v>
      </c>
      <c r="B670" s="33" t="s">
        <v>2178</v>
      </c>
      <c r="C670" s="41" t="s">
        <v>398</v>
      </c>
      <c r="D670" s="102" t="s">
        <v>5446</v>
      </c>
      <c r="E670" s="103" t="s">
        <v>686</v>
      </c>
      <c r="F670" s="102" t="s">
        <v>5447</v>
      </c>
      <c r="G670" s="102" t="s">
        <v>1570</v>
      </c>
      <c r="H670" s="8" t="s">
        <v>67</v>
      </c>
      <c r="I670" s="70"/>
      <c r="J670" s="70"/>
      <c r="K670" s="8" t="s">
        <v>3568</v>
      </c>
      <c r="L670" s="88" t="s">
        <v>4190</v>
      </c>
      <c r="M670" s="10"/>
      <c r="N670" s="8"/>
      <c r="O670" s="1"/>
    </row>
    <row r="671" spans="1:15" ht="36.6" customHeight="1">
      <c r="A671" s="10">
        <v>1</v>
      </c>
      <c r="B671" s="33" t="s">
        <v>2178</v>
      </c>
      <c r="C671" s="41" t="s">
        <v>398</v>
      </c>
      <c r="D671" s="102" t="s">
        <v>5448</v>
      </c>
      <c r="E671" s="103" t="s">
        <v>89</v>
      </c>
      <c r="F671" s="102" t="s">
        <v>5449</v>
      </c>
      <c r="G671" s="102" t="s">
        <v>1570</v>
      </c>
      <c r="H671" s="8" t="s">
        <v>67</v>
      </c>
      <c r="I671" s="70"/>
      <c r="J671" s="70"/>
      <c r="K671" s="8" t="s">
        <v>3568</v>
      </c>
      <c r="L671" s="88" t="s">
        <v>4190</v>
      </c>
      <c r="M671" s="10"/>
      <c r="N671" s="8"/>
      <c r="O671" s="1"/>
    </row>
    <row r="672" spans="1:15" ht="36.6" customHeight="1">
      <c r="A672" s="10">
        <v>1</v>
      </c>
      <c r="B672" s="33" t="s">
        <v>2178</v>
      </c>
      <c r="C672" s="41" t="s">
        <v>398</v>
      </c>
      <c r="D672" s="102" t="s">
        <v>5450</v>
      </c>
      <c r="E672" s="103" t="s">
        <v>5451</v>
      </c>
      <c r="F672" s="102" t="s">
        <v>5452</v>
      </c>
      <c r="G672" s="102" t="s">
        <v>66</v>
      </c>
      <c r="H672" s="8" t="s">
        <v>67</v>
      </c>
      <c r="I672" s="70"/>
      <c r="J672" s="70"/>
      <c r="K672" s="8" t="s">
        <v>3568</v>
      </c>
      <c r="L672" s="88" t="s">
        <v>4190</v>
      </c>
      <c r="M672" s="10"/>
      <c r="N672" s="8"/>
      <c r="O672" s="1"/>
    </row>
    <row r="673" spans="1:15" ht="36.6" customHeight="1">
      <c r="A673" s="10">
        <v>1</v>
      </c>
      <c r="B673" s="33" t="s">
        <v>2178</v>
      </c>
      <c r="C673" s="41" t="s">
        <v>398</v>
      </c>
      <c r="D673" s="102" t="s">
        <v>5453</v>
      </c>
      <c r="E673" s="103" t="s">
        <v>1595</v>
      </c>
      <c r="F673" s="102" t="s">
        <v>5454</v>
      </c>
      <c r="G673" s="102" t="s">
        <v>66</v>
      </c>
      <c r="H673" s="8" t="s">
        <v>67</v>
      </c>
      <c r="I673" s="70"/>
      <c r="J673" s="70"/>
      <c r="K673" s="8" t="s">
        <v>3568</v>
      </c>
      <c r="L673" s="88" t="s">
        <v>4190</v>
      </c>
      <c r="M673" s="10"/>
      <c r="N673" s="8"/>
      <c r="O673" s="1"/>
    </row>
    <row r="674" spans="1:15" ht="36.6" customHeight="1">
      <c r="A674" s="10">
        <v>1</v>
      </c>
      <c r="B674" s="33" t="s">
        <v>2178</v>
      </c>
      <c r="C674" s="41" t="s">
        <v>398</v>
      </c>
      <c r="D674" s="102" t="s">
        <v>5455</v>
      </c>
      <c r="E674" s="103" t="s">
        <v>260</v>
      </c>
      <c r="F674" s="102" t="s">
        <v>5456</v>
      </c>
      <c r="G674" s="102" t="s">
        <v>32</v>
      </c>
      <c r="H674" s="8" t="s">
        <v>33</v>
      </c>
      <c r="I674" s="70"/>
      <c r="J674" s="70"/>
      <c r="K674" s="8" t="s">
        <v>3568</v>
      </c>
      <c r="L674" s="88" t="s">
        <v>4190</v>
      </c>
      <c r="M674" s="10"/>
      <c r="N674" s="8"/>
      <c r="O674" s="1"/>
    </row>
    <row r="675" spans="1:15" ht="36.6" customHeight="1">
      <c r="A675" s="10">
        <v>1</v>
      </c>
      <c r="B675" s="33" t="s">
        <v>2178</v>
      </c>
      <c r="C675" s="41" t="s">
        <v>398</v>
      </c>
      <c r="D675" s="102" t="s">
        <v>5457</v>
      </c>
      <c r="E675" s="103" t="s">
        <v>1595</v>
      </c>
      <c r="F675" s="102" t="s">
        <v>5458</v>
      </c>
      <c r="G675" s="102" t="s">
        <v>66</v>
      </c>
      <c r="H675" s="8" t="s">
        <v>67</v>
      </c>
      <c r="I675" s="70"/>
      <c r="J675" s="70"/>
      <c r="K675" s="8" t="s">
        <v>3568</v>
      </c>
      <c r="L675" s="88" t="s">
        <v>4190</v>
      </c>
      <c r="M675" s="10"/>
      <c r="N675" s="8"/>
      <c r="O675" s="1"/>
    </row>
    <row r="676" spans="1:15" ht="36.6" customHeight="1">
      <c r="A676" s="10">
        <v>1</v>
      </c>
      <c r="B676" s="33" t="s">
        <v>2178</v>
      </c>
      <c r="C676" s="41" t="s">
        <v>398</v>
      </c>
      <c r="D676" s="102" t="s">
        <v>5459</v>
      </c>
      <c r="E676" s="103" t="s">
        <v>39</v>
      </c>
      <c r="F676" s="102" t="s">
        <v>5460</v>
      </c>
      <c r="G676" s="102" t="s">
        <v>41</v>
      </c>
      <c r="H676" s="8" t="s">
        <v>33</v>
      </c>
      <c r="I676" s="70"/>
      <c r="J676" s="70"/>
      <c r="K676" s="8" t="s">
        <v>3568</v>
      </c>
      <c r="L676" s="88" t="s">
        <v>4190</v>
      </c>
      <c r="M676" s="10"/>
      <c r="N676" s="8"/>
      <c r="O676" s="1"/>
    </row>
    <row r="677" spans="1:15" ht="36.6" customHeight="1">
      <c r="A677" s="10">
        <v>1</v>
      </c>
      <c r="B677" s="33" t="s">
        <v>2178</v>
      </c>
      <c r="C677" s="41" t="s">
        <v>398</v>
      </c>
      <c r="D677" s="102" t="s">
        <v>5461</v>
      </c>
      <c r="E677" s="103" t="s">
        <v>231</v>
      </c>
      <c r="F677" s="102" t="s">
        <v>5462</v>
      </c>
      <c r="G677" s="102" t="s">
        <v>32</v>
      </c>
      <c r="H677" s="8" t="s">
        <v>33</v>
      </c>
      <c r="I677" s="70"/>
      <c r="J677" s="70"/>
      <c r="K677" s="8" t="s">
        <v>3568</v>
      </c>
      <c r="L677" s="88" t="s">
        <v>4190</v>
      </c>
      <c r="M677" s="10"/>
      <c r="N677" s="8"/>
      <c r="O677" s="1"/>
    </row>
    <row r="678" spans="1:15" ht="36.6" customHeight="1">
      <c r="A678" s="10">
        <v>1</v>
      </c>
      <c r="B678" s="33" t="s">
        <v>2178</v>
      </c>
      <c r="C678" s="41" t="s">
        <v>398</v>
      </c>
      <c r="D678" s="102" t="s">
        <v>5463</v>
      </c>
      <c r="E678" s="103" t="s">
        <v>165</v>
      </c>
      <c r="F678" s="102" t="s">
        <v>5464</v>
      </c>
      <c r="G678" s="102" t="s">
        <v>66</v>
      </c>
      <c r="H678" s="8" t="s">
        <v>67</v>
      </c>
      <c r="I678" s="70"/>
      <c r="J678" s="70"/>
      <c r="K678" s="8" t="s">
        <v>3568</v>
      </c>
      <c r="L678" s="88" t="s">
        <v>4190</v>
      </c>
      <c r="M678" s="10"/>
      <c r="N678" s="8"/>
      <c r="O678" s="1"/>
    </row>
    <row r="679" spans="1:15" ht="36.6" customHeight="1">
      <c r="A679" s="10">
        <v>1</v>
      </c>
      <c r="B679" s="33" t="s">
        <v>2178</v>
      </c>
      <c r="C679" s="41" t="s">
        <v>398</v>
      </c>
      <c r="D679" s="102" t="s">
        <v>5465</v>
      </c>
      <c r="E679" s="103" t="s">
        <v>3263</v>
      </c>
      <c r="F679" s="102" t="s">
        <v>5466</v>
      </c>
      <c r="G679" s="102" t="s">
        <v>1570</v>
      </c>
      <c r="H679" s="8" t="s">
        <v>67</v>
      </c>
      <c r="I679" s="70"/>
      <c r="J679" s="70"/>
      <c r="K679" s="8" t="s">
        <v>3568</v>
      </c>
      <c r="L679" s="88" t="s">
        <v>4190</v>
      </c>
      <c r="M679" s="10"/>
      <c r="N679" s="8"/>
      <c r="O679" s="1"/>
    </row>
    <row r="680" spans="1:15" ht="36.6" customHeight="1">
      <c r="A680" s="10">
        <v>1</v>
      </c>
      <c r="B680" s="33" t="s">
        <v>2178</v>
      </c>
      <c r="C680" s="41" t="s">
        <v>398</v>
      </c>
      <c r="D680" s="102" t="s">
        <v>5467</v>
      </c>
      <c r="E680" s="103" t="s">
        <v>3616</v>
      </c>
      <c r="F680" s="102" t="s">
        <v>5468</v>
      </c>
      <c r="G680" s="102" t="s">
        <v>66</v>
      </c>
      <c r="H680" s="8" t="s">
        <v>67</v>
      </c>
      <c r="I680" s="70"/>
      <c r="J680" s="70"/>
      <c r="K680" s="8" t="s">
        <v>3568</v>
      </c>
      <c r="L680" s="88" t="s">
        <v>4190</v>
      </c>
      <c r="M680" s="10"/>
      <c r="N680" s="8"/>
      <c r="O680" s="1"/>
    </row>
    <row r="681" spans="1:15" ht="36.6" customHeight="1">
      <c r="A681" s="10">
        <v>1</v>
      </c>
      <c r="B681" s="33" t="s">
        <v>2178</v>
      </c>
      <c r="C681" s="41" t="s">
        <v>398</v>
      </c>
      <c r="D681" s="102" t="s">
        <v>5469</v>
      </c>
      <c r="E681" s="103" t="s">
        <v>5470</v>
      </c>
      <c r="F681" s="102" t="s">
        <v>5471</v>
      </c>
      <c r="G681" s="102" t="s">
        <v>1603</v>
      </c>
      <c r="H681" s="8" t="s">
        <v>33</v>
      </c>
      <c r="I681" s="70"/>
      <c r="J681" s="70"/>
      <c r="K681" s="8" t="s">
        <v>3568</v>
      </c>
      <c r="L681" s="88" t="s">
        <v>4190</v>
      </c>
      <c r="M681" s="10"/>
      <c r="N681" s="8"/>
      <c r="O681" s="1"/>
    </row>
    <row r="682" spans="1:15" ht="36.6" customHeight="1">
      <c r="A682" s="10">
        <v>1</v>
      </c>
      <c r="B682" s="33" t="s">
        <v>2178</v>
      </c>
      <c r="C682" s="41" t="s">
        <v>398</v>
      </c>
      <c r="D682" s="102" t="s">
        <v>5472</v>
      </c>
      <c r="E682" s="103" t="s">
        <v>161</v>
      </c>
      <c r="F682" s="102" t="s">
        <v>5473</v>
      </c>
      <c r="G682" s="102" t="s">
        <v>66</v>
      </c>
      <c r="H682" s="8" t="s">
        <v>67</v>
      </c>
      <c r="I682" s="70"/>
      <c r="J682" s="70"/>
      <c r="K682" s="8" t="s">
        <v>3568</v>
      </c>
      <c r="L682" s="88" t="s">
        <v>4190</v>
      </c>
      <c r="M682" s="10"/>
      <c r="N682" s="8"/>
      <c r="O682" s="1"/>
    </row>
    <row r="683" spans="1:15" ht="36.6" customHeight="1">
      <c r="A683" s="10">
        <v>1</v>
      </c>
      <c r="B683" s="33" t="s">
        <v>2178</v>
      </c>
      <c r="C683" s="41" t="s">
        <v>398</v>
      </c>
      <c r="D683" s="102" t="s">
        <v>5474</v>
      </c>
      <c r="E683" s="103" t="s">
        <v>290</v>
      </c>
      <c r="F683" s="102" t="s">
        <v>5475</v>
      </c>
      <c r="G683" s="102" t="s">
        <v>1570</v>
      </c>
      <c r="H683" s="8" t="s">
        <v>67</v>
      </c>
      <c r="I683" s="70"/>
      <c r="J683" s="70"/>
      <c r="K683" s="8" t="s">
        <v>3568</v>
      </c>
      <c r="L683" s="88" t="s">
        <v>4190</v>
      </c>
      <c r="M683" s="10"/>
      <c r="N683" s="8"/>
      <c r="O683" s="1"/>
    </row>
    <row r="684" spans="1:15" ht="36.6" customHeight="1">
      <c r="A684" s="10">
        <v>1</v>
      </c>
      <c r="B684" s="33" t="s">
        <v>2178</v>
      </c>
      <c r="C684" s="41" t="s">
        <v>398</v>
      </c>
      <c r="D684" s="102" t="s">
        <v>5476</v>
      </c>
      <c r="E684" s="103" t="s">
        <v>5477</v>
      </c>
      <c r="F684" s="102" t="s">
        <v>5478</v>
      </c>
      <c r="G684" s="102" t="s">
        <v>1603</v>
      </c>
      <c r="H684" s="8" t="s">
        <v>33</v>
      </c>
      <c r="I684" s="70"/>
      <c r="J684" s="70"/>
      <c r="K684" s="8" t="s">
        <v>3568</v>
      </c>
      <c r="L684" s="88" t="s">
        <v>4190</v>
      </c>
      <c r="M684" s="10"/>
      <c r="N684" s="8"/>
      <c r="O684" s="1"/>
    </row>
    <row r="685" spans="1:15" ht="36.6" customHeight="1">
      <c r="A685" s="10">
        <v>1</v>
      </c>
      <c r="B685" s="33" t="s">
        <v>2178</v>
      </c>
      <c r="C685" s="41" t="s">
        <v>398</v>
      </c>
      <c r="D685" s="102" t="s">
        <v>5479</v>
      </c>
      <c r="E685" s="103" t="s">
        <v>1822</v>
      </c>
      <c r="F685" s="102" t="s">
        <v>5480</v>
      </c>
      <c r="G685" s="102" t="s">
        <v>1582</v>
      </c>
      <c r="H685" s="8" t="s">
        <v>47</v>
      </c>
      <c r="I685" s="70"/>
      <c r="J685" s="70"/>
      <c r="K685" s="8" t="s">
        <v>3568</v>
      </c>
      <c r="L685" s="88" t="s">
        <v>4190</v>
      </c>
      <c r="M685" s="10"/>
      <c r="N685" s="8"/>
      <c r="O685" s="1"/>
    </row>
    <row r="686" spans="1:15" ht="36.6" customHeight="1">
      <c r="A686" s="10">
        <v>1</v>
      </c>
      <c r="B686" s="33" t="s">
        <v>2178</v>
      </c>
      <c r="C686" s="41" t="s">
        <v>398</v>
      </c>
      <c r="D686" s="102" t="s">
        <v>5481</v>
      </c>
      <c r="E686" s="103" t="s">
        <v>1974</v>
      </c>
      <c r="F686" s="102" t="s">
        <v>5482</v>
      </c>
      <c r="G686" s="102" t="s">
        <v>1582</v>
      </c>
      <c r="H686" s="8" t="s">
        <v>47</v>
      </c>
      <c r="I686" s="70"/>
      <c r="J686" s="70"/>
      <c r="K686" s="8" t="s">
        <v>3568</v>
      </c>
      <c r="L686" s="88" t="s">
        <v>4190</v>
      </c>
      <c r="M686" s="10"/>
      <c r="N686" s="8"/>
      <c r="O686" s="1"/>
    </row>
    <row r="687" spans="1:15" ht="36.6" customHeight="1">
      <c r="A687" s="10">
        <v>1</v>
      </c>
      <c r="B687" s="33" t="s">
        <v>2178</v>
      </c>
      <c r="C687" s="41" t="s">
        <v>398</v>
      </c>
      <c r="D687" s="102" t="s">
        <v>5483</v>
      </c>
      <c r="E687" s="103" t="s">
        <v>182</v>
      </c>
      <c r="F687" s="102" t="s">
        <v>5484</v>
      </c>
      <c r="G687" s="102" t="s">
        <v>66</v>
      </c>
      <c r="H687" s="8" t="s">
        <v>67</v>
      </c>
      <c r="I687" s="70"/>
      <c r="J687" s="70"/>
      <c r="K687" s="8" t="s">
        <v>3568</v>
      </c>
      <c r="L687" s="88" t="s">
        <v>4190</v>
      </c>
      <c r="M687" s="10"/>
      <c r="N687" s="8"/>
      <c r="O687" s="1"/>
    </row>
    <row r="688" spans="1:15" ht="36.6" customHeight="1">
      <c r="A688" s="10">
        <v>1</v>
      </c>
      <c r="B688" s="33" t="s">
        <v>2178</v>
      </c>
      <c r="C688" s="41" t="s">
        <v>398</v>
      </c>
      <c r="D688" s="102" t="s">
        <v>5485</v>
      </c>
      <c r="E688" s="103" t="s">
        <v>1692</v>
      </c>
      <c r="F688" s="102" t="s">
        <v>5486</v>
      </c>
      <c r="G688" s="102" t="s">
        <v>1582</v>
      </c>
      <c r="H688" s="8" t="s">
        <v>47</v>
      </c>
      <c r="I688" s="70"/>
      <c r="J688" s="70"/>
      <c r="K688" s="8" t="s">
        <v>3568</v>
      </c>
      <c r="L688" s="88" t="s">
        <v>4190</v>
      </c>
      <c r="M688" s="10"/>
      <c r="N688" s="8"/>
      <c r="O688" s="1"/>
    </row>
    <row r="689" spans="1:15" ht="36.6" customHeight="1">
      <c r="A689" s="10">
        <v>1</v>
      </c>
      <c r="B689" s="33" t="s">
        <v>2178</v>
      </c>
      <c r="C689" s="41" t="s">
        <v>398</v>
      </c>
      <c r="D689" s="102" t="s">
        <v>5487</v>
      </c>
      <c r="E689" s="103" t="s">
        <v>161</v>
      </c>
      <c r="F689" s="102" t="s">
        <v>5488</v>
      </c>
      <c r="G689" s="102" t="s">
        <v>66</v>
      </c>
      <c r="H689" s="8" t="s">
        <v>67</v>
      </c>
      <c r="I689" s="70"/>
      <c r="J689" s="70"/>
      <c r="K689" s="8" t="s">
        <v>3568</v>
      </c>
      <c r="L689" s="88" t="s">
        <v>4190</v>
      </c>
      <c r="M689" s="10"/>
      <c r="N689" s="8"/>
      <c r="O689" s="1"/>
    </row>
    <row r="690" spans="1:15" ht="36.6" customHeight="1">
      <c r="A690" s="10">
        <v>1</v>
      </c>
      <c r="B690" s="33" t="s">
        <v>2178</v>
      </c>
      <c r="C690" s="41" t="s">
        <v>398</v>
      </c>
      <c r="D690" s="102" t="s">
        <v>5489</v>
      </c>
      <c r="E690" s="103" t="s">
        <v>1822</v>
      </c>
      <c r="F690" s="102" t="s">
        <v>5490</v>
      </c>
      <c r="G690" s="102" t="s">
        <v>1582</v>
      </c>
      <c r="H690" s="8" t="s">
        <v>47</v>
      </c>
      <c r="I690" s="70"/>
      <c r="J690" s="70"/>
      <c r="K690" s="8" t="s">
        <v>3568</v>
      </c>
      <c r="L690" s="88" t="s">
        <v>4190</v>
      </c>
      <c r="M690" s="10"/>
      <c r="N690" s="8"/>
      <c r="O690" s="1"/>
    </row>
    <row r="691" spans="1:15" ht="36.6" customHeight="1">
      <c r="A691" s="10">
        <v>1</v>
      </c>
      <c r="B691" s="33" t="s">
        <v>2178</v>
      </c>
      <c r="C691" s="41" t="s">
        <v>398</v>
      </c>
      <c r="D691" s="102" t="s">
        <v>5491</v>
      </c>
      <c r="E691" s="103" t="s">
        <v>841</v>
      </c>
      <c r="F691" s="102" t="s">
        <v>5492</v>
      </c>
      <c r="G691" s="102" t="s">
        <v>1570</v>
      </c>
      <c r="H691" s="8" t="s">
        <v>67</v>
      </c>
      <c r="I691" s="70"/>
      <c r="J691" s="70"/>
      <c r="K691" s="8" t="s">
        <v>3568</v>
      </c>
      <c r="L691" s="88" t="s">
        <v>4190</v>
      </c>
      <c r="M691" s="10"/>
      <c r="N691" s="8"/>
      <c r="O691" s="1"/>
    </row>
    <row r="692" spans="1:15" ht="36.6" customHeight="1">
      <c r="A692" s="10">
        <v>1</v>
      </c>
      <c r="B692" s="33" t="s">
        <v>2178</v>
      </c>
      <c r="C692" s="41" t="s">
        <v>398</v>
      </c>
      <c r="D692" s="102" t="s">
        <v>5493</v>
      </c>
      <c r="E692" s="103" t="s">
        <v>5494</v>
      </c>
      <c r="F692" s="102" t="s">
        <v>5495</v>
      </c>
      <c r="G692" s="102" t="s">
        <v>1582</v>
      </c>
      <c r="H692" s="8" t="s">
        <v>47</v>
      </c>
      <c r="I692" s="70"/>
      <c r="J692" s="70"/>
      <c r="K692" s="8" t="s">
        <v>3568</v>
      </c>
      <c r="L692" s="88" t="s">
        <v>4190</v>
      </c>
      <c r="M692" s="10"/>
      <c r="N692" s="8"/>
      <c r="O692" s="1"/>
    </row>
    <row r="693" spans="1:15" ht="36.6" customHeight="1">
      <c r="A693" s="10">
        <v>1</v>
      </c>
      <c r="B693" s="33" t="s">
        <v>2178</v>
      </c>
      <c r="C693" s="41" t="s">
        <v>398</v>
      </c>
      <c r="D693" s="102" t="s">
        <v>5496</v>
      </c>
      <c r="E693" s="103" t="s">
        <v>186</v>
      </c>
      <c r="F693" s="102" t="s">
        <v>5497</v>
      </c>
      <c r="G693" s="102" t="s">
        <v>66</v>
      </c>
      <c r="H693" s="8" t="s">
        <v>67</v>
      </c>
      <c r="I693" s="70"/>
      <c r="J693" s="70"/>
      <c r="K693" s="8" t="s">
        <v>3568</v>
      </c>
      <c r="L693" s="88" t="s">
        <v>4190</v>
      </c>
      <c r="M693" s="10"/>
      <c r="N693" s="8"/>
      <c r="O693" s="1"/>
    </row>
    <row r="694" spans="1:15" ht="36.6" customHeight="1">
      <c r="A694" s="10">
        <v>1</v>
      </c>
      <c r="B694" s="33" t="s">
        <v>2178</v>
      </c>
      <c r="C694" s="41" t="s">
        <v>398</v>
      </c>
      <c r="D694" s="102" t="s">
        <v>5498</v>
      </c>
      <c r="E694" s="103" t="s">
        <v>340</v>
      </c>
      <c r="F694" s="102" t="s">
        <v>5499</v>
      </c>
      <c r="G694" s="102" t="s">
        <v>66</v>
      </c>
      <c r="H694" s="8" t="s">
        <v>67</v>
      </c>
      <c r="I694" s="70"/>
      <c r="J694" s="70"/>
      <c r="K694" s="8" t="s">
        <v>3568</v>
      </c>
      <c r="L694" s="88" t="s">
        <v>4190</v>
      </c>
      <c r="M694" s="10"/>
      <c r="N694" s="8"/>
      <c r="O694" s="1"/>
    </row>
    <row r="695" spans="1:15" ht="36.6" customHeight="1">
      <c r="A695" s="10">
        <v>1</v>
      </c>
      <c r="B695" s="33" t="s">
        <v>2178</v>
      </c>
      <c r="C695" s="41" t="s">
        <v>398</v>
      </c>
      <c r="D695" s="102" t="s">
        <v>5500</v>
      </c>
      <c r="E695" s="103" t="s">
        <v>446</v>
      </c>
      <c r="F695" s="102" t="s">
        <v>5501</v>
      </c>
      <c r="G695" s="102" t="s">
        <v>66</v>
      </c>
      <c r="H695" s="8" t="s">
        <v>67</v>
      </c>
      <c r="I695" s="70"/>
      <c r="J695" s="70"/>
      <c r="K695" s="8" t="s">
        <v>3568</v>
      </c>
      <c r="L695" s="88" t="s">
        <v>4190</v>
      </c>
      <c r="M695" s="10"/>
      <c r="N695" s="8"/>
      <c r="O695" s="1"/>
    </row>
    <row r="696" spans="1:15" ht="36.6" customHeight="1">
      <c r="A696" s="10">
        <v>1</v>
      </c>
      <c r="B696" s="33" t="s">
        <v>2178</v>
      </c>
      <c r="C696" s="41" t="s">
        <v>398</v>
      </c>
      <c r="D696" s="102" t="s">
        <v>5502</v>
      </c>
      <c r="E696" s="103" t="s">
        <v>226</v>
      </c>
      <c r="F696" s="102" t="s">
        <v>5503</v>
      </c>
      <c r="G696" s="102" t="s">
        <v>1570</v>
      </c>
      <c r="H696" s="8" t="s">
        <v>67</v>
      </c>
      <c r="I696" s="70"/>
      <c r="J696" s="70"/>
      <c r="K696" s="8" t="s">
        <v>3568</v>
      </c>
      <c r="L696" s="88" t="s">
        <v>4190</v>
      </c>
      <c r="M696" s="10"/>
      <c r="N696" s="8"/>
      <c r="O696" s="1"/>
    </row>
    <row r="697" spans="1:15" ht="36.6" customHeight="1">
      <c r="A697" s="10">
        <v>1</v>
      </c>
      <c r="B697" s="33" t="s">
        <v>2178</v>
      </c>
      <c r="C697" s="41" t="s">
        <v>398</v>
      </c>
      <c r="D697" s="102" t="s">
        <v>5504</v>
      </c>
      <c r="E697" s="103" t="s">
        <v>841</v>
      </c>
      <c r="F697" s="102" t="s">
        <v>5505</v>
      </c>
      <c r="G697" s="102" t="s">
        <v>1570</v>
      </c>
      <c r="H697" s="8" t="s">
        <v>67</v>
      </c>
      <c r="I697" s="70"/>
      <c r="J697" s="70"/>
      <c r="K697" s="8" t="s">
        <v>3568</v>
      </c>
      <c r="L697" s="88" t="s">
        <v>4190</v>
      </c>
      <c r="M697" s="10"/>
      <c r="N697" s="8"/>
      <c r="O697" s="1"/>
    </row>
    <row r="698" spans="1:15" ht="36.6" customHeight="1">
      <c r="A698" s="10">
        <v>1</v>
      </c>
      <c r="B698" s="33" t="s">
        <v>2178</v>
      </c>
      <c r="C698" s="41" t="s">
        <v>398</v>
      </c>
      <c r="D698" s="102" t="s">
        <v>5506</v>
      </c>
      <c r="E698" s="103" t="s">
        <v>136</v>
      </c>
      <c r="F698" s="102" t="s">
        <v>5507</v>
      </c>
      <c r="G698" s="102" t="s">
        <v>66</v>
      </c>
      <c r="H698" s="8" t="s">
        <v>67</v>
      </c>
      <c r="I698" s="70"/>
      <c r="J698" s="70"/>
      <c r="K698" s="8" t="s">
        <v>3568</v>
      </c>
      <c r="L698" s="88" t="s">
        <v>4190</v>
      </c>
      <c r="M698" s="10"/>
      <c r="N698" s="8"/>
      <c r="O698" s="1"/>
    </row>
    <row r="699" spans="1:15" ht="36.6" customHeight="1">
      <c r="A699" s="10">
        <v>1</v>
      </c>
      <c r="B699" s="33" t="s">
        <v>2178</v>
      </c>
      <c r="C699" s="41" t="s">
        <v>398</v>
      </c>
      <c r="D699" s="102" t="s">
        <v>5508</v>
      </c>
      <c r="E699" s="103" t="s">
        <v>182</v>
      </c>
      <c r="F699" s="102" t="s">
        <v>5509</v>
      </c>
      <c r="G699" s="102" t="s">
        <v>66</v>
      </c>
      <c r="H699" s="8" t="s">
        <v>67</v>
      </c>
      <c r="I699" s="70"/>
      <c r="J699" s="70"/>
      <c r="K699" s="8" t="s">
        <v>3568</v>
      </c>
      <c r="L699" s="88" t="s">
        <v>4190</v>
      </c>
      <c r="M699" s="10"/>
      <c r="N699" s="8"/>
      <c r="O699" s="1"/>
    </row>
    <row r="700" spans="1:15" ht="36.6" customHeight="1">
      <c r="A700" s="10">
        <v>1</v>
      </c>
      <c r="B700" s="33" t="s">
        <v>2178</v>
      </c>
      <c r="C700" s="41" t="s">
        <v>398</v>
      </c>
      <c r="D700" s="102" t="s">
        <v>5510</v>
      </c>
      <c r="E700" s="103" t="s">
        <v>290</v>
      </c>
      <c r="F700" s="102" t="s">
        <v>5511</v>
      </c>
      <c r="G700" s="102" t="s">
        <v>1570</v>
      </c>
      <c r="H700" s="8" t="s">
        <v>67</v>
      </c>
      <c r="I700" s="70"/>
      <c r="J700" s="70"/>
      <c r="K700" s="8" t="s">
        <v>3568</v>
      </c>
      <c r="L700" s="88" t="s">
        <v>4190</v>
      </c>
      <c r="M700" s="10"/>
      <c r="N700" s="8"/>
      <c r="O700" s="1"/>
    </row>
    <row r="701" spans="1:15" ht="36.6" customHeight="1">
      <c r="A701" s="10">
        <v>1</v>
      </c>
      <c r="B701" s="33" t="s">
        <v>2178</v>
      </c>
      <c r="C701" s="41" t="s">
        <v>398</v>
      </c>
      <c r="D701" s="102" t="s">
        <v>5512</v>
      </c>
      <c r="E701" s="103" t="s">
        <v>446</v>
      </c>
      <c r="F701" s="102" t="s">
        <v>5513</v>
      </c>
      <c r="G701" s="102" t="s">
        <v>66</v>
      </c>
      <c r="H701" s="8" t="s">
        <v>67</v>
      </c>
      <c r="I701" s="70"/>
      <c r="J701" s="70"/>
      <c r="K701" s="8" t="s">
        <v>3568</v>
      </c>
      <c r="L701" s="88" t="s">
        <v>4190</v>
      </c>
      <c r="M701" s="10"/>
      <c r="N701" s="8"/>
      <c r="O701" s="1"/>
    </row>
    <row r="702" spans="1:15" ht="36.6" customHeight="1">
      <c r="A702" s="10">
        <v>1</v>
      </c>
      <c r="B702" s="33" t="s">
        <v>2178</v>
      </c>
      <c r="C702" s="41" t="s">
        <v>398</v>
      </c>
      <c r="D702" s="102" t="s">
        <v>5514</v>
      </c>
      <c r="E702" s="103" t="s">
        <v>2091</v>
      </c>
      <c r="F702" s="102" t="s">
        <v>5515</v>
      </c>
      <c r="G702" s="102" t="s">
        <v>1570</v>
      </c>
      <c r="H702" s="8" t="s">
        <v>67</v>
      </c>
      <c r="I702" s="70"/>
      <c r="J702" s="70"/>
      <c r="K702" s="8" t="s">
        <v>3568</v>
      </c>
      <c r="L702" s="88" t="s">
        <v>4190</v>
      </c>
      <c r="M702" s="10"/>
      <c r="N702" s="8"/>
      <c r="O702" s="1"/>
    </row>
    <row r="703" spans="1:15" ht="36.6" customHeight="1">
      <c r="A703" s="10">
        <v>1</v>
      </c>
      <c r="B703" s="33" t="s">
        <v>2178</v>
      </c>
      <c r="C703" s="41" t="s">
        <v>398</v>
      </c>
      <c r="D703" s="102" t="s">
        <v>5516</v>
      </c>
      <c r="E703" s="103" t="s">
        <v>446</v>
      </c>
      <c r="F703" s="102" t="s">
        <v>5517</v>
      </c>
      <c r="G703" s="102" t="s">
        <v>66</v>
      </c>
      <c r="H703" s="8" t="s">
        <v>67</v>
      </c>
      <c r="I703" s="70"/>
      <c r="J703" s="70"/>
      <c r="K703" s="8" t="s">
        <v>3568</v>
      </c>
      <c r="L703" s="88" t="s">
        <v>4190</v>
      </c>
      <c r="M703" s="10"/>
      <c r="N703" s="8"/>
      <c r="O703" s="1"/>
    </row>
    <row r="704" spans="1:15" ht="36.6" customHeight="1">
      <c r="A704" s="10">
        <v>1</v>
      </c>
      <c r="B704" s="33" t="s">
        <v>2178</v>
      </c>
      <c r="C704" s="41" t="s">
        <v>398</v>
      </c>
      <c r="D704" s="102" t="s">
        <v>5518</v>
      </c>
      <c r="E704" s="103" t="s">
        <v>161</v>
      </c>
      <c r="F704" s="102" t="s">
        <v>5519</v>
      </c>
      <c r="G704" s="102" t="s">
        <v>66</v>
      </c>
      <c r="H704" s="8" t="s">
        <v>67</v>
      </c>
      <c r="I704" s="70"/>
      <c r="J704" s="70"/>
      <c r="K704" s="8" t="s">
        <v>3568</v>
      </c>
      <c r="L704" s="88" t="s">
        <v>4190</v>
      </c>
      <c r="M704" s="10"/>
      <c r="N704" s="8"/>
      <c r="O704" s="1"/>
    </row>
    <row r="705" spans="1:15" ht="36.6" customHeight="1">
      <c r="A705" s="10">
        <v>1</v>
      </c>
      <c r="B705" s="33" t="s">
        <v>2178</v>
      </c>
      <c r="C705" s="41" t="s">
        <v>398</v>
      </c>
      <c r="D705" s="102" t="s">
        <v>5520</v>
      </c>
      <c r="E705" s="103" t="s">
        <v>2754</v>
      </c>
      <c r="F705" s="102" t="s">
        <v>5521</v>
      </c>
      <c r="G705" s="102" t="s">
        <v>1582</v>
      </c>
      <c r="H705" s="8" t="s">
        <v>47</v>
      </c>
      <c r="I705" s="70"/>
      <c r="J705" s="70"/>
      <c r="K705" s="8" t="s">
        <v>3568</v>
      </c>
      <c r="L705" s="88" t="s">
        <v>4190</v>
      </c>
      <c r="M705" s="10"/>
      <c r="N705" s="8"/>
      <c r="O705" s="1"/>
    </row>
    <row r="706" spans="1:15" ht="36.6" customHeight="1">
      <c r="A706" s="10">
        <v>1</v>
      </c>
      <c r="B706" s="33" t="s">
        <v>2178</v>
      </c>
      <c r="C706" s="41" t="s">
        <v>398</v>
      </c>
      <c r="D706" s="102" t="s">
        <v>5522</v>
      </c>
      <c r="E706" s="103" t="s">
        <v>226</v>
      </c>
      <c r="F706" s="102" t="s">
        <v>5523</v>
      </c>
      <c r="G706" s="102" t="s">
        <v>1570</v>
      </c>
      <c r="H706" s="8" t="s">
        <v>67</v>
      </c>
      <c r="I706" s="70"/>
      <c r="J706" s="70"/>
      <c r="K706" s="8" t="s">
        <v>3568</v>
      </c>
      <c r="L706" s="88" t="s">
        <v>4190</v>
      </c>
      <c r="M706" s="10"/>
      <c r="N706" s="8"/>
      <c r="O706" s="1"/>
    </row>
    <row r="707" spans="1:15" ht="36.6" customHeight="1">
      <c r="A707" s="10">
        <v>1</v>
      </c>
      <c r="B707" s="33" t="s">
        <v>2178</v>
      </c>
      <c r="C707" s="41" t="s">
        <v>398</v>
      </c>
      <c r="D707" s="102" t="s">
        <v>5524</v>
      </c>
      <c r="E707" s="103" t="s">
        <v>764</v>
      </c>
      <c r="F707" s="102" t="s">
        <v>5525</v>
      </c>
      <c r="G707" s="102" t="s">
        <v>238</v>
      </c>
      <c r="H707" s="8" t="s">
        <v>47</v>
      </c>
      <c r="I707" s="70"/>
      <c r="J707" s="70"/>
      <c r="K707" s="8" t="s">
        <v>3568</v>
      </c>
      <c r="L707" s="88" t="s">
        <v>4190</v>
      </c>
      <c r="M707" s="10"/>
      <c r="N707" s="8"/>
      <c r="O707" s="1"/>
    </row>
    <row r="708" spans="1:15" ht="36.6" customHeight="1">
      <c r="A708" s="10">
        <v>1</v>
      </c>
      <c r="B708" s="33" t="s">
        <v>2178</v>
      </c>
      <c r="C708" s="41" t="s">
        <v>398</v>
      </c>
      <c r="D708" s="102" t="s">
        <v>5526</v>
      </c>
      <c r="E708" s="103" t="s">
        <v>5358</v>
      </c>
      <c r="F708" s="102" t="s">
        <v>5527</v>
      </c>
      <c r="G708" s="102" t="s">
        <v>1570</v>
      </c>
      <c r="H708" s="8" t="s">
        <v>67</v>
      </c>
      <c r="I708" s="70"/>
      <c r="J708" s="70"/>
      <c r="K708" s="8" t="s">
        <v>3568</v>
      </c>
      <c r="L708" s="88" t="s">
        <v>4190</v>
      </c>
      <c r="M708" s="10"/>
      <c r="N708" s="8"/>
      <c r="O708" s="1"/>
    </row>
    <row r="709" spans="1:15" ht="36.6" customHeight="1">
      <c r="A709" s="10">
        <v>1</v>
      </c>
      <c r="B709" s="33" t="s">
        <v>2178</v>
      </c>
      <c r="C709" s="41" t="s">
        <v>398</v>
      </c>
      <c r="D709" s="102" t="s">
        <v>5528</v>
      </c>
      <c r="E709" s="103" t="s">
        <v>1182</v>
      </c>
      <c r="F709" s="102" t="s">
        <v>5529</v>
      </c>
      <c r="G709" s="102" t="s">
        <v>1746</v>
      </c>
      <c r="H709" s="8" t="s">
        <v>33</v>
      </c>
      <c r="I709" s="70"/>
      <c r="J709" s="70"/>
      <c r="K709" s="8" t="s">
        <v>3568</v>
      </c>
      <c r="L709" s="88" t="s">
        <v>4190</v>
      </c>
      <c r="M709" s="10"/>
      <c r="N709" s="8"/>
      <c r="O709" s="1"/>
    </row>
    <row r="710" spans="1:15" ht="36.6" customHeight="1">
      <c r="A710" s="10">
        <v>1</v>
      </c>
      <c r="B710" s="33" t="s">
        <v>2178</v>
      </c>
      <c r="C710" s="41" t="s">
        <v>398</v>
      </c>
      <c r="D710" s="102" t="s">
        <v>5530</v>
      </c>
      <c r="E710" s="103" t="s">
        <v>39</v>
      </c>
      <c r="F710" s="102" t="s">
        <v>5531</v>
      </c>
      <c r="G710" s="102" t="s">
        <v>41</v>
      </c>
      <c r="H710" s="8" t="s">
        <v>33</v>
      </c>
      <c r="I710" s="70"/>
      <c r="J710" s="70"/>
      <c r="K710" s="8" t="s">
        <v>3568</v>
      </c>
      <c r="L710" s="88" t="s">
        <v>4190</v>
      </c>
      <c r="M710" s="10"/>
      <c r="N710" s="8"/>
      <c r="O710" s="1"/>
    </row>
    <row r="711" spans="1:15" ht="36.6" customHeight="1">
      <c r="A711" s="10">
        <v>1</v>
      </c>
      <c r="B711" s="33" t="s">
        <v>2178</v>
      </c>
      <c r="C711" s="41" t="s">
        <v>398</v>
      </c>
      <c r="D711" s="102" t="s">
        <v>5532</v>
      </c>
      <c r="E711" s="103" t="s">
        <v>1620</v>
      </c>
      <c r="F711" s="102" t="s">
        <v>5533</v>
      </c>
      <c r="G711" s="102" t="s">
        <v>41</v>
      </c>
      <c r="H711" s="8" t="s">
        <v>33</v>
      </c>
      <c r="I711" s="70"/>
      <c r="J711" s="70"/>
      <c r="K711" s="8" t="s">
        <v>3568</v>
      </c>
      <c r="L711" s="88" t="s">
        <v>4190</v>
      </c>
      <c r="M711" s="10"/>
      <c r="N711" s="8"/>
      <c r="O711" s="1"/>
    </row>
    <row r="712" spans="1:15" ht="36.6" customHeight="1">
      <c r="A712" s="10">
        <v>1</v>
      </c>
      <c r="B712" s="33" t="s">
        <v>2178</v>
      </c>
      <c r="C712" s="41" t="s">
        <v>398</v>
      </c>
      <c r="D712" s="102" t="s">
        <v>5534</v>
      </c>
      <c r="E712" s="103" t="s">
        <v>776</v>
      </c>
      <c r="F712" s="102" t="s">
        <v>5535</v>
      </c>
      <c r="G712" s="102" t="s">
        <v>53</v>
      </c>
      <c r="H712" s="8" t="s">
        <v>33</v>
      </c>
      <c r="I712" s="70"/>
      <c r="J712" s="70"/>
      <c r="K712" s="8" t="s">
        <v>3568</v>
      </c>
      <c r="L712" s="88" t="s">
        <v>4190</v>
      </c>
      <c r="M712" s="10"/>
      <c r="N712" s="8"/>
      <c r="O712" s="1"/>
    </row>
    <row r="713" spans="1:15" ht="36.6" customHeight="1">
      <c r="A713" s="10">
        <v>1</v>
      </c>
      <c r="B713" s="33" t="s">
        <v>2178</v>
      </c>
      <c r="C713" s="41" t="s">
        <v>398</v>
      </c>
      <c r="D713" s="102" t="s">
        <v>5536</v>
      </c>
      <c r="E713" s="103" t="s">
        <v>1791</v>
      </c>
      <c r="F713" s="102" t="s">
        <v>5537</v>
      </c>
      <c r="G713" s="102" t="s">
        <v>1746</v>
      </c>
      <c r="H713" s="8" t="s">
        <v>33</v>
      </c>
      <c r="I713" s="70"/>
      <c r="J713" s="70"/>
      <c r="K713" s="8" t="s">
        <v>3568</v>
      </c>
      <c r="L713" s="88" t="s">
        <v>4190</v>
      </c>
      <c r="M713" s="10"/>
      <c r="N713" s="8"/>
      <c r="O713" s="1"/>
    </row>
    <row r="714" spans="1:15" ht="36.6" customHeight="1">
      <c r="A714" s="10">
        <v>1</v>
      </c>
      <c r="B714" s="33" t="s">
        <v>2178</v>
      </c>
      <c r="C714" s="41" t="s">
        <v>398</v>
      </c>
      <c r="D714" s="102" t="s">
        <v>5538</v>
      </c>
      <c r="E714" s="103" t="s">
        <v>5539</v>
      </c>
      <c r="F714" s="102" t="s">
        <v>5540</v>
      </c>
      <c r="G714" s="102" t="s">
        <v>1603</v>
      </c>
      <c r="H714" s="8" t="s">
        <v>33</v>
      </c>
      <c r="I714" s="70"/>
      <c r="J714" s="70"/>
      <c r="K714" s="8" t="s">
        <v>3568</v>
      </c>
      <c r="L714" s="88" t="s">
        <v>4190</v>
      </c>
      <c r="M714" s="10"/>
      <c r="N714" s="8"/>
      <c r="O714" s="1"/>
    </row>
    <row r="715" spans="1:15" ht="36.6" customHeight="1">
      <c r="A715" s="10">
        <v>1</v>
      </c>
      <c r="B715" s="33" t="s">
        <v>2178</v>
      </c>
      <c r="C715" s="41" t="s">
        <v>398</v>
      </c>
      <c r="D715" s="102" t="s">
        <v>5541</v>
      </c>
      <c r="E715" s="103" t="s">
        <v>5542</v>
      </c>
      <c r="F715" s="102" t="s">
        <v>5543</v>
      </c>
      <c r="G715" s="102" t="s">
        <v>1746</v>
      </c>
      <c r="H715" s="8" t="s">
        <v>33</v>
      </c>
      <c r="I715" s="70"/>
      <c r="J715" s="70"/>
      <c r="K715" s="8" t="s">
        <v>3568</v>
      </c>
      <c r="L715" s="88" t="s">
        <v>4190</v>
      </c>
      <c r="M715" s="10"/>
      <c r="N715" s="8"/>
      <c r="O715" s="1"/>
    </row>
    <row r="716" spans="1:15" ht="36.6" customHeight="1">
      <c r="A716" s="10">
        <v>1</v>
      </c>
      <c r="B716" s="33" t="s">
        <v>2178</v>
      </c>
      <c r="C716" s="41" t="s">
        <v>398</v>
      </c>
      <c r="D716" s="102" t="s">
        <v>5544</v>
      </c>
      <c r="E716" s="103" t="s">
        <v>404</v>
      </c>
      <c r="F716" s="102" t="s">
        <v>5545</v>
      </c>
      <c r="G716" s="102" t="s">
        <v>1800</v>
      </c>
      <c r="H716" s="8" t="s">
        <v>33</v>
      </c>
      <c r="I716" s="70"/>
      <c r="J716" s="70"/>
      <c r="K716" s="8" t="s">
        <v>3568</v>
      </c>
      <c r="L716" s="88" t="s">
        <v>4190</v>
      </c>
      <c r="M716" s="10"/>
      <c r="N716" s="8"/>
      <c r="O716" s="1"/>
    </row>
    <row r="717" spans="1:15" ht="36.6" customHeight="1">
      <c r="A717" s="10">
        <v>1</v>
      </c>
      <c r="B717" s="33" t="s">
        <v>2178</v>
      </c>
      <c r="C717" s="41" t="s">
        <v>398</v>
      </c>
      <c r="D717" s="102" t="s">
        <v>5546</v>
      </c>
      <c r="E717" s="103" t="s">
        <v>231</v>
      </c>
      <c r="F717" s="102" t="s">
        <v>5547</v>
      </c>
      <c r="G717" s="102" t="s">
        <v>32</v>
      </c>
      <c r="H717" s="8" t="s">
        <v>33</v>
      </c>
      <c r="I717" s="70"/>
      <c r="J717" s="70"/>
      <c r="K717" s="8" t="s">
        <v>3568</v>
      </c>
      <c r="L717" s="88" t="s">
        <v>4190</v>
      </c>
      <c r="M717" s="10"/>
      <c r="N717" s="8"/>
      <c r="O717" s="1"/>
    </row>
    <row r="718" spans="1:15" ht="36.6" customHeight="1">
      <c r="A718" s="10">
        <v>1</v>
      </c>
      <c r="B718" s="33" t="s">
        <v>2178</v>
      </c>
      <c r="C718" s="41" t="s">
        <v>398</v>
      </c>
      <c r="D718" s="102" t="s">
        <v>5548</v>
      </c>
      <c r="E718" s="103" t="s">
        <v>39</v>
      </c>
      <c r="F718" s="102" t="s">
        <v>5549</v>
      </c>
      <c r="G718" s="102" t="s">
        <v>41</v>
      </c>
      <c r="H718" s="8" t="s">
        <v>33</v>
      </c>
      <c r="I718" s="70"/>
      <c r="J718" s="70"/>
      <c r="K718" s="8" t="s">
        <v>3568</v>
      </c>
      <c r="L718" s="88" t="s">
        <v>4190</v>
      </c>
      <c r="M718" s="10"/>
      <c r="N718" s="8"/>
      <c r="O718" s="1"/>
    </row>
    <row r="719" spans="1:15" ht="36.6" customHeight="1">
      <c r="A719" s="10">
        <v>1</v>
      </c>
      <c r="B719" s="33" t="s">
        <v>2178</v>
      </c>
      <c r="C719" s="41" t="s">
        <v>398</v>
      </c>
      <c r="D719" s="102" t="s">
        <v>5550</v>
      </c>
      <c r="E719" s="103" t="s">
        <v>3392</v>
      </c>
      <c r="F719" s="102" t="s">
        <v>5551</v>
      </c>
      <c r="G719" s="102" t="s">
        <v>1603</v>
      </c>
      <c r="H719" s="8" t="s">
        <v>33</v>
      </c>
      <c r="I719" s="70"/>
      <c r="J719" s="70"/>
      <c r="K719" s="8" t="s">
        <v>3568</v>
      </c>
      <c r="L719" s="88" t="s">
        <v>4190</v>
      </c>
      <c r="M719" s="10"/>
      <c r="N719" s="8"/>
      <c r="O719" s="1"/>
    </row>
    <row r="720" spans="1:15" ht="36.6" customHeight="1">
      <c r="A720" s="10">
        <v>1</v>
      </c>
      <c r="B720" s="33" t="s">
        <v>2178</v>
      </c>
      <c r="C720" s="41" t="s">
        <v>398</v>
      </c>
      <c r="D720" s="102" t="s">
        <v>5552</v>
      </c>
      <c r="E720" s="103" t="s">
        <v>1013</v>
      </c>
      <c r="F720" s="102" t="s">
        <v>5553</v>
      </c>
      <c r="G720" s="102" t="s">
        <v>1603</v>
      </c>
      <c r="H720" s="8" t="s">
        <v>33</v>
      </c>
      <c r="I720" s="70"/>
      <c r="J720" s="70"/>
      <c r="K720" s="8" t="s">
        <v>3568</v>
      </c>
      <c r="L720" s="88" t="s">
        <v>4190</v>
      </c>
      <c r="M720" s="10"/>
      <c r="N720" s="8"/>
      <c r="O720" s="1"/>
    </row>
    <row r="721" spans="1:15" ht="36.6" customHeight="1">
      <c r="A721" s="10">
        <v>1</v>
      </c>
      <c r="B721" s="33" t="s">
        <v>2178</v>
      </c>
      <c r="C721" s="41" t="s">
        <v>398</v>
      </c>
      <c r="D721" s="102" t="s">
        <v>5554</v>
      </c>
      <c r="E721" s="103" t="s">
        <v>1620</v>
      </c>
      <c r="F721" s="102" t="s">
        <v>5555</v>
      </c>
      <c r="G721" s="102" t="s">
        <v>41</v>
      </c>
      <c r="H721" s="8" t="s">
        <v>33</v>
      </c>
      <c r="I721" s="70"/>
      <c r="J721" s="70"/>
      <c r="K721" s="8" t="s">
        <v>3568</v>
      </c>
      <c r="L721" s="88" t="s">
        <v>4190</v>
      </c>
      <c r="M721" s="10"/>
      <c r="N721" s="8"/>
      <c r="O721" s="1"/>
    </row>
    <row r="722" spans="1:15" ht="36.6" customHeight="1">
      <c r="A722" s="10">
        <v>1</v>
      </c>
      <c r="B722" s="33" t="s">
        <v>2178</v>
      </c>
      <c r="C722" s="41" t="s">
        <v>398</v>
      </c>
      <c r="D722" s="102" t="s">
        <v>5556</v>
      </c>
      <c r="E722" s="103" t="s">
        <v>209</v>
      </c>
      <c r="F722" s="102" t="s">
        <v>5557</v>
      </c>
      <c r="G722" s="102" t="s">
        <v>1746</v>
      </c>
      <c r="H722" s="8" t="s">
        <v>33</v>
      </c>
      <c r="I722" s="70"/>
      <c r="J722" s="70"/>
      <c r="K722" s="8" t="s">
        <v>3568</v>
      </c>
      <c r="L722" s="88" t="s">
        <v>4190</v>
      </c>
      <c r="M722" s="10"/>
      <c r="N722" s="8"/>
      <c r="O722" s="1"/>
    </row>
    <row r="723" spans="1:15" ht="36.6" customHeight="1">
      <c r="A723" s="10">
        <v>1</v>
      </c>
      <c r="B723" s="33" t="s">
        <v>2178</v>
      </c>
      <c r="C723" s="41" t="s">
        <v>398</v>
      </c>
      <c r="D723" s="102" t="s">
        <v>5558</v>
      </c>
      <c r="E723" s="103" t="s">
        <v>39</v>
      </c>
      <c r="F723" s="102" t="s">
        <v>5559</v>
      </c>
      <c r="G723" s="102" t="s">
        <v>41</v>
      </c>
      <c r="H723" s="8" t="s">
        <v>33</v>
      </c>
      <c r="I723" s="70"/>
      <c r="J723" s="70"/>
      <c r="K723" s="8" t="s">
        <v>3568</v>
      </c>
      <c r="L723" s="88" t="s">
        <v>4190</v>
      </c>
      <c r="M723" s="10"/>
      <c r="N723" s="8"/>
      <c r="O723" s="1"/>
    </row>
    <row r="724" spans="1:15" ht="36.6" customHeight="1">
      <c r="A724" s="10">
        <v>1</v>
      </c>
      <c r="B724" s="33" t="s">
        <v>2178</v>
      </c>
      <c r="C724" s="41" t="s">
        <v>398</v>
      </c>
      <c r="D724" s="102" t="s">
        <v>5560</v>
      </c>
      <c r="E724" s="103" t="s">
        <v>2071</v>
      </c>
      <c r="F724" s="102" t="s">
        <v>5561</v>
      </c>
      <c r="G724" s="102" t="s">
        <v>1603</v>
      </c>
      <c r="H724" s="8" t="s">
        <v>33</v>
      </c>
      <c r="I724" s="70"/>
      <c r="J724" s="70"/>
      <c r="K724" s="8" t="s">
        <v>3568</v>
      </c>
      <c r="L724" s="88" t="s">
        <v>4190</v>
      </c>
      <c r="M724" s="10"/>
      <c r="N724" s="8"/>
      <c r="O724" s="1"/>
    </row>
    <row r="725" spans="1:15" ht="36.6" customHeight="1">
      <c r="A725" s="10">
        <v>1</v>
      </c>
      <c r="B725" s="33" t="s">
        <v>2178</v>
      </c>
      <c r="C725" s="41" t="s">
        <v>398</v>
      </c>
      <c r="D725" s="102" t="s">
        <v>5562</v>
      </c>
      <c r="E725" s="103" t="s">
        <v>39</v>
      </c>
      <c r="F725" s="102" t="s">
        <v>5563</v>
      </c>
      <c r="G725" s="102" t="s">
        <v>41</v>
      </c>
      <c r="H725" s="8" t="s">
        <v>33</v>
      </c>
      <c r="I725" s="70"/>
      <c r="J725" s="70"/>
      <c r="K725" s="8" t="s">
        <v>3568</v>
      </c>
      <c r="L725" s="88" t="s">
        <v>4190</v>
      </c>
      <c r="M725" s="10"/>
      <c r="N725" s="8"/>
      <c r="O725" s="1"/>
    </row>
    <row r="726" spans="1:15" ht="36.6" customHeight="1">
      <c r="A726" s="10">
        <v>1</v>
      </c>
      <c r="B726" s="33" t="s">
        <v>2178</v>
      </c>
      <c r="C726" s="41" t="s">
        <v>398</v>
      </c>
      <c r="D726" s="102" t="s">
        <v>5564</v>
      </c>
      <c r="E726" s="103" t="s">
        <v>39</v>
      </c>
      <c r="F726" s="102" t="s">
        <v>5565</v>
      </c>
      <c r="G726" s="102" t="s">
        <v>41</v>
      </c>
      <c r="H726" s="8" t="s">
        <v>33</v>
      </c>
      <c r="I726" s="70"/>
      <c r="J726" s="70"/>
      <c r="K726" s="8" t="s">
        <v>3568</v>
      </c>
      <c r="L726" s="88" t="s">
        <v>4190</v>
      </c>
      <c r="M726" s="10"/>
      <c r="N726" s="8"/>
      <c r="O726" s="1"/>
    </row>
    <row r="727" spans="1:15" ht="36.6" customHeight="1">
      <c r="A727" s="10">
        <v>1</v>
      </c>
      <c r="B727" s="33" t="s">
        <v>2178</v>
      </c>
      <c r="C727" s="41" t="s">
        <v>398</v>
      </c>
      <c r="D727" s="102" t="s">
        <v>5566</v>
      </c>
      <c r="E727" s="103" t="s">
        <v>274</v>
      </c>
      <c r="F727" s="102" t="s">
        <v>5567</v>
      </c>
      <c r="G727" s="102" t="s">
        <v>1746</v>
      </c>
      <c r="H727" s="8" t="s">
        <v>33</v>
      </c>
      <c r="I727" s="70"/>
      <c r="J727" s="70"/>
      <c r="K727" s="8" t="s">
        <v>3568</v>
      </c>
      <c r="L727" s="88" t="s">
        <v>4190</v>
      </c>
      <c r="M727" s="10"/>
      <c r="N727" s="8"/>
      <c r="O727" s="1"/>
    </row>
    <row r="728" spans="1:15" ht="36.6" customHeight="1">
      <c r="A728" s="10">
        <v>1</v>
      </c>
      <c r="B728" s="33" t="s">
        <v>2178</v>
      </c>
      <c r="C728" s="41" t="s">
        <v>398</v>
      </c>
      <c r="D728" s="102" t="s">
        <v>5568</v>
      </c>
      <c r="E728" s="103" t="s">
        <v>2858</v>
      </c>
      <c r="F728" s="102" t="s">
        <v>5569</v>
      </c>
      <c r="G728" s="102" t="s">
        <v>4764</v>
      </c>
      <c r="H728" s="8" t="s">
        <v>33</v>
      </c>
      <c r="I728" s="70"/>
      <c r="J728" s="70"/>
      <c r="K728" s="8" t="s">
        <v>3568</v>
      </c>
      <c r="L728" s="88" t="s">
        <v>4190</v>
      </c>
      <c r="M728" s="10"/>
      <c r="N728" s="8"/>
      <c r="O728" s="1"/>
    </row>
    <row r="729" spans="1:15" ht="36.6" hidden="1" customHeight="1">
      <c r="A729" s="10"/>
      <c r="B729" s="33"/>
      <c r="C729" s="41"/>
      <c r="D729" s="41"/>
      <c r="E729" s="41"/>
      <c r="F729" s="41"/>
      <c r="G729" s="41"/>
      <c r="H729" s="8"/>
      <c r="I729" s="70"/>
      <c r="J729" s="70"/>
      <c r="K729" s="41"/>
      <c r="L729" s="41"/>
      <c r="M729" s="10"/>
      <c r="N729" s="8"/>
      <c r="O729" s="1"/>
    </row>
    <row r="730" spans="1:15" ht="36.6" hidden="1" customHeight="1">
      <c r="A730" s="10"/>
      <c r="B730" s="33"/>
      <c r="C730" s="41"/>
      <c r="D730" s="41"/>
      <c r="E730" s="41"/>
      <c r="F730" s="41"/>
      <c r="G730" s="41"/>
      <c r="H730" s="8"/>
      <c r="I730" s="70"/>
      <c r="J730" s="70"/>
      <c r="K730" s="41"/>
      <c r="L730" s="41"/>
      <c r="M730" s="10"/>
      <c r="N730" s="8"/>
      <c r="O730" s="1"/>
    </row>
    <row r="731" spans="1:15" ht="36.6" hidden="1" customHeight="1">
      <c r="A731" s="10"/>
      <c r="B731" s="33"/>
      <c r="C731" s="41"/>
      <c r="D731" s="41"/>
      <c r="E731" s="41"/>
      <c r="F731" s="41"/>
      <c r="G731" s="41"/>
      <c r="H731" s="8"/>
      <c r="I731" s="70"/>
      <c r="J731" s="70"/>
      <c r="K731" s="41"/>
      <c r="L731" s="41"/>
      <c r="M731" s="10"/>
      <c r="N731" s="8"/>
      <c r="O731" s="1"/>
    </row>
    <row r="732" spans="1:15" ht="36.6" hidden="1" customHeight="1">
      <c r="A732" s="10">
        <f>SUM(A5:A536)</f>
        <v>532</v>
      </c>
      <c r="B732" s="34"/>
      <c r="C732" s="41"/>
      <c r="D732" s="44"/>
      <c r="E732" s="44"/>
      <c r="F732" s="44"/>
      <c r="G732" s="11"/>
      <c r="H732" s="13"/>
      <c r="I732" s="71"/>
      <c r="J732" s="71"/>
      <c r="K732" s="41"/>
      <c r="L732" s="10"/>
      <c r="M732" s="10"/>
      <c r="N732" s="8"/>
      <c r="O732" s="1"/>
    </row>
    <row r="733" spans="1:15" ht="37.5" customHeight="1">
      <c r="A733" s="41"/>
      <c r="B733" s="33"/>
      <c r="C733" s="41"/>
      <c r="D733" s="41"/>
      <c r="E733" s="41"/>
      <c r="F733" s="41"/>
      <c r="G733" s="41"/>
      <c r="H733" s="41"/>
      <c r="I733" s="33"/>
      <c r="J733" s="33"/>
      <c r="K733" s="41"/>
      <c r="L733" s="41"/>
      <c r="M733" s="44"/>
      <c r="N733" s="8"/>
      <c r="O733" s="1"/>
    </row>
    <row r="734" spans="1:15" ht="36.6" customHeight="1">
      <c r="A734" s="128" t="s">
        <v>2012</v>
      </c>
      <c r="B734" s="129"/>
      <c r="C734" s="57" t="s">
        <v>2013</v>
      </c>
      <c r="D734" s="59" t="s">
        <v>2014</v>
      </c>
      <c r="E734" s="58" t="s">
        <v>2015</v>
      </c>
      <c r="F734" s="81">
        <f>H734/A2</f>
        <v>1.25</v>
      </c>
      <c r="G734" s="83" t="s">
        <v>2016</v>
      </c>
      <c r="H734" s="82">
        <f>C2/F2*G2+C2</f>
        <v>275</v>
      </c>
      <c r="I734" s="10" t="s">
        <v>2017</v>
      </c>
      <c r="J734" s="85">
        <v>2000</v>
      </c>
      <c r="M734" s="44"/>
      <c r="N734" s="8"/>
      <c r="O734" s="1"/>
    </row>
    <row r="735" spans="1:15" ht="36.6" customHeight="1">
      <c r="A735" s="130"/>
      <c r="B735" s="131"/>
      <c r="C735" s="61">
        <f>C2</f>
        <v>275</v>
      </c>
      <c r="D735" s="60">
        <f>COUNTIF(C5:C732,"retido")</f>
        <v>203</v>
      </c>
      <c r="G735" s="80">
        <f>A2/19554</f>
        <v>1.1250894957553442E-2</v>
      </c>
      <c r="H735" s="84">
        <f>H734/19554</f>
        <v>1.4063618696941803E-2</v>
      </c>
      <c r="M735" s="44"/>
      <c r="N735" s="8"/>
      <c r="O735" s="1"/>
    </row>
    <row r="736" spans="1:15" ht="36.6" customHeight="1">
      <c r="A736" s="15" t="s">
        <v>2019</v>
      </c>
      <c r="B736" s="45">
        <f>COUNTIF(L5:L1560,"insatisfação c/ atd")</f>
        <v>14</v>
      </c>
      <c r="C736" s="55">
        <f>B736/$C$735</f>
        <v>5.0909090909090911E-2</v>
      </c>
      <c r="E736" s="10" t="s">
        <v>2020</v>
      </c>
      <c r="F736" s="10" t="s">
        <v>2021</v>
      </c>
      <c r="G736" s="10" t="s">
        <v>2022</v>
      </c>
      <c r="H736" s="44" t="s">
        <v>2023</v>
      </c>
      <c r="I736" s="44" t="s">
        <v>2024</v>
      </c>
      <c r="J736" s="44" t="s">
        <v>2025</v>
      </c>
      <c r="M736" s="44"/>
      <c r="N736" s="8"/>
      <c r="O736" s="1"/>
    </row>
    <row r="737" spans="1:15" ht="36.6" customHeight="1">
      <c r="A737" s="15" t="s">
        <v>2026</v>
      </c>
      <c r="B737" s="45">
        <f>COUNTIF(L5:L1560,"INSATISFAÇÃO C/ SERVIÇO")</f>
        <v>99</v>
      </c>
      <c r="C737" s="52">
        <f>B737/$C$735</f>
        <v>0.36</v>
      </c>
      <c r="D737" s="56" t="s">
        <v>55</v>
      </c>
      <c r="E737" s="10">
        <v>182</v>
      </c>
      <c r="F737" s="10">
        <f>E737-G737</f>
        <v>97</v>
      </c>
      <c r="G737" s="63">
        <v>85</v>
      </c>
      <c r="H737" s="62">
        <f>G737/E737</f>
        <v>0.46703296703296704</v>
      </c>
      <c r="I737" s="64">
        <f>G737/$G$741</f>
        <v>0.41871921182266009</v>
      </c>
      <c r="J737" s="65">
        <f>I737*$J$734</f>
        <v>837.4384236453202</v>
      </c>
      <c r="M737" s="44"/>
      <c r="N737" s="8"/>
      <c r="O737" s="1"/>
    </row>
    <row r="738" spans="1:15" ht="36.6" customHeight="1">
      <c r="A738" s="16" t="s">
        <v>2027</v>
      </c>
      <c r="B738" s="45">
        <f>COUNTIF(L5:L1560,"MUDANÇA DE ENDEREÇO")</f>
        <v>94</v>
      </c>
      <c r="C738" s="52">
        <f t="shared" ref="C737:C742" si="0">B738/$C$735</f>
        <v>0.3418181818181818</v>
      </c>
      <c r="D738" s="42" t="s">
        <v>769</v>
      </c>
      <c r="E738" s="10">
        <v>15</v>
      </c>
      <c r="F738" s="10">
        <f>E738-G738</f>
        <v>11</v>
      </c>
      <c r="G738" s="63">
        <v>4</v>
      </c>
      <c r="H738" s="62">
        <f>G738/E738</f>
        <v>0.26666666666666666</v>
      </c>
      <c r="I738" s="64">
        <f>G738/$G$741</f>
        <v>1.9704433497536946E-2</v>
      </c>
      <c r="J738" s="65">
        <f>I738*$J$734</f>
        <v>39.408866995073893</v>
      </c>
      <c r="M738" s="42"/>
      <c r="N738" s="8"/>
      <c r="O738" s="1"/>
    </row>
    <row r="739" spans="1:15" ht="36.6" customHeight="1">
      <c r="A739" s="15" t="s">
        <v>2028</v>
      </c>
      <c r="B739" s="45">
        <f>COUNTIF(L5:L1560,"MOTIVOS PESSOAIS")</f>
        <v>13</v>
      </c>
      <c r="C739" s="52">
        <f t="shared" si="0"/>
        <v>4.7272727272727272E-2</v>
      </c>
      <c r="D739" s="42" t="s">
        <v>49</v>
      </c>
      <c r="E739" s="10">
        <v>184</v>
      </c>
      <c r="F739" s="10">
        <f>E739-G739</f>
        <v>95</v>
      </c>
      <c r="G739" s="63">
        <v>89</v>
      </c>
      <c r="H739" s="62">
        <f t="shared" ref="H738:H739" si="1">G739/E739</f>
        <v>0.48369565217391303</v>
      </c>
      <c r="I739" s="64">
        <f>G739/$G$741</f>
        <v>0.43842364532019706</v>
      </c>
      <c r="J739" s="65">
        <f>I739*$J$734</f>
        <v>876.84729064039414</v>
      </c>
      <c r="M739" s="42"/>
      <c r="N739" s="8"/>
      <c r="O739" s="1"/>
    </row>
    <row r="740" spans="1:15" ht="36.6" customHeight="1">
      <c r="A740" s="15" t="s">
        <v>2029</v>
      </c>
      <c r="B740" s="45">
        <f>COUNTIF(L5:L1560,"TROCA DE PROVEDOR")</f>
        <v>30</v>
      </c>
      <c r="C740" s="52">
        <f t="shared" si="0"/>
        <v>0.10909090909090909</v>
      </c>
      <c r="D740" s="42" t="s">
        <v>2050</v>
      </c>
      <c r="E740" s="76">
        <v>99</v>
      </c>
      <c r="F740" s="10">
        <f>E740-G740</f>
        <v>74</v>
      </c>
      <c r="G740" s="63">
        <v>25</v>
      </c>
      <c r="H740" s="62">
        <f>G740/E740</f>
        <v>0.25252525252525254</v>
      </c>
      <c r="I740" s="64">
        <f>G740/$G$741</f>
        <v>0.12315270935960591</v>
      </c>
      <c r="J740" s="65">
        <f>I740*$J$734</f>
        <v>246.30541871921181</v>
      </c>
      <c r="M740" s="42"/>
      <c r="N740" s="8"/>
      <c r="O740" s="1"/>
    </row>
    <row r="741" spans="1:15" ht="36.6" customHeight="1">
      <c r="A741" s="17" t="s">
        <v>2030</v>
      </c>
      <c r="B741" s="46">
        <f>COUNTIF(L5:L1560,"PROBLEMAS FINANC")</f>
        <v>2</v>
      </c>
      <c r="C741" s="52">
        <f t="shared" si="0"/>
        <v>7.2727272727272727E-3</v>
      </c>
      <c r="D741" s="1"/>
      <c r="E741" s="42"/>
      <c r="F741" s="1"/>
      <c r="G741" s="24">
        <f>SUM(G737:G740)</f>
        <v>203</v>
      </c>
      <c r="I741" s="14"/>
      <c r="J741" s="66">
        <f>SUM(J737:J740)</f>
        <v>2000</v>
      </c>
      <c r="K741" s="14"/>
      <c r="L741" s="14"/>
      <c r="M741" s="42"/>
      <c r="N741" s="14"/>
      <c r="O741" s="1"/>
    </row>
    <row r="742" spans="1:15" ht="36.6" customHeight="1">
      <c r="A742" s="16" t="s">
        <v>120</v>
      </c>
      <c r="B742" s="45">
        <f>COUNTIF(L5:L1560,"OUTROS")</f>
        <v>25</v>
      </c>
      <c r="C742" s="52">
        <f t="shared" si="0"/>
        <v>9.0909090909090912E-2</v>
      </c>
      <c r="D742" s="42"/>
      <c r="E742" s="42"/>
      <c r="F742" s="14"/>
      <c r="G742" s="14"/>
      <c r="H742" s="14"/>
      <c r="I742" s="73"/>
      <c r="J742" s="73"/>
      <c r="K742" s="14"/>
      <c r="L742" s="14"/>
      <c r="M742" s="42"/>
      <c r="N742" s="14"/>
      <c r="O742" s="1"/>
    </row>
    <row r="743" spans="1:15" ht="36.6" customHeight="1">
      <c r="A743" s="18" t="s">
        <v>2032</v>
      </c>
      <c r="B743" s="48">
        <f>A732-J2</f>
        <v>286</v>
      </c>
      <c r="C743" s="50"/>
      <c r="D743" s="42"/>
      <c r="E743" s="42"/>
      <c r="F743" s="42"/>
      <c r="G743" s="42"/>
      <c r="H743" s="42"/>
      <c r="I743" s="72"/>
      <c r="J743" s="72"/>
      <c r="K743" s="14"/>
      <c r="L743" s="14"/>
      <c r="M743" s="42"/>
      <c r="N743" s="14"/>
      <c r="O743" s="1"/>
    </row>
    <row r="744" spans="1:15" ht="36.6" customHeight="1">
      <c r="A744" s="19" t="s">
        <v>2034</v>
      </c>
      <c r="B744" s="47">
        <f>D735/B743</f>
        <v>0.70979020979020979</v>
      </c>
      <c r="C744" s="20" t="s">
        <v>2035</v>
      </c>
      <c r="D744" s="42"/>
      <c r="E744" s="42"/>
      <c r="F744" s="1"/>
      <c r="G744" s="1"/>
      <c r="H744" s="11"/>
      <c r="I744" s="36"/>
      <c r="J744" s="36"/>
      <c r="K744" s="14"/>
      <c r="L744" s="14"/>
      <c r="M744" s="42"/>
      <c r="N744" s="14"/>
      <c r="O744" s="1"/>
    </row>
    <row r="745" spans="1:15" ht="36.6" customHeight="1">
      <c r="A745" s="21"/>
      <c r="B745" s="35"/>
      <c r="C745" s="1"/>
      <c r="D745" s="1"/>
      <c r="E745" s="9"/>
      <c r="F745" s="1"/>
      <c r="G745" s="1"/>
      <c r="H745" s="22"/>
      <c r="I745" s="38"/>
      <c r="J745" s="38"/>
      <c r="K745" s="1"/>
      <c r="L745" s="1"/>
      <c r="M745" s="2"/>
      <c r="N745" s="1"/>
      <c r="O745" s="1"/>
    </row>
    <row r="746" spans="1:15" ht="36.6" customHeight="1">
      <c r="A746" s="11"/>
      <c r="B746" s="36"/>
      <c r="C746" s="23"/>
      <c r="D746" s="11"/>
      <c r="E746" s="11"/>
      <c r="F746" s="11"/>
      <c r="G746" s="54"/>
      <c r="H746" s="54"/>
      <c r="I746" s="74"/>
      <c r="J746" s="74"/>
      <c r="K746" s="54"/>
      <c r="L746" s="44"/>
      <c r="M746" s="2"/>
      <c r="N746" s="1"/>
      <c r="O746" s="1"/>
    </row>
    <row r="747" spans="1:15" ht="36.6" customHeight="1">
      <c r="A747" s="25"/>
      <c r="B747" s="37"/>
      <c r="C747" s="27"/>
      <c r="D747" s="2"/>
      <c r="E747" s="28"/>
      <c r="F747" s="28"/>
      <c r="G747" s="23"/>
      <c r="H747" s="44"/>
      <c r="I747" s="34"/>
      <c r="J747" s="34"/>
      <c r="K747" s="44"/>
      <c r="L747" s="44"/>
      <c r="M747" s="2"/>
      <c r="N747" s="1"/>
      <c r="O747" s="1"/>
    </row>
    <row r="748" spans="1:15" ht="36.6" customHeight="1">
      <c r="A748" s="25"/>
      <c r="B748" s="37"/>
      <c r="C748" s="27"/>
      <c r="D748" s="2"/>
      <c r="E748" s="28"/>
      <c r="F748" s="28"/>
      <c r="G748" s="41"/>
      <c r="H748" s="29"/>
      <c r="I748" s="33"/>
      <c r="J748" s="33"/>
      <c r="K748" s="30"/>
      <c r="L748" s="41"/>
      <c r="M748" s="41"/>
      <c r="N748" s="1"/>
      <c r="O748" s="1"/>
    </row>
    <row r="749" spans="1:15" ht="36.6" customHeight="1">
      <c r="A749" s="25"/>
      <c r="B749" s="37"/>
      <c r="C749" s="27"/>
      <c r="D749" s="2"/>
      <c r="E749" s="28"/>
      <c r="F749" s="28"/>
      <c r="G749" s="41"/>
      <c r="H749" s="30"/>
      <c r="I749" s="33"/>
      <c r="J749" s="33"/>
      <c r="K749" s="41"/>
      <c r="L749" s="41"/>
      <c r="M749" s="41"/>
      <c r="N749" s="1"/>
      <c r="O749" s="1"/>
    </row>
    <row r="750" spans="1:15" ht="36.6" customHeight="1">
      <c r="A750" s="25"/>
      <c r="B750" s="37"/>
      <c r="C750" s="27"/>
      <c r="D750" s="2"/>
      <c r="E750" s="28"/>
      <c r="F750" s="28"/>
      <c r="G750" s="41"/>
      <c r="H750" s="41"/>
      <c r="I750" s="33"/>
      <c r="J750" s="33"/>
      <c r="K750" s="41"/>
      <c r="L750" s="41"/>
      <c r="M750" s="2"/>
      <c r="N750" s="1"/>
      <c r="O750" s="1"/>
    </row>
    <row r="751" spans="1:15" ht="36.6" customHeight="1">
      <c r="A751" s="25"/>
      <c r="B751" s="37"/>
      <c r="C751" s="27"/>
      <c r="D751" s="2"/>
      <c r="E751" s="2"/>
      <c r="F751" s="2"/>
      <c r="G751" s="41"/>
      <c r="H751" s="30"/>
      <c r="I751" s="33"/>
      <c r="J751" s="33"/>
      <c r="K751" s="41"/>
      <c r="L751" s="41"/>
      <c r="M751" s="2"/>
      <c r="N751" s="1"/>
      <c r="O751" s="1"/>
    </row>
    <row r="752" spans="1:15" ht="36.6" customHeight="1">
      <c r="A752" s="25"/>
      <c r="B752" s="37"/>
      <c r="C752" s="27"/>
      <c r="D752" s="2"/>
      <c r="E752" s="28"/>
      <c r="F752" s="28"/>
      <c r="G752" s="41"/>
      <c r="H752" s="29"/>
      <c r="I752" s="33"/>
      <c r="J752" s="33"/>
      <c r="K752" s="41"/>
      <c r="L752" s="41"/>
      <c r="M752" s="2"/>
      <c r="N752" s="1"/>
      <c r="O752" s="1"/>
    </row>
    <row r="753" spans="1:15" ht="36.6" customHeight="1">
      <c r="A753" s="25"/>
      <c r="B753" s="37"/>
      <c r="C753" s="27"/>
      <c r="D753" s="2"/>
      <c r="E753" s="28"/>
      <c r="F753" s="28"/>
      <c r="G753" s="41"/>
      <c r="H753" s="41"/>
      <c r="I753" s="33"/>
      <c r="J753" s="33"/>
      <c r="K753" s="41"/>
      <c r="L753" s="41"/>
      <c r="M753" s="2"/>
      <c r="N753" s="1"/>
      <c r="O753" s="1"/>
    </row>
    <row r="754" spans="1:15" ht="36.6" customHeight="1">
      <c r="A754" s="25"/>
      <c r="B754" s="37"/>
      <c r="C754" s="27"/>
      <c r="D754" s="2"/>
      <c r="E754" s="28"/>
      <c r="F754" s="28"/>
      <c r="G754" s="1"/>
      <c r="H754" s="1"/>
      <c r="I754" s="39"/>
      <c r="J754" s="39"/>
      <c r="K754" s="1"/>
      <c r="L754" s="1"/>
      <c r="M754" s="2"/>
      <c r="N754" s="1"/>
      <c r="O754" s="1"/>
    </row>
    <row r="755" spans="1:15" ht="36.6" customHeight="1">
      <c r="A755" s="25"/>
      <c r="B755" s="37"/>
      <c r="C755" s="27"/>
      <c r="D755" s="2"/>
      <c r="E755" s="2"/>
      <c r="F755" s="2"/>
      <c r="G755" s="1"/>
      <c r="H755" s="42"/>
      <c r="I755" s="72"/>
      <c r="J755" s="72"/>
      <c r="K755" s="1"/>
      <c r="L755" s="1"/>
      <c r="M755" s="2"/>
      <c r="N755" s="1"/>
      <c r="O755" s="1"/>
    </row>
    <row r="756" spans="1:15" ht="36.6" customHeight="1">
      <c r="A756" s="25"/>
      <c r="B756" s="37"/>
      <c r="C756" s="26"/>
      <c r="D756" s="26"/>
      <c r="E756" s="31"/>
      <c r="F756" s="31"/>
      <c r="G756" s="1"/>
      <c r="H756" s="1"/>
      <c r="I756" s="39"/>
      <c r="J756" s="39"/>
      <c r="K756" s="1"/>
      <c r="L756" s="1"/>
      <c r="M756" s="2"/>
      <c r="N756" s="1"/>
      <c r="O756" s="1"/>
    </row>
    <row r="757" spans="1:15" ht="36.6" customHeight="1">
      <c r="A757" s="11"/>
      <c r="B757" s="36"/>
      <c r="C757" s="2"/>
      <c r="D757" s="11"/>
      <c r="E757" s="31"/>
      <c r="F757" s="31"/>
      <c r="G757" s="1"/>
      <c r="H757" s="1"/>
      <c r="I757" s="39"/>
      <c r="J757" s="39"/>
      <c r="K757" s="1"/>
      <c r="L757" s="1"/>
      <c r="M757" s="2"/>
      <c r="N757" s="1"/>
      <c r="O757" s="1"/>
    </row>
    <row r="758" spans="1:15" ht="36.6" customHeight="1">
      <c r="A758" s="25"/>
      <c r="B758" s="38"/>
      <c r="C758" s="27"/>
      <c r="D758" s="11"/>
      <c r="E758" s="27"/>
      <c r="F758" s="27"/>
      <c r="G758" s="1"/>
      <c r="H758" s="1"/>
      <c r="I758" s="39"/>
      <c r="J758" s="39"/>
      <c r="K758" s="1"/>
      <c r="L758" s="1"/>
      <c r="M758" s="2"/>
      <c r="N758" s="1"/>
      <c r="O758" s="1"/>
    </row>
    <row r="759" spans="1:15" ht="36.6" customHeight="1">
      <c r="A759" s="25"/>
      <c r="B759" s="38"/>
      <c r="C759" s="27"/>
      <c r="D759" s="11"/>
      <c r="E759" s="27"/>
      <c r="F759" s="27"/>
      <c r="G759" s="1"/>
      <c r="H759" s="2"/>
      <c r="I759" s="38"/>
      <c r="J759" s="38"/>
      <c r="K759" s="1"/>
      <c r="L759" s="1"/>
      <c r="M759" s="2"/>
      <c r="N759" s="1"/>
      <c r="O759" s="1"/>
    </row>
    <row r="760" spans="1:15" ht="36.6" customHeight="1">
      <c r="A760" s="25"/>
      <c r="B760" s="38"/>
      <c r="C760" s="27"/>
      <c r="D760" s="11"/>
      <c r="E760" s="2"/>
      <c r="F760" s="2"/>
      <c r="G760" s="1"/>
      <c r="H760" s="2"/>
      <c r="I760" s="38"/>
      <c r="J760" s="38"/>
      <c r="K760" s="1"/>
      <c r="L760" s="1"/>
      <c r="M760" s="2"/>
      <c r="N760" s="1"/>
      <c r="O760" s="1"/>
    </row>
    <row r="761" spans="1:15" ht="36.6" customHeight="1">
      <c r="A761" s="25"/>
      <c r="B761" s="38"/>
      <c r="C761" s="27"/>
      <c r="D761" s="11"/>
      <c r="E761" s="27"/>
      <c r="F761" s="27"/>
      <c r="G761" s="1"/>
      <c r="H761" s="2"/>
      <c r="I761" s="38"/>
      <c r="J761" s="38"/>
      <c r="K761" s="1"/>
      <c r="L761" s="1"/>
      <c r="M761" s="2"/>
      <c r="N761" s="1"/>
      <c r="O761" s="1"/>
    </row>
    <row r="762" spans="1:15" ht="36.6" customHeight="1">
      <c r="A762" s="25"/>
      <c r="B762" s="38"/>
      <c r="C762" s="2"/>
      <c r="D762" s="11"/>
      <c r="E762" s="2"/>
      <c r="F762" s="2"/>
      <c r="G762" s="1"/>
      <c r="H762" s="2"/>
      <c r="I762" s="38"/>
      <c r="J762" s="38"/>
      <c r="K762" s="1"/>
      <c r="L762" s="1"/>
      <c r="M762" s="2"/>
      <c r="N762" s="1"/>
      <c r="O762" s="1"/>
    </row>
    <row r="763" spans="1:15" ht="36.6" customHeight="1">
      <c r="A763" s="25"/>
      <c r="B763" s="38"/>
      <c r="C763" s="27"/>
      <c r="D763" s="11"/>
      <c r="E763" s="27"/>
      <c r="F763" s="27"/>
      <c r="G763" s="1"/>
      <c r="H763" s="2"/>
      <c r="I763" s="38"/>
      <c r="J763" s="38"/>
      <c r="K763" s="1"/>
      <c r="L763" s="1"/>
      <c r="M763" s="2"/>
      <c r="N763" s="1"/>
      <c r="O763" s="1"/>
    </row>
    <row r="764" spans="1:15" ht="36.6" customHeight="1">
      <c r="A764" s="25"/>
      <c r="B764" s="38"/>
      <c r="C764" s="27"/>
      <c r="D764" s="11"/>
      <c r="E764" s="27"/>
      <c r="F764" s="27"/>
      <c r="G764" s="1"/>
      <c r="H764" s="2"/>
      <c r="I764" s="38"/>
      <c r="J764" s="38"/>
      <c r="K764" s="1"/>
      <c r="L764" s="1"/>
      <c r="M764" s="2"/>
      <c r="N764" s="1"/>
      <c r="O764" s="1"/>
    </row>
    <row r="765" spans="1:15" ht="36.6" customHeight="1">
      <c r="A765" s="25"/>
      <c r="B765" s="38"/>
      <c r="C765" s="27"/>
      <c r="D765" s="11"/>
      <c r="E765" s="27"/>
      <c r="F765" s="27"/>
      <c r="G765" s="2"/>
      <c r="H765" s="2"/>
      <c r="I765" s="38"/>
      <c r="J765" s="38"/>
      <c r="K765" s="1"/>
      <c r="L765" s="1"/>
      <c r="M765" s="2"/>
      <c r="N765" s="1"/>
      <c r="O765" s="1"/>
    </row>
    <row r="766" spans="1:15" ht="36.6" customHeight="1">
      <c r="A766" s="25"/>
      <c r="B766" s="38"/>
      <c r="C766" s="27"/>
      <c r="D766" s="11"/>
      <c r="E766" s="2"/>
      <c r="F766" s="2"/>
      <c r="G766" s="2"/>
      <c r="H766" s="2"/>
      <c r="I766" s="38"/>
      <c r="J766" s="38"/>
      <c r="K766" s="1"/>
      <c r="L766" s="1"/>
      <c r="M766" s="2"/>
      <c r="N766" s="1"/>
      <c r="O766" s="1"/>
    </row>
    <row r="767" spans="1:15" ht="36.6" customHeight="1">
      <c r="A767" s="25"/>
      <c r="B767" s="38"/>
      <c r="C767" s="2"/>
      <c r="D767" s="2"/>
      <c r="E767" s="2"/>
      <c r="F767" s="2"/>
      <c r="G767" s="2"/>
      <c r="H767" s="2"/>
      <c r="I767" s="38"/>
      <c r="J767" s="38"/>
      <c r="K767" s="1"/>
      <c r="L767" s="1"/>
      <c r="M767" s="2"/>
      <c r="N767" s="1"/>
      <c r="O767" s="1"/>
    </row>
    <row r="768" spans="1:15" ht="36.6" customHeight="1">
      <c r="A768" s="11"/>
      <c r="B768" s="36"/>
      <c r="C768" s="2"/>
      <c r="D768" s="2"/>
      <c r="E768" s="2"/>
      <c r="F768" s="2"/>
      <c r="G768" s="2"/>
      <c r="H768" s="2"/>
      <c r="I768" s="38"/>
      <c r="J768" s="38"/>
      <c r="K768" s="1"/>
      <c r="L768" s="1"/>
      <c r="M768" s="2"/>
      <c r="N768" s="1"/>
      <c r="O768" s="1"/>
    </row>
    <row r="769" spans="1:15" ht="36.6" customHeight="1">
      <c r="A769" s="25"/>
      <c r="B769" s="38"/>
      <c r="C769" s="27"/>
      <c r="D769" s="2"/>
      <c r="E769" s="2"/>
      <c r="F769" s="2"/>
      <c r="G769" s="2"/>
      <c r="H769" s="2"/>
      <c r="I769" s="38"/>
      <c r="J769" s="38"/>
      <c r="K769" s="1"/>
      <c r="L769" s="1"/>
      <c r="M769" s="2"/>
      <c r="N769" s="1"/>
      <c r="O769" s="1"/>
    </row>
    <row r="770" spans="1:15" ht="36.6" customHeight="1">
      <c r="A770" s="25"/>
      <c r="B770" s="38"/>
      <c r="C770" s="27"/>
      <c r="D770" s="2"/>
      <c r="E770" s="2"/>
      <c r="F770" s="2"/>
      <c r="G770" s="2"/>
      <c r="H770" s="2"/>
      <c r="I770" s="38"/>
      <c r="J770" s="38"/>
      <c r="K770" s="1"/>
      <c r="L770" s="1"/>
      <c r="M770" s="2"/>
      <c r="N770" s="1"/>
      <c r="O770" s="1"/>
    </row>
    <row r="771" spans="1:15" ht="36.6" customHeight="1">
      <c r="A771" s="25"/>
      <c r="B771" s="38"/>
      <c r="C771" s="27"/>
      <c r="D771" s="1"/>
      <c r="E771" s="2"/>
      <c r="F771" s="1"/>
      <c r="G771" s="1"/>
      <c r="H771" s="1"/>
      <c r="I771" s="39"/>
      <c r="J771" s="39"/>
      <c r="K771" s="1"/>
      <c r="L771" s="1"/>
      <c r="M771" s="2"/>
      <c r="N771" s="1"/>
      <c r="O771" s="1"/>
    </row>
    <row r="772" spans="1:15" ht="36.6" customHeight="1">
      <c r="A772" s="25"/>
      <c r="B772" s="38"/>
      <c r="C772" s="27"/>
      <c r="D772" s="1"/>
      <c r="E772" s="2"/>
      <c r="F772" s="1"/>
      <c r="G772" s="1"/>
      <c r="H772" s="1"/>
      <c r="I772" s="39"/>
      <c r="J772" s="39"/>
      <c r="K772" s="1"/>
      <c r="L772" s="1"/>
      <c r="M772" s="2"/>
      <c r="N772" s="1"/>
      <c r="O772" s="1"/>
    </row>
    <row r="773" spans="1:15" ht="36.6" customHeight="1">
      <c r="A773" s="25"/>
      <c r="B773" s="38"/>
      <c r="C773" s="2"/>
      <c r="D773" s="1"/>
      <c r="E773" s="2"/>
      <c r="F773" s="1"/>
      <c r="G773" s="1"/>
      <c r="H773" s="1"/>
      <c r="I773" s="39"/>
      <c r="J773" s="39"/>
      <c r="K773" s="1"/>
      <c r="L773" s="1"/>
      <c r="M773" s="2"/>
      <c r="N773" s="1"/>
      <c r="O773" s="1"/>
    </row>
    <row r="774" spans="1:15" ht="36.6" customHeight="1">
      <c r="A774" s="25"/>
      <c r="B774" s="38"/>
      <c r="C774" s="27"/>
      <c r="D774" s="1"/>
      <c r="E774" s="2"/>
      <c r="F774" s="1"/>
      <c r="G774" s="1"/>
      <c r="H774" s="1"/>
      <c r="I774" s="39"/>
      <c r="J774" s="39"/>
      <c r="K774" s="1"/>
      <c r="L774" s="1"/>
      <c r="M774" s="2"/>
      <c r="N774" s="1"/>
      <c r="O774" s="1"/>
    </row>
    <row r="775" spans="1:15" ht="36.6" customHeight="1">
      <c r="A775" s="25"/>
      <c r="B775" s="38"/>
      <c r="C775" s="27"/>
      <c r="D775" s="1"/>
      <c r="E775" s="2"/>
      <c r="F775" s="1"/>
      <c r="G775" s="1"/>
      <c r="H775" s="1"/>
      <c r="I775" s="39"/>
      <c r="J775" s="39"/>
      <c r="K775" s="1"/>
      <c r="L775" s="1"/>
      <c r="M775" s="2"/>
      <c r="N775" s="1"/>
      <c r="O775" s="1"/>
    </row>
    <row r="776" spans="1:15" ht="36.6" customHeight="1">
      <c r="A776" s="25"/>
      <c r="B776" s="38"/>
      <c r="C776" s="27"/>
      <c r="D776" s="1"/>
      <c r="E776" s="2"/>
      <c r="F776" s="1"/>
      <c r="G776" s="1"/>
      <c r="H776" s="1"/>
      <c r="I776" s="39"/>
      <c r="J776" s="39"/>
      <c r="K776" s="1"/>
      <c r="L776" s="1"/>
      <c r="M776" s="2"/>
      <c r="N776" s="1"/>
      <c r="O776" s="1"/>
    </row>
    <row r="777" spans="1:15" ht="36.6" customHeight="1">
      <c r="A777" s="25"/>
      <c r="B777" s="38"/>
      <c r="C777" s="2"/>
      <c r="D777" s="1"/>
      <c r="E777" s="2"/>
      <c r="F777" s="1"/>
      <c r="G777" s="1"/>
      <c r="H777" s="1"/>
      <c r="I777" s="39"/>
      <c r="J777" s="39"/>
      <c r="K777" s="1"/>
      <c r="L777" s="1"/>
      <c r="M777" s="2"/>
      <c r="N777" s="1"/>
      <c r="O777" s="1"/>
    </row>
    <row r="778" spans="1:15" ht="36.6" customHeight="1">
      <c r="A778" s="12"/>
      <c r="B778" s="38"/>
      <c r="C778" s="1"/>
      <c r="D778" s="1"/>
      <c r="E778" s="2"/>
      <c r="F778" s="1"/>
      <c r="G778" s="1"/>
      <c r="H778" s="1"/>
      <c r="I778" s="39"/>
      <c r="J778" s="39"/>
      <c r="K778" s="1"/>
      <c r="L778" s="1"/>
      <c r="M778" s="2"/>
      <c r="N778" s="1"/>
      <c r="O778" s="1"/>
    </row>
    <row r="779" spans="1:15" ht="36.6" customHeight="1">
      <c r="A779" s="12"/>
      <c r="B779" s="38"/>
      <c r="C779" s="1"/>
      <c r="D779" s="1"/>
      <c r="E779" s="2"/>
      <c r="F779" s="1"/>
      <c r="G779" s="1"/>
      <c r="H779" s="1"/>
      <c r="I779" s="39"/>
      <c r="J779" s="39"/>
      <c r="K779" s="1"/>
      <c r="L779" s="1"/>
      <c r="M779" s="2"/>
      <c r="N779" s="1"/>
      <c r="O779" s="1"/>
    </row>
    <row r="780" spans="1:15" ht="36.6" customHeight="1">
      <c r="A780" s="1"/>
      <c r="B780" s="38"/>
      <c r="C780" s="1"/>
      <c r="D780" s="1"/>
      <c r="E780" s="2"/>
      <c r="F780" s="1"/>
      <c r="G780" s="1"/>
      <c r="H780" s="1"/>
      <c r="I780" s="39"/>
      <c r="J780" s="39"/>
      <c r="K780" s="1"/>
      <c r="L780" s="1"/>
      <c r="M780" s="2"/>
      <c r="N780" s="1"/>
      <c r="O780" s="1"/>
    </row>
    <row r="781" spans="1:15" ht="36.6" customHeight="1">
      <c r="A781" s="1"/>
      <c r="B781" s="39"/>
      <c r="C781" s="1"/>
      <c r="D781" s="1"/>
      <c r="E781" s="2"/>
      <c r="F781" s="1"/>
      <c r="G781" s="1"/>
      <c r="H781" s="1"/>
      <c r="I781" s="39"/>
      <c r="J781" s="39"/>
      <c r="K781" s="1"/>
      <c r="L781" s="1"/>
      <c r="M781" s="2"/>
      <c r="N781" s="1"/>
      <c r="O781" s="1"/>
    </row>
    <row r="782" spans="1:15" ht="36.6" customHeight="1">
      <c r="A782" s="1"/>
      <c r="B782" s="39"/>
      <c r="C782" s="1"/>
      <c r="D782" s="1"/>
      <c r="E782" s="2"/>
      <c r="F782" s="1"/>
      <c r="G782" s="1"/>
      <c r="H782" s="1"/>
      <c r="I782" s="39"/>
      <c r="J782" s="39"/>
      <c r="K782" s="1"/>
      <c r="L782" s="1"/>
      <c r="M782" s="2"/>
      <c r="N782" s="1"/>
      <c r="O782" s="1"/>
    </row>
    <row r="783" spans="1:15" ht="36.6" customHeight="1">
      <c r="A783" s="1"/>
      <c r="B783" s="39"/>
      <c r="C783" s="1"/>
      <c r="D783" s="1"/>
      <c r="E783" s="2"/>
      <c r="F783" s="1"/>
      <c r="G783" s="1"/>
      <c r="H783" s="1"/>
      <c r="I783" s="39"/>
      <c r="J783" s="39"/>
      <c r="K783" s="1"/>
      <c r="L783" s="1"/>
      <c r="M783" s="2"/>
      <c r="N783" s="1"/>
      <c r="O783" s="1"/>
    </row>
    <row r="784" spans="1:15" ht="36.6" customHeight="1">
      <c r="A784" s="1"/>
      <c r="B784" s="39"/>
      <c r="C784" s="1"/>
      <c r="D784" s="1"/>
      <c r="E784" s="2"/>
      <c r="F784" s="1"/>
      <c r="G784" s="1"/>
      <c r="H784" s="1"/>
      <c r="I784" s="39"/>
      <c r="J784" s="39"/>
      <c r="K784" s="1"/>
      <c r="L784" s="1"/>
      <c r="M784" s="2"/>
      <c r="N784" s="1"/>
      <c r="O784" s="1"/>
    </row>
    <row r="785" spans="1:15" ht="36.6" customHeight="1">
      <c r="A785" s="1"/>
      <c r="B785" s="39"/>
      <c r="C785" s="1"/>
      <c r="D785" s="1"/>
      <c r="E785" s="2"/>
      <c r="F785" s="1"/>
      <c r="G785" s="1"/>
      <c r="H785" s="1"/>
      <c r="I785" s="39"/>
      <c r="J785" s="39"/>
      <c r="K785" s="1"/>
      <c r="L785" s="1"/>
      <c r="M785" s="2"/>
      <c r="N785" s="1"/>
      <c r="O785" s="1"/>
    </row>
    <row r="786" spans="1:15" ht="36.6" customHeight="1">
      <c r="A786" s="1"/>
      <c r="B786" s="39"/>
      <c r="C786" s="1"/>
      <c r="D786" s="1"/>
      <c r="E786" s="2"/>
      <c r="F786" s="1"/>
      <c r="G786" s="1"/>
      <c r="H786" s="1"/>
      <c r="I786" s="39"/>
      <c r="J786" s="39"/>
      <c r="K786" s="1"/>
      <c r="L786" s="1"/>
      <c r="M786" s="2"/>
      <c r="N786" s="1"/>
      <c r="O786" s="1"/>
    </row>
    <row r="787" spans="1:15" ht="36.6" customHeight="1">
      <c r="A787" s="1"/>
      <c r="B787" s="39"/>
      <c r="C787" s="1"/>
      <c r="D787" s="1"/>
      <c r="E787" s="2"/>
      <c r="F787" s="1"/>
      <c r="G787" s="1"/>
      <c r="H787" s="1"/>
      <c r="I787" s="39"/>
      <c r="J787" s="39"/>
      <c r="K787" s="1"/>
      <c r="L787" s="1"/>
      <c r="M787" s="2"/>
      <c r="N787" s="1"/>
      <c r="O787" s="1"/>
    </row>
    <row r="788" spans="1:15" ht="36.6" customHeight="1">
      <c r="A788" s="1"/>
      <c r="B788" s="39"/>
      <c r="C788" s="1"/>
      <c r="D788" s="1"/>
      <c r="E788" s="2"/>
      <c r="F788" s="1"/>
      <c r="G788" s="1"/>
      <c r="H788" s="1"/>
      <c r="I788" s="39"/>
      <c r="J788" s="39"/>
      <c r="K788" s="1"/>
      <c r="L788" s="1"/>
      <c r="M788" s="2"/>
      <c r="N788" s="1"/>
      <c r="O788" s="1"/>
    </row>
    <row r="789" spans="1:15" ht="36.6" customHeight="1">
      <c r="A789" s="1"/>
      <c r="B789" s="39"/>
      <c r="C789" s="1"/>
      <c r="D789" s="1"/>
      <c r="E789" s="2"/>
      <c r="F789" s="1"/>
      <c r="G789" s="1"/>
      <c r="H789" s="1"/>
      <c r="I789" s="39"/>
      <c r="J789" s="39"/>
      <c r="K789" s="1"/>
      <c r="L789" s="1"/>
      <c r="M789" s="2"/>
      <c r="N789" s="1"/>
      <c r="O789" s="1"/>
    </row>
    <row r="790" spans="1:15" ht="36.6" customHeight="1">
      <c r="A790" s="1"/>
      <c r="B790" s="39"/>
      <c r="C790" s="1"/>
      <c r="D790" s="1"/>
      <c r="E790" s="2"/>
      <c r="F790" s="1"/>
      <c r="G790" s="1"/>
      <c r="H790" s="1"/>
      <c r="I790" s="39"/>
      <c r="J790" s="39"/>
      <c r="K790" s="1"/>
      <c r="L790" s="1"/>
      <c r="M790" s="2"/>
      <c r="N790" s="1"/>
      <c r="O790" s="1"/>
    </row>
    <row r="791" spans="1:15" ht="36.6" customHeight="1">
      <c r="A791" s="1"/>
      <c r="B791" s="39"/>
      <c r="C791" s="1"/>
      <c r="D791" s="1"/>
      <c r="E791" s="2"/>
      <c r="F791" s="1"/>
      <c r="G791" s="1"/>
      <c r="H791" s="1"/>
      <c r="I791" s="39"/>
      <c r="J791" s="39"/>
      <c r="K791" s="1"/>
      <c r="L791" s="1"/>
      <c r="M791" s="2"/>
      <c r="N791" s="1"/>
      <c r="O791" s="1"/>
    </row>
    <row r="792" spans="1:15" ht="36.6" customHeight="1">
      <c r="A792" s="1"/>
      <c r="B792" s="39"/>
      <c r="C792" s="1"/>
      <c r="D792" s="1"/>
      <c r="E792" s="2"/>
      <c r="F792" s="1"/>
      <c r="G792" s="1"/>
      <c r="H792" s="1"/>
      <c r="I792" s="39"/>
      <c r="J792" s="39"/>
      <c r="K792" s="1"/>
      <c r="L792" s="1"/>
      <c r="M792" s="2"/>
      <c r="N792" s="1"/>
      <c r="O792" s="1"/>
    </row>
    <row r="793" spans="1:15" ht="36.6" customHeight="1">
      <c r="A793" s="1"/>
      <c r="B793" s="39"/>
      <c r="C793" s="1"/>
      <c r="D793" s="1"/>
      <c r="E793" s="2"/>
      <c r="F793" s="1"/>
      <c r="G793" s="1"/>
      <c r="H793" s="1"/>
      <c r="I793" s="39"/>
      <c r="J793" s="39"/>
      <c r="K793" s="1"/>
      <c r="L793" s="1"/>
      <c r="M793" s="2"/>
      <c r="N793" s="1"/>
      <c r="O793" s="1"/>
    </row>
    <row r="794" spans="1:15" ht="36.6" customHeight="1">
      <c r="A794" s="1"/>
      <c r="B794" s="39"/>
      <c r="C794" s="1"/>
      <c r="D794" s="1"/>
      <c r="E794" s="2"/>
      <c r="F794" s="1"/>
      <c r="G794" s="1"/>
      <c r="H794" s="1"/>
      <c r="I794" s="39"/>
      <c r="J794" s="39"/>
      <c r="K794" s="1"/>
      <c r="L794" s="1"/>
      <c r="M794" s="2"/>
      <c r="N794" s="1"/>
      <c r="O794" s="1"/>
    </row>
    <row r="795" spans="1:15" ht="36.6" customHeight="1">
      <c r="A795" s="1"/>
      <c r="B795" s="39"/>
      <c r="C795" s="1"/>
      <c r="D795" s="1"/>
      <c r="E795" s="2"/>
      <c r="F795" s="1"/>
      <c r="G795" s="1"/>
      <c r="H795" s="1"/>
      <c r="I795" s="39"/>
      <c r="J795" s="39"/>
      <c r="K795" s="1"/>
      <c r="L795" s="1"/>
      <c r="M795" s="2"/>
      <c r="N795" s="1"/>
      <c r="O795" s="1"/>
    </row>
    <row r="796" spans="1:15" ht="36.6" customHeight="1">
      <c r="A796" s="1"/>
      <c r="B796" s="39"/>
      <c r="C796" s="1"/>
      <c r="D796" s="1"/>
      <c r="E796" s="2"/>
      <c r="F796" s="1"/>
      <c r="G796" s="1"/>
      <c r="H796" s="1"/>
      <c r="I796" s="39"/>
      <c r="J796" s="39"/>
      <c r="K796" s="1"/>
      <c r="L796" s="1"/>
      <c r="M796" s="2"/>
      <c r="N796" s="1"/>
      <c r="O796" s="1"/>
    </row>
    <row r="797" spans="1:15" ht="36.6" customHeight="1">
      <c r="A797" s="1"/>
      <c r="B797" s="39"/>
      <c r="C797" s="1"/>
      <c r="D797" s="1"/>
      <c r="E797" s="2"/>
      <c r="F797" s="1"/>
      <c r="G797" s="1"/>
      <c r="H797" s="1"/>
      <c r="I797" s="39"/>
      <c r="J797" s="39"/>
      <c r="K797" s="1"/>
      <c r="L797" s="1"/>
      <c r="M797" s="2"/>
      <c r="N797" s="1"/>
      <c r="O797" s="1"/>
    </row>
    <row r="798" spans="1:15" ht="36.6" customHeight="1">
      <c r="A798" s="1"/>
      <c r="B798" s="39"/>
      <c r="C798" s="1"/>
      <c r="D798" s="1"/>
      <c r="E798" s="2"/>
      <c r="F798" s="1"/>
      <c r="G798" s="1"/>
      <c r="H798" s="1"/>
      <c r="I798" s="39"/>
      <c r="J798" s="39"/>
      <c r="K798" s="1"/>
      <c r="L798" s="1"/>
      <c r="M798" s="2"/>
      <c r="N798" s="1"/>
      <c r="O798" s="1"/>
    </row>
    <row r="799" spans="1:15" ht="36.6" customHeight="1">
      <c r="A799" s="1"/>
      <c r="B799" s="39"/>
      <c r="C799" s="1"/>
      <c r="D799" s="1"/>
      <c r="E799" s="2"/>
      <c r="F799" s="1"/>
      <c r="G799" s="1"/>
      <c r="H799" s="1"/>
      <c r="I799" s="39"/>
      <c r="J799" s="39"/>
      <c r="K799" s="1"/>
      <c r="L799" s="1"/>
      <c r="M799" s="2"/>
      <c r="N799" s="1"/>
      <c r="O799" s="1"/>
    </row>
    <row r="800" spans="1:15" ht="36.6" customHeight="1">
      <c r="A800" s="1"/>
      <c r="B800" s="39"/>
      <c r="C800" s="1"/>
      <c r="D800" s="1"/>
      <c r="E800" s="2"/>
      <c r="F800" s="1"/>
      <c r="G800" s="1"/>
      <c r="H800" s="1"/>
      <c r="I800" s="39"/>
      <c r="J800" s="39"/>
      <c r="K800" s="1"/>
      <c r="L800" s="1"/>
      <c r="M800" s="2"/>
      <c r="N800" s="1"/>
      <c r="O800" s="1"/>
    </row>
    <row r="801" spans="1:15" ht="36.6" customHeight="1">
      <c r="A801" s="1"/>
      <c r="B801" s="39"/>
      <c r="C801" s="1"/>
      <c r="D801" s="1"/>
      <c r="E801" s="2"/>
      <c r="F801" s="1"/>
      <c r="G801" s="1"/>
      <c r="H801" s="1"/>
      <c r="I801" s="39"/>
      <c r="J801" s="39"/>
      <c r="K801" s="1"/>
      <c r="L801" s="1"/>
      <c r="M801" s="2"/>
      <c r="N801" s="1"/>
      <c r="O801" s="1"/>
    </row>
    <row r="802" spans="1:15" ht="36.6" customHeight="1">
      <c r="A802" s="1"/>
      <c r="B802" s="39"/>
      <c r="C802" s="1"/>
      <c r="D802" s="1"/>
      <c r="E802" s="2"/>
      <c r="F802" s="1"/>
      <c r="G802" s="1"/>
      <c r="H802" s="1"/>
      <c r="I802" s="39"/>
      <c r="J802" s="39"/>
      <c r="K802" s="1"/>
      <c r="L802" s="1"/>
      <c r="M802" s="2"/>
      <c r="N802" s="1"/>
      <c r="O802" s="1"/>
    </row>
    <row r="803" spans="1:15" ht="36.6" customHeight="1">
      <c r="A803" s="1"/>
      <c r="B803" s="39"/>
      <c r="C803" s="1"/>
      <c r="D803" s="1"/>
      <c r="E803" s="2"/>
      <c r="F803" s="1"/>
      <c r="G803" s="1"/>
      <c r="H803" s="1"/>
      <c r="I803" s="39"/>
      <c r="J803" s="39"/>
      <c r="K803" s="1"/>
      <c r="L803" s="1"/>
      <c r="M803" s="2"/>
      <c r="N803" s="1"/>
      <c r="O803" s="1"/>
    </row>
    <row r="804" spans="1:15" ht="36.6" customHeight="1">
      <c r="A804" s="1"/>
      <c r="B804" s="39"/>
      <c r="C804" s="1"/>
      <c r="D804" s="1"/>
      <c r="E804" s="2"/>
      <c r="F804" s="1"/>
      <c r="G804" s="1"/>
      <c r="H804" s="1"/>
      <c r="I804" s="39"/>
      <c r="J804" s="39"/>
      <c r="K804" s="1"/>
      <c r="L804" s="1"/>
      <c r="M804" s="2"/>
      <c r="N804" s="1"/>
      <c r="O804" s="1"/>
    </row>
    <row r="805" spans="1:15" ht="36.6" customHeight="1">
      <c r="A805" s="1"/>
      <c r="B805" s="39"/>
      <c r="C805" s="1"/>
      <c r="D805" s="1"/>
      <c r="E805" s="2"/>
      <c r="F805" s="1"/>
      <c r="G805" s="1"/>
      <c r="H805" s="1"/>
      <c r="I805" s="39"/>
      <c r="J805" s="39"/>
      <c r="K805" s="1"/>
      <c r="L805" s="1"/>
      <c r="M805" s="2"/>
      <c r="N805" s="1"/>
      <c r="O805" s="1"/>
    </row>
    <row r="806" spans="1:15" ht="36.6" customHeight="1">
      <c r="A806" s="1"/>
      <c r="B806" s="39"/>
      <c r="C806" s="1"/>
      <c r="D806" s="1"/>
      <c r="E806" s="2"/>
      <c r="F806" s="1"/>
      <c r="G806" s="1"/>
      <c r="H806" s="1"/>
      <c r="I806" s="39"/>
      <c r="J806" s="39"/>
      <c r="K806" s="1"/>
      <c r="L806" s="1"/>
      <c r="M806" s="2"/>
      <c r="N806" s="1"/>
      <c r="O806" s="1"/>
    </row>
    <row r="807" spans="1:15" ht="36.6" customHeight="1">
      <c r="A807" s="1"/>
      <c r="B807" s="39"/>
      <c r="C807" s="1"/>
      <c r="D807" s="1"/>
      <c r="E807" s="2"/>
      <c r="F807" s="1"/>
      <c r="G807" s="1"/>
      <c r="H807" s="1"/>
      <c r="I807" s="39"/>
      <c r="J807" s="39"/>
      <c r="K807" s="1"/>
      <c r="L807" s="1"/>
      <c r="M807" s="2"/>
      <c r="N807" s="1"/>
      <c r="O807" s="1"/>
    </row>
    <row r="808" spans="1:15" ht="36.6" customHeight="1">
      <c r="A808" s="1"/>
      <c r="B808" s="39"/>
      <c r="C808" s="1"/>
      <c r="D808" s="1"/>
      <c r="E808" s="2"/>
      <c r="F808" s="1"/>
      <c r="G808" s="1"/>
      <c r="H808" s="1"/>
      <c r="I808" s="39"/>
      <c r="J808" s="39"/>
      <c r="K808" s="1"/>
      <c r="L808" s="1"/>
      <c r="M808" s="2"/>
      <c r="N808" s="1"/>
      <c r="O808" s="1"/>
    </row>
    <row r="809" spans="1:15" ht="36.6" customHeight="1">
      <c r="A809" s="1"/>
      <c r="B809" s="39"/>
      <c r="C809" s="1"/>
      <c r="D809" s="1"/>
      <c r="E809" s="2"/>
      <c r="F809" s="1"/>
      <c r="G809" s="1"/>
      <c r="H809" s="1"/>
      <c r="I809" s="39"/>
      <c r="J809" s="39"/>
      <c r="K809" s="1"/>
      <c r="L809" s="1"/>
      <c r="M809" s="2"/>
      <c r="N809" s="1"/>
      <c r="O809" s="1"/>
    </row>
    <row r="810" spans="1:15" ht="36.6" customHeight="1">
      <c r="A810" s="1"/>
      <c r="B810" s="39"/>
      <c r="C810" s="1"/>
      <c r="D810" s="1"/>
      <c r="E810" s="2"/>
      <c r="F810" s="1"/>
      <c r="G810" s="1"/>
      <c r="H810" s="1"/>
      <c r="I810" s="39"/>
      <c r="J810" s="39"/>
      <c r="K810" s="1"/>
      <c r="L810" s="1"/>
      <c r="M810" s="2"/>
      <c r="N810" s="1"/>
      <c r="O810" s="1"/>
    </row>
    <row r="811" spans="1:15" ht="36.6" customHeight="1">
      <c r="A811" s="1"/>
      <c r="B811" s="39"/>
      <c r="C811" s="1"/>
      <c r="D811" s="1"/>
      <c r="E811" s="2"/>
      <c r="F811" s="1"/>
      <c r="G811" s="1"/>
      <c r="H811" s="1"/>
      <c r="I811" s="39"/>
      <c r="J811" s="39"/>
      <c r="K811" s="1"/>
      <c r="L811" s="1"/>
      <c r="M811" s="2"/>
      <c r="N811" s="1"/>
      <c r="O811" s="1"/>
    </row>
    <row r="812" spans="1:15" ht="36.6" customHeight="1">
      <c r="A812" s="1"/>
      <c r="B812" s="39"/>
      <c r="C812" s="1"/>
      <c r="D812" s="1"/>
      <c r="E812" s="2"/>
      <c r="F812" s="1"/>
      <c r="G812" s="1"/>
      <c r="H812" s="1"/>
      <c r="I812" s="39"/>
      <c r="J812" s="39"/>
      <c r="K812" s="1"/>
      <c r="L812" s="1"/>
      <c r="M812" s="2"/>
      <c r="N812" s="1"/>
      <c r="O812" s="1"/>
    </row>
    <row r="813" spans="1:15" ht="36.6" customHeight="1">
      <c r="A813" s="1"/>
      <c r="B813" s="39"/>
      <c r="C813" s="1"/>
      <c r="D813" s="1"/>
      <c r="E813" s="2"/>
      <c r="F813" s="1"/>
      <c r="G813" s="1"/>
      <c r="H813" s="1"/>
      <c r="I813" s="39"/>
      <c r="J813" s="39"/>
      <c r="K813" s="1"/>
      <c r="L813" s="1"/>
      <c r="M813" s="2"/>
      <c r="N813" s="1"/>
      <c r="O813" s="1"/>
    </row>
    <row r="814" spans="1:15" ht="36.6" customHeight="1">
      <c r="A814" s="1"/>
      <c r="B814" s="39"/>
      <c r="C814" s="1"/>
      <c r="D814" s="1"/>
      <c r="E814" s="2"/>
      <c r="F814" s="1"/>
      <c r="G814" s="1"/>
      <c r="H814" s="1"/>
      <c r="I814" s="39"/>
      <c r="J814" s="39"/>
      <c r="K814" s="1"/>
      <c r="L814" s="1"/>
      <c r="M814" s="2"/>
      <c r="N814" s="1"/>
      <c r="O814" s="1"/>
    </row>
    <row r="815" spans="1:15" ht="36.6" customHeight="1">
      <c r="A815" s="1"/>
      <c r="B815" s="39"/>
      <c r="C815" s="1"/>
      <c r="D815" s="1"/>
      <c r="E815" s="2"/>
      <c r="F815" s="1"/>
      <c r="G815" s="1"/>
      <c r="H815" s="1"/>
      <c r="I815" s="39"/>
      <c r="J815" s="39"/>
      <c r="K815" s="1"/>
      <c r="L815" s="1"/>
      <c r="M815" s="2"/>
      <c r="N815" s="1"/>
      <c r="O815" s="1"/>
    </row>
    <row r="816" spans="1:15" ht="36.6" customHeight="1">
      <c r="A816" s="1"/>
      <c r="B816" s="39"/>
      <c r="C816" s="1"/>
      <c r="D816" s="1"/>
      <c r="E816" s="2"/>
      <c r="F816" s="1"/>
      <c r="G816" s="1"/>
      <c r="H816" s="1"/>
      <c r="I816" s="39"/>
      <c r="J816" s="39"/>
      <c r="K816" s="1"/>
      <c r="L816" s="1"/>
      <c r="M816" s="2"/>
      <c r="N816" s="1"/>
      <c r="O816" s="1"/>
    </row>
    <row r="817" spans="1:15" ht="36.6" customHeight="1">
      <c r="A817" s="1"/>
      <c r="B817" s="39"/>
      <c r="C817" s="1"/>
      <c r="D817" s="1"/>
      <c r="E817" s="2"/>
      <c r="F817" s="1"/>
      <c r="G817" s="1"/>
      <c r="H817" s="1"/>
      <c r="I817" s="39"/>
      <c r="J817" s="39"/>
      <c r="K817" s="1"/>
      <c r="L817" s="1"/>
      <c r="M817" s="2"/>
      <c r="N817" s="1"/>
      <c r="O817" s="1"/>
    </row>
    <row r="818" spans="1:15" ht="36.6" customHeight="1">
      <c r="A818" s="1"/>
      <c r="B818" s="39"/>
      <c r="C818" s="1"/>
      <c r="D818" s="1"/>
      <c r="E818" s="2"/>
      <c r="F818" s="1"/>
      <c r="G818" s="1"/>
      <c r="H818" s="1"/>
      <c r="I818" s="39"/>
      <c r="J818" s="39"/>
      <c r="K818" s="1"/>
      <c r="L818" s="1"/>
      <c r="M818" s="2"/>
      <c r="N818" s="1"/>
      <c r="O818" s="1"/>
    </row>
    <row r="819" spans="1:15" ht="36.6" customHeight="1">
      <c r="A819" s="1"/>
      <c r="B819" s="39"/>
      <c r="C819" s="1"/>
      <c r="D819" s="1"/>
      <c r="E819" s="2"/>
      <c r="F819" s="1"/>
      <c r="G819" s="1"/>
      <c r="H819" s="1"/>
      <c r="I819" s="39"/>
      <c r="J819" s="39"/>
      <c r="K819" s="1"/>
      <c r="L819" s="1"/>
      <c r="M819" s="2"/>
      <c r="N819" s="1"/>
      <c r="O819" s="1"/>
    </row>
    <row r="820" spans="1:15" ht="36.6" customHeight="1">
      <c r="A820" s="1"/>
      <c r="B820" s="39"/>
      <c r="C820" s="1"/>
      <c r="D820" s="1"/>
      <c r="E820" s="2"/>
      <c r="F820" s="1"/>
      <c r="G820" s="1"/>
      <c r="H820" s="1"/>
      <c r="I820" s="39"/>
      <c r="J820" s="39"/>
      <c r="K820" s="1"/>
      <c r="L820" s="1"/>
      <c r="M820" s="2"/>
      <c r="N820" s="1"/>
      <c r="O820" s="1"/>
    </row>
    <row r="821" spans="1:15" ht="36.6" customHeight="1">
      <c r="A821" s="1"/>
      <c r="B821" s="39"/>
      <c r="C821" s="1"/>
      <c r="D821" s="1"/>
      <c r="E821" s="2"/>
      <c r="F821" s="1"/>
      <c r="G821" s="1"/>
      <c r="H821" s="1"/>
      <c r="I821" s="39"/>
      <c r="J821" s="39"/>
      <c r="K821" s="1"/>
      <c r="L821" s="1"/>
      <c r="M821" s="2"/>
      <c r="N821" s="1"/>
      <c r="O821" s="1"/>
    </row>
    <row r="822" spans="1:15" ht="36.6" customHeight="1">
      <c r="A822" s="1"/>
      <c r="B822" s="39"/>
      <c r="C822" s="1"/>
      <c r="D822" s="1"/>
      <c r="E822" s="2"/>
      <c r="F822" s="1"/>
      <c r="G822" s="1"/>
      <c r="H822" s="1"/>
      <c r="I822" s="39"/>
      <c r="J822" s="39"/>
      <c r="K822" s="1"/>
      <c r="L822" s="1"/>
      <c r="M822" s="2"/>
      <c r="N822" s="1"/>
      <c r="O822" s="1"/>
    </row>
  </sheetData>
  <autoFilter ref="A4:O732" xr:uid="{00000000-0001-0000-0000-000000000000}">
    <filterColumn colId="2">
      <filters>
        <filter val="CANCELADO"/>
        <filter val="INADIMPLENCIA"/>
      </filters>
    </filterColumn>
    <sortState xmlns:xlrd2="http://schemas.microsoft.com/office/spreadsheetml/2017/richdata2" ref="A5:O732">
      <sortCondition ref="B4:B732"/>
    </sortState>
  </autoFilter>
  <mergeCells count="4">
    <mergeCell ref="A734:B735"/>
    <mergeCell ref="A1:B1"/>
    <mergeCell ref="A2:B2"/>
    <mergeCell ref="A3:M3"/>
  </mergeCells>
  <phoneticPr fontId="20" type="noConversion"/>
  <dataValidations count="7">
    <dataValidation type="list" allowBlank="1" showInputMessage="1" showErrorMessage="1" sqref="C5:C67" xr:uid="{EE4556A7-7A05-427B-8F2E-4780EFCE69DA}">
      <formula1>"CANCELADO,RETIDO"</formula1>
    </dataValidation>
    <dataValidation type="list" allowBlank="1" showInputMessage="1" showErrorMessage="1" sqref="K6 K8" xr:uid="{9389BF44-7027-45A6-A361-D1317CB55089}">
      <formula1>"JOSÉ, ANDERSON, ERIC"</formula1>
    </dataValidation>
    <dataValidation type="list" allowBlank="1" showInputMessage="1" showErrorMessage="1" sqref="K5 K7 K65 K63 K9:K16 K57:K59 K19:K54" xr:uid="{130A78DD-1D23-4E53-B425-11C148060D34}">
      <formula1>"JOSE, ANDERSON, ERICK, DAVI, ANDRESSA, JESSICA, GABRIELA"</formula1>
    </dataValidation>
    <dataValidation type="list" allowBlank="1" showInputMessage="1" showErrorMessage="1" sqref="J5 N5:N740" xr:uid="{E00B9D5F-4285-4680-AC07-541D075E92FD}">
      <formula1>"SIM, NÃO"</formula1>
    </dataValidation>
    <dataValidation type="list" allowBlank="1" showInputMessage="1" showErrorMessage="1" sqref="K55:K56 K64 K60:K62 K17:K18 K66:K204 K248:K263 K265:K281 K284 K289:K536 K729:K732" xr:uid="{3537EB4C-37BA-4ECA-B0C9-96FC5E384C85}">
      <formula1>"JOSE, ANDERSON, DOUGLAS, GABRIELA, WILLIAN P, ANDRESSA, JESSICA, ANDERSON$D$67"</formula1>
    </dataValidation>
    <dataValidation type="list" allowBlank="1" showInputMessage="1" showErrorMessage="1" sqref="L5:L204 L248:L263 L265:L281 L284 L239 M329 L729:L731 L289:L324 L326:L354 L356:L375 L377:L378 L380:L536" xr:uid="{585CB2F6-EA3D-4CC0-A45A-8965937E3882}">
      <formula1>"INSATISFAÇÃO C/ ATD, INSATISFAÇÃO C/ SERVIÇO, MUDANÇA DE ENDEREÇO, MOTIVOS PESSOAIS, TROCA DE PROVEDOR, PROBLEMAS FINANC, OUTROS"</formula1>
    </dataValidation>
    <dataValidation type="list" allowBlank="1" showInputMessage="1" showErrorMessage="1" sqref="C68:C731" xr:uid="{31C3ABF2-62BB-4255-8402-6FEB8F6D3C42}">
      <formula1>"CANCELADO, RETIDO, INADIMPLENCIA"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/>
  <cp:revision/>
  <dcterms:created xsi:type="dcterms:W3CDTF">2015-06-05T18:19:34Z</dcterms:created>
  <dcterms:modified xsi:type="dcterms:W3CDTF">2026-05-05T17:45:05Z</dcterms:modified>
  <cp:category/>
  <cp:contentStatus/>
</cp:coreProperties>
</file>